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C0200CD0-36BF-6D46-AF4A-D80512A9E674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">#REF!</definedName>
    <definedName name="_________________TPH12">[2]TTL!#REF!</definedName>
    <definedName name="_________________TPH13">[2]TTL!#REF!</definedName>
    <definedName name="_________________TPH14">[2]TTL!#REF!</definedName>
    <definedName name="_________________TPH15">[2]TTL!#REF!</definedName>
    <definedName name="_________________TPH16">[2]TTL!#REF!</definedName>
    <definedName name="_________________TPH17">[2]TTL!#REF!</definedName>
    <definedName name="________________TPH12">[3]RSC_Sum!#REF!</definedName>
    <definedName name="________________TPH13">[3]RSC_Sum!#REF!</definedName>
    <definedName name="________________TPH14">[3]RSC_Sum!#REF!</definedName>
    <definedName name="________________TPH15">[3]RSC_Sum!#REF!</definedName>
    <definedName name="________________TPH16">[3]RSC_Sum!#REF!</definedName>
    <definedName name="________________TPH17">[3]RSC_Sum!#REF!</definedName>
    <definedName name="_______________TPH12">[3]RSC_Sum!#REF!</definedName>
    <definedName name="_______________TPH13">[3]RSC_Sum!#REF!</definedName>
    <definedName name="_______________TPH14">[3]RSC_Sum!#REF!</definedName>
    <definedName name="_______________TPH15">[3]RSC_Sum!#REF!</definedName>
    <definedName name="_______________TPH16">[3]RSC_Sum!#REF!</definedName>
    <definedName name="_______________TPH17">[3]RSC_Sum!#REF!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[3]RSC_Sum!#REF!</definedName>
    <definedName name="___________TPH13">[3]RSC_Sum!#REF!</definedName>
    <definedName name="___________TPH14">[3]RSC_Sum!#REF!</definedName>
    <definedName name="___________TPH15">[3]RSC_Sum!#REF!</definedName>
    <definedName name="___________TPH16">[3]RSC_Sum!#REF!</definedName>
    <definedName name="___________TPH17">[3]RSC_Sum!#REF!</definedName>
    <definedName name="___________TPH21">#REF!</definedName>
    <definedName name="__________PL94">#REF!</definedName>
    <definedName name="__________TPH12">[3]RSC_Sum!#REF!</definedName>
    <definedName name="__________TPH13">[3]RSC_Sum!#REF!</definedName>
    <definedName name="__________TPH14">[3]RSC_Sum!#REF!</definedName>
    <definedName name="__________TPH15">[3]RSC_Sum!#REF!</definedName>
    <definedName name="__________TPH16">[3]RSC_Sum!#REF!</definedName>
    <definedName name="__________TPH17">[3]RSC_Sum!#REF!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[4]TTL!#REF!</definedName>
    <definedName name="_________TPH13">[4]TTL!#REF!</definedName>
    <definedName name="_________TPH14">[4]TTL!#REF!</definedName>
    <definedName name="_________TPH15">[4]TTL!#REF!</definedName>
    <definedName name="_________TPH16">[4]TTL!#REF!</definedName>
    <definedName name="_________TPH17">[4]TTL!#REF!</definedName>
    <definedName name="_________TPH21">#REF!</definedName>
    <definedName name="_________vip200">'[5]STORE CODE'!#REF!</definedName>
    <definedName name="_________vip500">'[5]STORE CODE'!#REF!</definedName>
    <definedName name="_________YH7">#N/A</definedName>
    <definedName name="________M110374">#REF!</definedName>
    <definedName name="________P12">[6]!Sheet2</definedName>
    <definedName name="________PL94">#REF!</definedName>
    <definedName name="________TPH12">[3]RSC_Sum!#REF!</definedName>
    <definedName name="________TPH13">[3]RSC_Sum!#REF!</definedName>
    <definedName name="________TPH14">[3]RSC_Sum!#REF!</definedName>
    <definedName name="________TPH15">[3]RSC_Sum!#REF!</definedName>
    <definedName name="________TPH16">[3]RSC_Sum!#REF!</definedName>
    <definedName name="________TPH17">[3]RSC_Sum!#REF!</definedName>
    <definedName name="________TPH21">#REF!</definedName>
    <definedName name="________vip200">'[7]STORE CODE'!#REF!</definedName>
    <definedName name="________vip500">'[7]STORE CODE'!#REF!</definedName>
    <definedName name="_______KH7">#N/A</definedName>
    <definedName name="_______NH7">#N/A</definedName>
    <definedName name="_______PL94">#REF!</definedName>
    <definedName name="_______TPH12">[3]RSC_Sum!#REF!</definedName>
    <definedName name="_______TPH13">[3]RSC_Sum!#REF!</definedName>
    <definedName name="_______TPH14">[3]RSC_Sum!#REF!</definedName>
    <definedName name="_______TPH15">[3]RSC_Sum!#REF!</definedName>
    <definedName name="_______TPH16">[3]RSC_Sum!#REF!</definedName>
    <definedName name="_______TPH17">[3]RSC_Sum!#REF!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[6]!Sheet2</definedName>
    <definedName name="______PL94">#REF!</definedName>
    <definedName name="______TPH12">[3]RSC_Sum!#REF!</definedName>
    <definedName name="______TPH13">[3]RSC_Sum!#REF!</definedName>
    <definedName name="______TPH14">[3]RSC_Sum!#REF!</definedName>
    <definedName name="______TPH15">[3]RSC_Sum!#REF!</definedName>
    <definedName name="______TPH16">[3]RSC_Sum!#REF!</definedName>
    <definedName name="______TPH17">[3]RSC_Sum!#REF!</definedName>
    <definedName name="______TPH21">#REF!</definedName>
    <definedName name="______vip200">'[7]STORE CODE'!#REF!</definedName>
    <definedName name="______vip500">'[7]STORE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[6]!Sheet2</definedName>
    <definedName name="_____PL94">#REF!</definedName>
    <definedName name="_____TPH12">[2]TTL!#REF!</definedName>
    <definedName name="_____TPH13">[2]TTL!#REF!</definedName>
    <definedName name="_____TPH14">[2]TTL!#REF!</definedName>
    <definedName name="_____TPH15">[2]TTL!#REF!</definedName>
    <definedName name="_____TPH16">[2]TTL!#REF!</definedName>
    <definedName name="_____TPH17">[2]TTL!#REF!</definedName>
    <definedName name="_____TPH21">#REF!</definedName>
    <definedName name="_____vip200">'[7]STORE CODE'!#REF!</definedName>
    <definedName name="_____vip500">'[7]STORE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[6]!Sheet2</definedName>
    <definedName name="____PL94">#REF!</definedName>
    <definedName name="____ST1">#REF!</definedName>
    <definedName name="____TPH12">[2]TTL!#REF!</definedName>
    <definedName name="____TPH13">[2]TTL!#REF!</definedName>
    <definedName name="____TPH14">[2]TTL!#REF!</definedName>
    <definedName name="____TPH15">[2]TTL!#REF!</definedName>
    <definedName name="____TPH16">[2]TTL!#REF!</definedName>
    <definedName name="____TPH17">[2]TTL!#REF!</definedName>
    <definedName name="____TPH21">#REF!</definedName>
    <definedName name="____vip200">'[8]STORE CODE'!#REF!</definedName>
    <definedName name="____vip500">'[8]STORE CODE'!#REF!</definedName>
    <definedName name="____YH7">#N/A</definedName>
    <definedName name="___2P12_">[6]!Sheet2</definedName>
    <definedName name="___C99999">#REF!</definedName>
    <definedName name="___KH7">#N/A</definedName>
    <definedName name="___M110374">#REF!</definedName>
    <definedName name="___NH7">#N/A</definedName>
    <definedName name="___P12">[6]!Sheet2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'[7]STORE CODE'!#REF!</definedName>
    <definedName name="___vip500">'[7]STORE CODE'!#REF!</definedName>
    <definedName name="___YH7">#N/A</definedName>
    <definedName name="__123Graph_BHOBKEN4H" hidden="1">[9]Comps!#REF!</definedName>
    <definedName name="__123Graph_BHOBOKEN" hidden="1">[9]Comps!#REF!</definedName>
    <definedName name="__2P12_">[6]!Sheet2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[6]!Sheet2</definedName>
    <definedName name="__PL94">"'file:///C:/PIZZAHUT.TWN/FAD_DEPT/investment/Post%20tracking_new/COO/DX%20Post%20Tracking.xls'#$''.$B$8:$BA$85"</definedName>
    <definedName name="__ST1">#REF!</definedName>
    <definedName name="__TPH12">[10]TTL!#REF!</definedName>
    <definedName name="__TPH13">[10]TTL!#REF!</definedName>
    <definedName name="__TPH14">[10]TTL!#REF!</definedName>
    <definedName name="__TPH15">[10]TTL!#REF!</definedName>
    <definedName name="__TPH16">[10]TTL!#REF!</definedName>
    <definedName name="__TPH17">[10]TTL!#REF!</definedName>
    <definedName name="__TPH21">"'file:///C:/PIZZAHUT.TWN/FAD_DEPT/investment/Post%20tracking_new/COO/DX%20Post%20Tracking.xls'#$''.$A$505:$A$575"</definedName>
    <definedName name="__vip200">'[11]STORE CODE'!#REF!</definedName>
    <definedName name="__vip500">'[11]STORE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'[12]00DATES'!$D$65:$D$76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'[12]00DATES'!$E$65:$E$76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[6]!Sheet2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[6]!Sheet2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'[12]00DATES'!$F$8:$F$19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[6]!Sheet2</definedName>
    <definedName name="_2wrn.²Ä1­Ó¤ë1_Ü20¤H." hidden="1">{#N/A,#N/A,FALSE,"²Ä1­Ó¤ë"}</definedName>
    <definedName name="_3__123Graph_BO_S_GAS" hidden="1">'[12]00DATES'!$F$39:$F$50</definedName>
    <definedName name="_3.">#REF!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[6]!Sheet2</definedName>
    <definedName name="_4__123Graph_BT_OVER" hidden="1">'[12]00DATES'!$F$65:$F$76</definedName>
    <definedName name="_41621">#N/A</definedName>
    <definedName name="_5__123Graph_C__LTR" hidden="1">'[12]00DATES'!$G$8:$G$19</definedName>
    <definedName name="_5P12_">[6]!Sheet2</definedName>
    <definedName name="_6__123Graph_CO_S_GAS" hidden="1">'[12]00DATES'!$G$39:$G$50</definedName>
    <definedName name="_7__123Graph_CT_OVER" hidden="1">'[12]00DATES'!$G$65:$G$76</definedName>
    <definedName name="_7P12_">[6]!Sheet2</definedName>
    <definedName name="_8__123Graph_D__LTR" hidden="1">'[12]00DATES'!$E$8:$E$19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'[12]00DATES'!$E$39:$E$50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[3]RSC_Sum!#REF!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[3]RSC_Sum!#REF!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[6]!Sheet2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[3]RSC_Sum!#REF!</definedName>
    <definedName name="_TPH13">[3]RSC_Sum!#REF!</definedName>
    <definedName name="_TPH14">[3]RSC_Sum!#REF!</definedName>
    <definedName name="_TPH15">[3]RSC_Sum!#REF!</definedName>
    <definedName name="_TPH16">[3]RSC_Sum!#REF!</definedName>
    <definedName name="_TPH17">[3]RSC_Sum!#REF!</definedName>
    <definedName name="_TPH21">#REF!</definedName>
    <definedName name="_vip200">'[13]STORE CODE'!#REF!</definedName>
    <definedName name="_vip500">'[13]STORE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[14]!Sheet2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[15]APP!$B$1:$AV$247</definedName>
    <definedName name="AC">#REF!</definedName>
    <definedName name="Accounting___Sup._Fees">#REF!</definedName>
    <definedName name="ACHIEVE_Q">#N/A</definedName>
    <definedName name="ACT_COL">[16]HIGHLIGHTS_ACT!$S$3</definedName>
    <definedName name="ACTP5">[0]!Sheet2</definedName>
    <definedName name="ACTP5_1">#N/A</definedName>
    <definedName name="ACTP5_2">#N/A</definedName>
    <definedName name="ACTP5_3">#N/A</definedName>
    <definedName name="Actual">[17]Actual!$A$13:$G$95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[3]RSC_Sum!#REF!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>[0]!Sheet2</definedName>
    <definedName name="asd_1">#N/A</definedName>
    <definedName name="asd_3">#N/A</definedName>
    <definedName name="Asset_Type">[18]Listings!$A$5:$A$11</definedName>
    <definedName name="assum_store">#REF!</definedName>
    <definedName name="Audit_cost">[19]General_assumptions!$F$38</definedName>
    <definedName name="AUG">#REF!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[16]HIGHLIGHTS_BGT!$S$3</definedName>
    <definedName name="BGT_M">[20]HIGHLIGHTS_BGT!$A$5:$Q$56</definedName>
    <definedName name="BGT_M_JRG">[20]HIGHLIGHTS_BGT!#REF!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[20]HIGHLIGHTS_BGT!#REF!</definedName>
    <definedName name="BM6_">#N/A</definedName>
    <definedName name="BM7_">#N/A</definedName>
    <definedName name="BORDER_BS">#REF!</definedName>
    <definedName name="Brand">[21]Sheet3!$F$3:$F$8</definedName>
    <definedName name="Branding_costs">[19]General_assumptions!$F$35</definedName>
    <definedName name="Brands">[22]Sheet3!$F$3:$F$5</definedName>
    <definedName name="BS">[3]RSC_Sum!#REF!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[23]廠商編號!$A$1:$C$118</definedName>
    <definedName name="Commissary_Profit">#REF!</definedName>
    <definedName name="CompTable">[24]CompTable!$B$5:$BQ$119</definedName>
    <definedName name="Controllable_Profit">#REF!</definedName>
    <definedName name="COqty">'[25]5 COS cal'!$K$2:$K$8473</definedName>
    <definedName name="Corporate_Overhead">#REF!</definedName>
    <definedName name="CORP預算說明">#REF!</definedName>
    <definedName name="COS">#REF!</definedName>
    <definedName name="Countries">[21]Sheet3!$D$3:$D$22</definedName>
    <definedName name="Country">[21]Sheet3!$D$3:$D$22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[26]BUD_BalSheet_JMG!$A$1</definedName>
    <definedName name="csBUD09_BalSheet_Group_Dim07">"="</definedName>
    <definedName name="csBUD09_BalSheet_Group_Dim08">[26]BUD_BalSheet_JMG!$A$2</definedName>
    <definedName name="csBUD09_BalSheet_Group_Dim09">"="</definedName>
    <definedName name="csBUD09_BalSheet_Group_Dim10">"="</definedName>
    <definedName name="csBUD09_BalSheet_GroupAnchor">[26]BUD_BalSheet_JMG!$A$4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[26]BUD_Capex_JMG!$A$1</definedName>
    <definedName name="csBUD09_Capex_JMG_Dim06">[26]BUD_Capex_JMG!$A$2</definedName>
    <definedName name="csBUD09_Capex_JMG_Dim07">[26]BUD_Capex_JMG!$A$3</definedName>
    <definedName name="csBUD09_Capex_JMG_Dim08">[26]BUD_Capex_JMG!$A$4</definedName>
    <definedName name="csBUD09_Capex_JMG_Dim09">[26]BUD_Capex_JMG!$A$5</definedName>
    <definedName name="csBUD09_Capex_JMG_Dim10">[26]BUD_Capex_JMG!$A$6</definedName>
    <definedName name="csBUD09_Capex_JMGAnchor">[26]BUD_Capex_JMG!$A$8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[26]BUD09_Cont!$A$1</definedName>
    <definedName name="csBUD09_Contribution_Dim06">[26]BUD09_Cont!$A$2</definedName>
    <definedName name="csBUD09_Contribution_Dim07">[26]BUD09_Cont!$A$3</definedName>
    <definedName name="csBUD09_Contribution_Dim08">[26]BUD09_Cont!$A$4</definedName>
    <definedName name="csBUD09_Contribution_Dim09">[26]BUD09_Cont!$A$5</definedName>
    <definedName name="csBUD09_Contribution_Dim10">[26]BUD09_Cont!$A$6</definedName>
    <definedName name="csBUD09_ContributionAnchor">[26]BUD09_Cont!$A$8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[26]Sheet1!$A$1</definedName>
    <definedName name="csBud09_Interest_Dim08">[26]Sheet1!$A$2</definedName>
    <definedName name="csBud09_Interest_Dim09">[26]Sheet1!$A$3</definedName>
    <definedName name="csBud09_Interest_Dim10">[26]Sheet1!$A$4</definedName>
    <definedName name="csBud09_InterestAnchor">[26]Sheet1!$A$6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[26]BUD_OpPL_JMR!$A$1</definedName>
    <definedName name="csBUD09_OpPL_Group1_Dim08">"="</definedName>
    <definedName name="csBUD09_OpPL_Group1_Dim09">[26]BUD_OpPL_JMR!$A$2</definedName>
    <definedName name="csBUD09_OpPL_Group1_Dim10">[26]BUD_OpPL_JMR!$A$3</definedName>
    <definedName name="csBUD09_OpPL_Group1Anchor">[26]BUD_OpPL_JMR!$A$5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[26]BUD_OpPL_JMG!$A$1</definedName>
    <definedName name="csBUD09_OpPL_JMG_Dim08">"="</definedName>
    <definedName name="csBUD09_OpPL_JMG_Dim09">[26]BUD_OpPL_JMG!$A$2</definedName>
    <definedName name="csBUD09_OpPL_JMG_Dim10">[26]BUD_OpPL_JMG!$A$3</definedName>
    <definedName name="csBUD09_OpPL_JMGAnchor">[26]BUD_OpPL_JMG!$A$5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[26]BUD09_PBTDshp!$A$1</definedName>
    <definedName name="csBUD09_PBTDship_Dim06">[26]BUD09_PBTDshp!$A$2</definedName>
    <definedName name="csBUD09_PBTDship_Dim07">[26]BUD09_PBTDshp!$A$3</definedName>
    <definedName name="csBUD09_PBTDship_Dim08">[26]BUD09_PBTDshp!$A$4</definedName>
    <definedName name="csBUD09_PBTDship_Dim09">[26]BUD09_PBTDshp!$A$5</definedName>
    <definedName name="csBUD09_PBTDship_Dim10">[26]BUD09_PBTDshp!$A$6</definedName>
    <definedName name="csBUD09_PBTDshipAnchor">[26]BUD09_PBTDshp!$A$8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[27]INPUT!$R$7:$AD$42</definedName>
    <definedName name="Cur_Bgt_P">[27]INPUT!$R$123:$AD$168</definedName>
    <definedName name="CurrentP3Y">#REF!</definedName>
    <definedName name="CY_ACT_M">[20]HIGHLIGHTS_ACT!$A$5:$Q$57</definedName>
    <definedName name="CY_ACT_M_JRG">[20]HIGHLIGHTS_ACT!#REF!</definedName>
    <definedName name="CY_ACT_Y_JRG">[20]HIGHLIGHTS_ACT!#REF!</definedName>
    <definedName name="D">#REF!</definedName>
    <definedName name="D_3">"'file:///A:/CASH%20FLOW.xls'#$''.$G$7:$BE$57"</definedName>
    <definedName name="D_Ooneoff_cost">[19]General_assumptions!$F$43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[28]Journal!#REF!</definedName>
    <definedName name="DATE">[21]Sheet3!$B$3:$B$733</definedName>
    <definedName name="Date1">[29]Sheet3!$B$3:$B$1158</definedName>
    <definedName name="DATE2">[21]Sheet3!#REF!</definedName>
    <definedName name="Dates">[21]Sheet3!$B$34:$B$367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[30]Channel!$C$6:$R$11</definedName>
    <definedName name="DELqty">'[25]5 COS cal'!$L$2:$L$8473</definedName>
    <definedName name="Depreciation">#REF!</definedName>
    <definedName name="DepreEnd3Y">#REF!</definedName>
    <definedName name="deprep3Y">#REF!</definedName>
    <definedName name="Designer">[31]下拉選點!$D$2:$D$4</definedName>
    <definedName name="Develop">#REF!</definedName>
    <definedName name="df">[6]!Sheet2</definedName>
    <definedName name="dfdf">[32]TTL!#REF!</definedName>
    <definedName name="DineIn_Sales">[30]Channel!$C$13:$R$18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[33]Date!$C$3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[27]INPUT!$A$7:$A$53</definedName>
    <definedName name="E_List_Cur_Bgt">[27]INPUT!$A$123:$A$168</definedName>
    <definedName name="EBITDA_Bridge">#REF!</definedName>
    <definedName name="END">#REF!</definedName>
    <definedName name="END.XLS">#REF!</definedName>
    <definedName name="Eqp">'[34]rental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[28]Journal!#REF!</definedName>
    <definedName name="Excel_BuiltIn_Print_Area">"'file://PHT/MAIN/PIZZAHUT.TWN/FAD_DEPT/03budget/P&amp;L/2002LF-P&amp;L-0802.xls'#$''.$HG$215:$IU$255"</definedName>
    <definedName name="F">#REF!</definedName>
    <definedName name="FCT_COL">[16]HIGHLIGHTS_FCAST!$S$3</definedName>
    <definedName name="FCT_M">[16]HIGHLIGHTS_FCAST!$D$5:$S$51</definedName>
    <definedName name="FCT_M_JRG">[20]HIGHLIGHTS_FCAST!#REF!</definedName>
    <definedName name="FCT_Y">[16]HIGHLIGHTS_FCAST!$D$55:$S$101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[35]Forecasts_VDF!#REF!</definedName>
    <definedName name="FDP_281_1_aSrv" hidden="1">[35]Forecasts_VDF!#REF!</definedName>
    <definedName name="FDP_282_1_aSrv" hidden="1">[35]Forecasts_VDF!#REF!</definedName>
    <definedName name="FDP_283_1_aSrv" hidden="1">[35]Forecasts_VDF!#REF!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[36]Date!$C$3</definedName>
    <definedName name="fnateam">[36]Date!$C$3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'[37]Summary (US$)'!#REF!</definedName>
    <definedName name="fyCoverDate">#REF!</definedName>
    <definedName name="GC">[0]!Sheet2</definedName>
    <definedName name="GC_1">#N/A</definedName>
    <definedName name="GC_3">#N/A</definedName>
    <definedName name="h">[6]!Sheet2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[38]Assumption!$D$1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[3]RSC_Sum!#REF!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[20]HIGHLIGHTS_BGT!#REF!</definedName>
    <definedName name="JRG_Y">[20]HIGHLIGHTS_BGT!#REF!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[39]Assumptions!$B$22</definedName>
    <definedName name="k.FX_NTD.USD">'[40]slides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'[34]rental &amp; capax'!$A$28:$I$30</definedName>
    <definedName name="LJ">[41]!Sheet2</definedName>
    <definedName name="ll">[6]!Sheet2</definedName>
    <definedName name="LPcombocost">#REF!</definedName>
    <definedName name="LY">#REF!</definedName>
    <definedName name="LY_ACT_M">[16]HIGHLIGHTS_ACT!$D$109:$S$157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[16]HIGHLIGHTS_ACT!$D$161:$S$209</definedName>
    <definedName name="m">#REF!</definedName>
    <definedName name="M_CA_FILE">#REF!</definedName>
    <definedName name="M_CA_Range">#REF!</definedName>
    <definedName name="M_DIR">[42]Menu!$D$5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[3]RSC_Sum!#REF!</definedName>
    <definedName name="MERGE_3">"'file://PHT/MAIN/PIZZAHUT.TWN/FAD_DEPT/03budget/P&amp;L/2002LF-P&amp;L(Jun).xls'#$TTL.$A$1:$H$8"</definedName>
    <definedName name="MERGE_BS">[3]RSC_Sum!#REF!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[20]Index!$B$1</definedName>
    <definedName name="MthYr">'[43]Input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[3]RSC_Sum!#REF!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'[25]5 COS cal'!$C$2:$C$8473</definedName>
    <definedName name="Performance_Incentive">#REF!</definedName>
    <definedName name="Period">[44]Date!$C$5</definedName>
    <definedName name="Period_COL">#REF!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[3]RSC_Sum!#REF!</definedName>
    <definedName name="PL_3">"'file://PHT/MAIN/PIZZAHUT.TWN/FAD_DEPT/03budget/P&amp;L/2002LF-P&amp;L(Jun).xls'#$TTL.$H$8:$BE$57"</definedName>
    <definedName name="PL_93">[3]RSC_Sum!#REF!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[31]下拉選點!$C$2:$C$5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[6]!Sheet2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'[25]Price index'!$C$4:$AF$88</definedName>
    <definedName name="print_are">[45]Units!$A$1:$F$23</definedName>
    <definedName name="_xlnm.Print_Area">#REF!</definedName>
    <definedName name="PRINT_AREA_MI">#REF!</definedName>
    <definedName name="Print_Area_MI_1">[28]Journal!#REF!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[21]Sheet3!$N$3:$N$9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'[37]Financial Highlight'!$B$70</definedName>
    <definedName name="RDEFI">"$#REF!.$A$1:$I$13326"</definedName>
    <definedName name="Recruitment">#REF!</definedName>
    <definedName name="ReloDate">[21]Sheet3!#REF!</definedName>
    <definedName name="RemodelType">[21]Sheet3!$H$3:$H$4</definedName>
    <definedName name="Rent">[30]Rental!$B$6:$P$136</definedName>
    <definedName name="Rental___Bld._Mgt_Charges">#REF!</definedName>
    <definedName name="Repair___Maintenance">#REF!</definedName>
    <definedName name="Restructure_cost">[19]General_assumptions!$F$40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[46]店長!$A$2:$B$60</definedName>
    <definedName name="rtest">"FileList_Parameter!$A$1:$A$4"</definedName>
    <definedName name="s">#REF!</definedName>
    <definedName name="S._Twister_Wave_I__10_8_11_4___4_wks">'[47]BYA 08_Plan C'!#REF!</definedName>
    <definedName name="sa">#REF!</definedName>
    <definedName name="Safety_cost">[19]General_assumptions!$F$39</definedName>
    <definedName name="SALES">#REF!</definedName>
    <definedName name="SALES_BORDER">#REF!</definedName>
    <definedName name="sales_budget">#REF!</definedName>
    <definedName name="Sales_Result">'[48]業績推估(Delco)'!$B$2:$GZ$39</definedName>
    <definedName name="Sales_Result1">'[48]業績推估 (COO)'!$B$2:$HB$39</definedName>
    <definedName name="SALES_TOTAL">#REF!</definedName>
    <definedName name="salesindex_base">'[25]4 Sales data'!$AE$11:$AE$12</definedName>
    <definedName name="SAP">[41]!Sheet2</definedName>
    <definedName name="sc">#REF!,#REF!,#REF!,#REF!,#REF!,#REF!,#REF!,#REF!,#REF!,#REF!</definedName>
    <definedName name="seat">[34]Assumption!$C$125</definedName>
    <definedName name="Secured?">[21]Sheet3!$F$16:$F$17</definedName>
    <definedName name="sencount" hidden="1">1</definedName>
    <definedName name="SEP">#REF!</definedName>
    <definedName name="Service_Type">[49]Sheet3!$J$3:$J$8</definedName>
    <definedName name="ServiceType">[21]Sheet3!$J$3:$J$7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[36]Date!$C$8</definedName>
    <definedName name="Status2">[33]Date!$C$10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[30]STWK!$C$5:$Q$10</definedName>
    <definedName name="Sundries">#REF!</definedName>
    <definedName name="Svc_Type">[18]Listings!$B$5:$B$11</definedName>
    <definedName name="Swap_cost">[19]General_assumptions!$F$37</definedName>
    <definedName name="TA">'[50]Rent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[30]Channel!$C$27:$R$32</definedName>
    <definedName name="TAX">#REF!</definedName>
    <definedName name="Tax_cost">[19]General_assumptions!$F$45</definedName>
    <definedName name="TC">[6]!Sheet2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[51]General_assumptions!$F$15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[19]General_assumptions!$F$33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[30]Channel!$C$45:$Q$50</definedName>
    <definedName name="TTL_TC">[30]Channel!$C$38:$Q$43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[52]Sheet3!$N$3:$N$6</definedName>
    <definedName name="u">#REF!,#REF!,#REF!</definedName>
    <definedName name="unit">#REF!</definedName>
    <definedName name="unit15">[53]ref!$B$3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[54]期末盤點表!#REF!</definedName>
    <definedName name="y">[36]Date!$C$6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[44]Date!$C$6</definedName>
    <definedName name="Year2">[55]YEAR!$C$5</definedName>
    <definedName name="Year3">[55]YEAR!$C$6</definedName>
    <definedName name="Year4">[55]YEAR!$C$7</definedName>
    <definedName name="Year5">[55]YEAR!$C$8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[56]Parameter!$B$4</definedName>
    <definedName name="zYear_LY1">[56]Parameter!$B$5</definedName>
    <definedName name="zYear_LY2">[56]Parameter!$B$6</definedName>
    <definedName name="zz">[57]產品規格!#REF!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'[58]0'!$B$2:$B$141</definedName>
    <definedName name="出力">#N/A</definedName>
    <definedName name="列印週月報表">#REF!</definedName>
    <definedName name="匯出查詢">#REF!</definedName>
    <definedName name="區域">[31]下拉選點!$A$2:$A$5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[59]對照表!$A$2:$B$86</definedName>
    <definedName name="年度期初">#REF!</definedName>
    <definedName name="年度期未">#REF!</definedName>
    <definedName name="店型">[31]下拉選點!$B$2:$B$8</definedName>
    <definedName name="店長名冊">[46]店長!$A$2:$B$60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[54]期末盤點表!#REF!</definedName>
    <definedName name="日期">#REF!</definedName>
    <definedName name="日燦產品資料">[57]產品規格!#REF!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'[46]處 '!$A$1:$B$54</definedName>
    <definedName name="計算期">#REF!</definedName>
    <definedName name="買入期">#REF!</definedName>
    <definedName name="進貨累計表">[60]期末盤點表!#REF!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99" i="2" l="1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sharedStrings.xml><?xml version="1.0" encoding="utf-8"?>
<sst xmlns="http://schemas.openxmlformats.org/spreadsheetml/2006/main" count="825" uniqueCount="445">
  <si>
    <t>GA4</t>
  </si>
  <si>
    <t>PBI</t>
  </si>
  <si>
    <t>store_id</t>
  </si>
  <si>
    <t>Address</t>
  </si>
  <si>
    <t>Total_TC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</si>
  <si>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</si>
  <si>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</si>
  <si>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</si>
  <si>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</si>
  <si>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</si>
  <si>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</si>
  <si>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</si>
  <si>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</si>
  <si>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</si>
  <si>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</si>
  <si>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</si>
  <si>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</si>
  <si>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</si>
  <si>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</si>
  <si>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</si>
  <si>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</si>
  <si>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</si>
  <si>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</si>
  <si>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</si>
  <si>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</si>
  <si>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</si>
  <si>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</si>
  <si>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</si>
  <si>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</si>
  <si>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</si>
  <si>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</si>
  <si>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</si>
  <si>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</si>
  <si>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</si>
  <si>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</si>
  <si>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</si>
  <si>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</si>
  <si>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</si>
  <si>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</si>
  <si>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</si>
  <si>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</si>
  <si>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</si>
  <si>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</si>
  <si>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</si>
  <si>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</si>
  <si>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</si>
  <si>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</si>
  <si>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</si>
  <si>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</si>
  <si>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</si>
  <si>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</si>
  <si>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</si>
  <si>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</si>
  <si>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</si>
  <si>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</si>
  <si>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</si>
  <si>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</si>
  <si>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</si>
  <si>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</si>
  <si>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</si>
  <si>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</si>
  <si>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</si>
  <si>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</si>
  <si>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</si>
  <si>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</si>
  <si>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</si>
  <si>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</si>
  <si>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</si>
  <si>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</si>
  <si>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</si>
  <si>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</si>
  <si>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</si>
  <si>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</si>
  <si>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</si>
  <si>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</si>
  <si>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</si>
  <si>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</si>
  <si>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</si>
  <si>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</si>
  <si>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</si>
  <si>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</si>
  <si>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</si>
  <si>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</si>
  <si>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</si>
  <si>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</si>
  <si>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</si>
  <si>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</si>
  <si>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</si>
  <si>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</si>
  <si>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</si>
  <si>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</si>
  <si>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</si>
  <si>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</si>
  <si>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</si>
  <si>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</si>
  <si>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</si>
  <si>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</si>
  <si>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</si>
  <si>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</si>
  <si>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</si>
  <si>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</si>
  <si>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</si>
  <si>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</si>
  <si>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</si>
  <si>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</si>
  <si>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</si>
  <si>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</si>
  <si>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</si>
  <si>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</si>
  <si>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</si>
  <si>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</si>
  <si>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</si>
  <si>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</si>
  <si>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</si>
  <si>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</si>
  <si>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</si>
  <si>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</si>
  <si>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</si>
  <si>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</si>
  <si>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</si>
  <si>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</si>
  <si>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</si>
  <si>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</si>
  <si>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</si>
  <si>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</si>
  <si>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</si>
  <si>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</si>
  <si>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</si>
  <si>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</si>
  <si>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</si>
  <si>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</si>
  <si>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</si>
  <si>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</si>
  <si>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</si>
  <si>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</si>
  <si>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</si>
  <si>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</si>
  <si>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</si>
  <si>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</si>
  <si>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</si>
  <si>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</si>
  <si>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</si>
  <si>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</si>
  <si>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</si>
  <si>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</si>
  <si>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</si>
  <si>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</si>
  <si>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</si>
  <si>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</si>
  <si>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</si>
  <si>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</si>
  <si>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</si>
  <si>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</si>
  <si>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</si>
  <si>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</si>
  <si>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</si>
  <si>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</si>
  <si>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</si>
  <si>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</si>
  <si>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</si>
  <si>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</si>
  <si>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</si>
  <si>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</si>
  <si>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</si>
  <si>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</si>
  <si>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</si>
  <si>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</si>
  <si>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</si>
  <si>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</si>
  <si>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</si>
  <si>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</si>
  <si>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</si>
  <si>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</si>
  <si>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</si>
  <si>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</si>
  <si>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</si>
  <si>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</si>
  <si>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</si>
  <si>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</si>
  <si>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</si>
  <si>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</si>
  <si>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</si>
  <si>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</si>
  <si>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</si>
  <si>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</si>
  <si>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</si>
  <si>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</si>
  <si>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</si>
  <si>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</si>
  <si>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</si>
  <si>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</si>
  <si>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</si>
  <si>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</si>
  <si>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</si>
  <si>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</si>
  <si>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</si>
  <si>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</si>
  <si>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</si>
  <si>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</si>
  <si>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</si>
  <si>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</si>
  <si>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</si>
  <si>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</si>
  <si>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</si>
  <si>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</si>
  <si>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</si>
  <si>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</si>
  <si>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</si>
  <si>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</si>
  <si>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</si>
  <si>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</si>
  <si>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</si>
  <si>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</si>
  <si>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</si>
  <si>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</si>
  <si>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</si>
  <si>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</si>
  <si>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</si>
  <si>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</si>
  <si>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</si>
  <si>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</si>
  <si>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</si>
  <si>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</si>
  <si>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</si>
  <si>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</si>
  <si>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</si>
  <si>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</si>
  <si>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</si>
  <si>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</si>
  <si>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</si>
  <si>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</si>
  <si>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</si>
  <si>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</si>
  <si>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</si>
  <si>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</si>
  <si>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</si>
  <si>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</si>
  <si>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</si>
  <si>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</si>
  <si>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</si>
  <si>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</si>
  <si>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</si>
  <si>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</si>
  <si>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</si>
  <si>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</si>
  <si>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</si>
  <si>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</si>
  <si>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</si>
  <si>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</si>
  <si>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</si>
  <si>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</si>
  <si>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</si>
  <si>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</si>
  <si>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</si>
  <si>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</si>
  <si>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</si>
  <si>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</si>
  <si>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</si>
  <si>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</si>
  <si>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</si>
  <si>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</si>
  <si>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</si>
  <si>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</si>
  <si>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</si>
  <si>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</si>
  <si>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</si>
  <si>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</si>
  <si>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</si>
  <si>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</si>
  <si>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</si>
  <si>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</si>
  <si>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</si>
  <si>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</si>
  <si>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</si>
  <si>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</si>
  <si>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</si>
  <si>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</si>
  <si>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</si>
  <si>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</si>
  <si>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</si>
  <si>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</si>
  <si>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</si>
  <si>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</si>
  <si>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</si>
  <si>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</si>
  <si>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</si>
  <si>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</si>
  <si>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</si>
  <si>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</si>
  <si>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</si>
  <si>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</si>
  <si>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</si>
  <si>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</si>
  <si>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</si>
  <si>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</si>
  <si>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</si>
  <si>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</si>
  <si>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</si>
  <si>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</si>
  <si>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</si>
  <si>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</si>
  <si>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</si>
  <si>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</si>
  <si>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</si>
  <si>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</si>
  <si>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</si>
  <si>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</si>
  <si>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</si>
  <si>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</si>
  <si>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</si>
  <si>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</si>
  <si>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</si>
  <si>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</si>
  <si>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</si>
  <si>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</si>
  <si>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</si>
  <si>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</si>
  <si>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</si>
  <si>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</si>
  <si>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</si>
  <si>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</si>
  <si>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</si>
  <si>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</si>
  <si>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</si>
  <si>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</si>
  <si>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</si>
  <si>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</si>
  <si>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</si>
  <si>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</si>
  <si>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</si>
  <si>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</si>
  <si>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</si>
  <si>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</si>
  <si>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</si>
  <si>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</si>
  <si>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</si>
  <si>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</si>
  <si>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</si>
  <si>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</si>
  <si>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</si>
  <si>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</si>
  <si>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</si>
  <si>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</si>
  <si>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</si>
  <si>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</si>
  <si>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</si>
  <si>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</si>
  <si>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</si>
  <si>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</si>
  <si>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</si>
  <si>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</si>
  <si>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</si>
  <si>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</si>
  <si>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</si>
  <si>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</si>
  <si>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</si>
  <si>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</si>
  <si>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</si>
  <si>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</si>
  <si>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</si>
  <si>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</si>
  <si>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</si>
  <si>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</si>
  <si>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</si>
  <si>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</si>
  <si>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</si>
  <si>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</si>
  <si>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</si>
  <si>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</si>
  <si>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</si>
  <si>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</si>
  <si>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</si>
  <si>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</si>
  <si>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</si>
  <si>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</si>
  <si>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</si>
  <si>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</si>
  <si>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</si>
  <si>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</si>
  <si>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</si>
  <si>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</si>
  <si>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</si>
  <si>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</si>
  <si>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</si>
  <si>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</si>
  <si>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</si>
  <si>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</si>
  <si>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</si>
  <si>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</si>
  <si>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</si>
  <si>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</si>
  <si>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</si>
  <si>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</si>
  <si>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</si>
  <si>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</si>
  <si>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</si>
  <si>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</si>
  <si>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</si>
  <si>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</si>
  <si>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</si>
  <si>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</si>
  <si>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</si>
  <si>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</si>
  <si>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</si>
  <si>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</si>
  <si>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</si>
  <si>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</si>
  <si>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</si>
  <si>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</si>
  <si>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</si>
  <si>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</si>
  <si>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</si>
  <si>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</si>
  <si>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</si>
  <si>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</si>
  <si>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</si>
  <si>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</si>
  <si>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</si>
  <si>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</si>
  <si>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</si>
  <si>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</si>
  <si>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</si>
  <si>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</si>
  <si>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</si>
  <si>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</si>
  <si>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</si>
  <si>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</si>
  <si>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</si>
  <si>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</si>
  <si>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一般店</t>
  </si>
  <si>
    <t>數位店</t>
  </si>
  <si>
    <t>StoreType</t>
  </si>
  <si>
    <t>Hardware</t>
  </si>
  <si>
    <t>V4</t>
  </si>
  <si>
    <t>D2</t>
  </si>
  <si>
    <t>V3</t>
  </si>
  <si>
    <t>D1*.16 .17, V2*18</t>
  </si>
  <si>
    <t>V1</t>
  </si>
  <si>
    <t>V2</t>
  </si>
  <si>
    <t>D1</t>
  </si>
  <si>
    <t>V2*.16, V3*.17</t>
  </si>
  <si>
    <t>V2*.16.17,V3*.18</t>
  </si>
  <si>
    <t>V4*.16,D2*.17.18</t>
  </si>
  <si>
    <t>V3*.16~18, D2*.19</t>
  </si>
  <si>
    <t>V4*.16 .17, D2*.18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</si>
</sst>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43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IOSK-ListV-20260526.xlsx" TargetMode="External"/><Relationship Id="rId2" Type="http://schemas.openxmlformats.org/officeDocument/2006/relationships/externalLinkPath" Target="/Users/lenlin/Downloads/KIOSK-ListV-20260526.xlsx" TargetMode="External"/><Relationship Id="rId1" Type="http://schemas.openxmlformats.org/officeDocument/2006/relationships/externalLinkPath" Target="/Users/lenlin/Downloads/KIOSK-ListV-202605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ardwareLi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I991"/>
  <sheetViews>
    <sheetView tabSelected="1" zoomScale="12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3203125" style="23" customWidth="1"/>
    <col min="7" max="7" width="17.83203125" style="23" bestFit="1" customWidth="1"/>
    <col min="8" max="8" width="15.83203125" style="23" customWidth="1"/>
    <col min="9" max="11" width="18.1640625" style="16" customWidth="1"/>
    <col min="12" max="14" width="18.1640625" style="6" customWidth="1"/>
    <col min="15" max="17" width="18.16406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2" width="15" style="40" customWidth="1"/>
    <col min="33" max="34" width="15" style="2" customWidth="1"/>
    <col min="35" max="35" width="15" style="40" customWidth="1"/>
    <col min="36" max="16384" width="12.6640625" style="2"/>
  </cols>
  <sheetData>
    <row r="1" spans="1:35" ht="15.75" customHeight="1" x14ac:dyDescent="0.2">
      <c r="F1" s="41" t="s">
        <v>0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 t="s">
        <v>1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11" customFormat="1" ht="46" customHeight="1" x14ac:dyDescent="0.2">
      <c r="A2" s="26" t="s">
        <v>2</v>
      </c>
      <c r="B2" s="26" t="s">
        <v>431</v>
      </c>
      <c r="C2" s="26" t="s">
        <v>432</v>
      </c>
      <c r="D2" s="26" t="s">
        <v>3</v>
      </c>
      <c r="E2" s="27" t="s">
        <v>4</v>
      </c>
      <c r="F2" s="28" t="s">
        <v>5</v>
      </c>
      <c r="G2" s="29" t="s">
        <v>6</v>
      </c>
      <c r="H2" s="30" t="s">
        <v>7</v>
      </c>
      <c r="I2" s="31" t="s">
        <v>8</v>
      </c>
      <c r="J2" s="32" t="s">
        <v>9</v>
      </c>
      <c r="K2" s="32" t="s">
        <v>10</v>
      </c>
      <c r="L2" s="33" t="s">
        <v>11</v>
      </c>
      <c r="M2" s="33" t="s">
        <v>12</v>
      </c>
      <c r="N2" s="33" t="s">
        <v>13</v>
      </c>
      <c r="O2" s="34" t="s">
        <v>14</v>
      </c>
      <c r="P2" s="34" t="s">
        <v>15</v>
      </c>
      <c r="Q2" s="34" t="s">
        <v>16</v>
      </c>
      <c r="R2" s="37" t="s">
        <v>17</v>
      </c>
      <c r="S2" s="37" t="s">
        <v>18</v>
      </c>
      <c r="T2" s="38" t="s">
        <v>19</v>
      </c>
      <c r="U2" s="37" t="s">
        <v>20</v>
      </c>
      <c r="V2" s="37" t="s">
        <v>21</v>
      </c>
      <c r="W2" s="38" t="s">
        <v>22</v>
      </c>
      <c r="X2" s="37" t="s">
        <v>23</v>
      </c>
      <c r="Y2" s="37" t="s">
        <v>24</v>
      </c>
      <c r="Z2" s="38" t="s">
        <v>25</v>
      </c>
      <c r="AA2" s="37" t="s">
        <v>26</v>
      </c>
      <c r="AB2" s="37" t="s">
        <v>27</v>
      </c>
      <c r="AC2" s="38" t="s">
        <v>28</v>
      </c>
      <c r="AD2" s="37" t="s">
        <v>29</v>
      </c>
      <c r="AE2" s="37" t="s">
        <v>30</v>
      </c>
      <c r="AF2" s="38" t="s">
        <v>31</v>
      </c>
      <c r="AG2" s="37" t="s">
        <v>32</v>
      </c>
      <c r="AH2" s="37" t="s">
        <v>33</v>
      </c>
      <c r="AI2" s="38" t="s">
        <v>34</v>
      </c>
    </row>
    <row r="3" spans="1:35" ht="15.75" customHeight="1" x14ac:dyDescent="0.2">
      <c r="A3" s="1" t="s">
        <v>35</v>
      </c>
      <c r="B3" s="1" t="s">
        <v>429</v>
      </c>
      <c r="C3" s="1" t="s">
        <v>433</v>
      </c>
      <c r="D3" s="1" t="s">
        <v>36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514158</v>
      </c>
      <c r="S3" s="36">
        <v>424889</v>
      </c>
      <c r="T3" s="39">
        <v>0.82640000000000002</v>
      </c>
      <c r="U3" s="36">
        <v>2737179</v>
      </c>
      <c r="V3" s="36">
        <v>2062829</v>
      </c>
      <c r="W3" s="39">
        <v>0.75360000000000005</v>
      </c>
      <c r="X3" s="36">
        <v>2187960</v>
      </c>
      <c r="Y3" s="36">
        <v>1614788</v>
      </c>
      <c r="Z3" s="39">
        <v>0.73799999999999999</v>
      </c>
      <c r="AA3" s="36">
        <v>1695971</v>
      </c>
      <c r="AB3" s="36">
        <v>974053</v>
      </c>
      <c r="AC3" s="39">
        <v>0.57430000000000003</v>
      </c>
      <c r="AD3" s="36">
        <v>1713518</v>
      </c>
      <c r="AE3" s="36">
        <v>951121</v>
      </c>
      <c r="AF3" s="39">
        <v>0.55510000000000004</v>
      </c>
      <c r="AG3" s="36">
        <v>1201474</v>
      </c>
      <c r="AH3" s="36">
        <v>666090</v>
      </c>
      <c r="AI3" s="39">
        <v>0.5544</v>
      </c>
    </row>
    <row r="4" spans="1:35" ht="15.75" customHeight="1" x14ac:dyDescent="0.2">
      <c r="A4" s="1" t="s">
        <v>37</v>
      </c>
      <c r="B4" s="1" t="s">
        <v>429</v>
      </c>
      <c r="C4" s="1" t="s">
        <v>433</v>
      </c>
      <c r="D4" s="1" t="s">
        <v>38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1155348</v>
      </c>
      <c r="S4" s="36">
        <v>1031010</v>
      </c>
      <c r="T4" s="39">
        <v>0.89239999999999997</v>
      </c>
      <c r="U4" s="36">
        <v>2350663</v>
      </c>
      <c r="V4" s="36">
        <v>1943541</v>
      </c>
      <c r="W4" s="39">
        <v>0.82679999999999998</v>
      </c>
      <c r="X4" s="36">
        <v>2445458</v>
      </c>
      <c r="Y4" s="36">
        <v>1824661</v>
      </c>
      <c r="Z4" s="39">
        <v>0.74609999999999999</v>
      </c>
      <c r="AA4" s="36">
        <v>2869331</v>
      </c>
      <c r="AB4" s="36">
        <v>1419176</v>
      </c>
      <c r="AC4" s="39">
        <v>0.49459999999999998</v>
      </c>
      <c r="AD4" s="36">
        <v>2647040</v>
      </c>
      <c r="AE4" s="36">
        <v>1198903</v>
      </c>
      <c r="AF4" s="39">
        <v>0.45290000000000002</v>
      </c>
      <c r="AG4" s="36">
        <v>1890211</v>
      </c>
      <c r="AH4" s="36">
        <v>897222</v>
      </c>
      <c r="AI4" s="39">
        <v>0.47470000000000001</v>
      </c>
    </row>
    <row r="5" spans="1:35" ht="15.75" customHeight="1" x14ac:dyDescent="0.2">
      <c r="A5" s="1" t="s">
        <v>39</v>
      </c>
      <c r="B5" s="1" t="s">
        <v>429</v>
      </c>
      <c r="C5" s="1" t="s">
        <v>433</v>
      </c>
      <c r="D5" s="1" t="s">
        <v>40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2308350</v>
      </c>
      <c r="S5" s="36">
        <v>1929996</v>
      </c>
      <c r="T5" s="39">
        <v>0.83609999999999995</v>
      </c>
      <c r="U5" s="36">
        <v>2221742</v>
      </c>
      <c r="V5" s="36">
        <v>1755068</v>
      </c>
      <c r="W5" s="39">
        <v>0.79</v>
      </c>
      <c r="X5" s="36">
        <v>2750310</v>
      </c>
      <c r="Y5" s="36">
        <v>2051801</v>
      </c>
      <c r="Z5" s="39">
        <v>0.746</v>
      </c>
      <c r="AA5" s="36">
        <v>2124366</v>
      </c>
      <c r="AB5" s="36">
        <v>1254611</v>
      </c>
      <c r="AC5" s="39">
        <v>0.59060000000000001</v>
      </c>
      <c r="AD5" s="36">
        <v>2025547</v>
      </c>
      <c r="AE5" s="36">
        <v>1098754</v>
      </c>
      <c r="AF5" s="39">
        <v>0.54239999999999999</v>
      </c>
      <c r="AG5" s="36">
        <v>1411901</v>
      </c>
      <c r="AH5" s="36">
        <v>874528</v>
      </c>
      <c r="AI5" s="39">
        <v>0.61939999999999995</v>
      </c>
    </row>
    <row r="6" spans="1:35" ht="15.75" customHeight="1" x14ac:dyDescent="0.2">
      <c r="A6" s="1" t="s">
        <v>41</v>
      </c>
      <c r="B6" s="1" t="s">
        <v>429</v>
      </c>
      <c r="C6" s="1" t="s">
        <v>433</v>
      </c>
      <c r="D6" s="1" t="s">
        <v>42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2404653</v>
      </c>
      <c r="S6" s="36">
        <v>1899875</v>
      </c>
      <c r="T6" s="39">
        <v>0.79010000000000002</v>
      </c>
      <c r="U6" s="36">
        <v>2289696</v>
      </c>
      <c r="V6" s="36">
        <v>1796955</v>
      </c>
      <c r="W6" s="39">
        <v>0.78480000000000005</v>
      </c>
      <c r="X6" s="36">
        <v>2277167</v>
      </c>
      <c r="Y6" s="36">
        <v>1880023</v>
      </c>
      <c r="Z6" s="39">
        <v>0.8256</v>
      </c>
      <c r="AA6" s="36">
        <v>2123002</v>
      </c>
      <c r="AB6" s="36">
        <v>1495202</v>
      </c>
      <c r="AC6" s="39">
        <v>0.70430000000000004</v>
      </c>
      <c r="AD6" s="36">
        <v>1734979</v>
      </c>
      <c r="AE6" s="36">
        <v>1251551</v>
      </c>
      <c r="AF6" s="39">
        <v>0.72140000000000004</v>
      </c>
      <c r="AG6" s="36">
        <v>1305099</v>
      </c>
      <c r="AH6" s="36">
        <v>991903</v>
      </c>
      <c r="AI6" s="39">
        <v>0.76</v>
      </c>
    </row>
    <row r="7" spans="1:35" ht="15.75" customHeight="1" x14ac:dyDescent="0.2">
      <c r="A7" s="1" t="s">
        <v>43</v>
      </c>
      <c r="B7" s="1" t="s">
        <v>429</v>
      </c>
      <c r="C7" s="1" t="s">
        <v>433</v>
      </c>
      <c r="D7" s="1" t="s">
        <v>44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1994559</v>
      </c>
      <c r="S7" s="36">
        <v>1611313</v>
      </c>
      <c r="T7" s="39">
        <v>0.80789999999999995</v>
      </c>
      <c r="U7" s="36">
        <v>1918610</v>
      </c>
      <c r="V7" s="36">
        <v>1469659</v>
      </c>
      <c r="W7" s="39">
        <v>0.76600000000000001</v>
      </c>
      <c r="X7" s="36">
        <v>2417894</v>
      </c>
      <c r="Y7" s="36">
        <v>1787411</v>
      </c>
      <c r="Z7" s="39">
        <v>0.73919999999999997</v>
      </c>
      <c r="AA7" s="36">
        <v>1780604</v>
      </c>
      <c r="AB7" s="36">
        <v>1076607</v>
      </c>
      <c r="AC7" s="39">
        <v>0.60460000000000003</v>
      </c>
      <c r="AD7" s="36">
        <v>1579499</v>
      </c>
      <c r="AE7" s="36">
        <v>909145</v>
      </c>
      <c r="AF7" s="39">
        <v>0.5756</v>
      </c>
      <c r="AG7" s="36">
        <v>1126987</v>
      </c>
      <c r="AH7" s="36">
        <v>698332</v>
      </c>
      <c r="AI7" s="39">
        <v>0.61960000000000004</v>
      </c>
    </row>
    <row r="8" spans="1:35" ht="15.75" customHeight="1" x14ac:dyDescent="0.2">
      <c r="A8" s="1" t="s">
        <v>45</v>
      </c>
      <c r="B8" s="1" t="s">
        <v>429</v>
      </c>
      <c r="C8" s="1" t="s">
        <v>434</v>
      </c>
      <c r="D8" s="1" t="s">
        <v>46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2751026</v>
      </c>
      <c r="S8" s="36">
        <v>2274767</v>
      </c>
      <c r="T8" s="39">
        <v>0.82689999999999997</v>
      </c>
      <c r="U8" s="36">
        <v>2700939</v>
      </c>
      <c r="V8" s="36">
        <v>1979096</v>
      </c>
      <c r="W8" s="39">
        <v>0.73270000000000002</v>
      </c>
      <c r="X8" s="36">
        <v>2626245</v>
      </c>
      <c r="Y8" s="36">
        <v>1899267</v>
      </c>
      <c r="Z8" s="39">
        <v>0.72319999999999995</v>
      </c>
      <c r="AA8" s="36">
        <v>2865562</v>
      </c>
      <c r="AB8" s="36">
        <v>1642709</v>
      </c>
      <c r="AC8" s="39">
        <v>0.57330000000000003</v>
      </c>
      <c r="AD8" s="36">
        <v>2788662</v>
      </c>
      <c r="AE8" s="36">
        <v>1554031</v>
      </c>
      <c r="AF8" s="39">
        <v>0.55730000000000002</v>
      </c>
      <c r="AG8" s="36">
        <v>1934003</v>
      </c>
      <c r="AH8" s="36">
        <v>1106517</v>
      </c>
      <c r="AI8" s="39">
        <v>0.57210000000000005</v>
      </c>
    </row>
    <row r="9" spans="1:35" ht="15.75" customHeight="1" x14ac:dyDescent="0.2">
      <c r="A9" s="1" t="s">
        <v>47</v>
      </c>
      <c r="B9" s="1" t="s">
        <v>429</v>
      </c>
      <c r="C9" s="1" t="s">
        <v>434</v>
      </c>
      <c r="D9" s="1" t="s">
        <v>48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2553521</v>
      </c>
      <c r="S9" s="36">
        <v>2132458</v>
      </c>
      <c r="T9" s="39">
        <v>0.83509999999999995</v>
      </c>
      <c r="U9" s="36">
        <v>2447368</v>
      </c>
      <c r="V9" s="36">
        <v>1810534</v>
      </c>
      <c r="W9" s="39">
        <v>0.73980000000000001</v>
      </c>
      <c r="X9" s="36">
        <v>2646500</v>
      </c>
      <c r="Y9" s="36">
        <v>1896005</v>
      </c>
      <c r="Z9" s="39">
        <v>0.71640000000000004</v>
      </c>
      <c r="AA9" s="36">
        <v>2236382</v>
      </c>
      <c r="AB9" s="36">
        <v>1333818</v>
      </c>
      <c r="AC9" s="39">
        <v>0.59640000000000004</v>
      </c>
      <c r="AD9" s="36">
        <v>2146768</v>
      </c>
      <c r="AE9" s="36">
        <v>1169755</v>
      </c>
      <c r="AF9" s="39">
        <v>0.54490000000000005</v>
      </c>
      <c r="AG9" s="36">
        <v>1559424</v>
      </c>
      <c r="AH9" s="36">
        <v>920475</v>
      </c>
      <c r="AI9" s="39">
        <v>0.59030000000000005</v>
      </c>
    </row>
    <row r="10" spans="1:35" ht="15.75" customHeight="1" x14ac:dyDescent="0.2">
      <c r="A10" s="1" t="s">
        <v>49</v>
      </c>
      <c r="B10" s="1" t="s">
        <v>429</v>
      </c>
      <c r="C10" s="1" t="s">
        <v>433</v>
      </c>
      <c r="D10" s="1" t="s">
        <v>50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2110634</v>
      </c>
      <c r="S10" s="36">
        <v>1412095</v>
      </c>
      <c r="T10" s="39">
        <v>0.66900000000000004</v>
      </c>
      <c r="U10" s="36">
        <v>1942765</v>
      </c>
      <c r="V10" s="36">
        <v>1238696</v>
      </c>
      <c r="W10" s="39">
        <v>0.63759999999999994</v>
      </c>
      <c r="X10" s="36">
        <v>2023206</v>
      </c>
      <c r="Y10" s="36">
        <v>1354085</v>
      </c>
      <c r="Z10" s="39">
        <v>0.66930000000000001</v>
      </c>
      <c r="AA10" s="36">
        <v>1901351</v>
      </c>
      <c r="AB10" s="36">
        <v>958451</v>
      </c>
      <c r="AC10" s="39">
        <v>0.50409999999999999</v>
      </c>
      <c r="AD10" s="36">
        <v>1788484</v>
      </c>
      <c r="AE10" s="36">
        <v>897921</v>
      </c>
      <c r="AF10" s="39">
        <v>0.50209999999999999</v>
      </c>
      <c r="AG10" s="36">
        <v>1208020</v>
      </c>
      <c r="AH10" s="36">
        <v>645238</v>
      </c>
      <c r="AI10" s="39">
        <v>0.53410000000000002</v>
      </c>
    </row>
    <row r="11" spans="1:35" ht="15.75" customHeight="1" x14ac:dyDescent="0.2">
      <c r="A11" s="1" t="s">
        <v>51</v>
      </c>
      <c r="B11" s="1" t="s">
        <v>429</v>
      </c>
      <c r="C11" s="1" t="s">
        <v>433</v>
      </c>
      <c r="D11" s="1" t="s">
        <v>52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1794561</v>
      </c>
      <c r="S11" s="36">
        <v>1467530</v>
      </c>
      <c r="T11" s="39">
        <v>0.81779999999999997</v>
      </c>
      <c r="U11" s="36">
        <v>1737734</v>
      </c>
      <c r="V11" s="36">
        <v>1261680</v>
      </c>
      <c r="W11" s="39">
        <v>0.72599999999999998</v>
      </c>
      <c r="X11" s="36">
        <v>2136385</v>
      </c>
      <c r="Y11" s="36">
        <v>1593986</v>
      </c>
      <c r="Z11" s="39">
        <v>0.74609999999999999</v>
      </c>
      <c r="AA11" s="36">
        <v>1910354</v>
      </c>
      <c r="AB11" s="36">
        <v>1117296</v>
      </c>
      <c r="AC11" s="39">
        <v>0.58489999999999998</v>
      </c>
      <c r="AD11" s="36">
        <v>2042289</v>
      </c>
      <c r="AE11" s="36">
        <v>973943</v>
      </c>
      <c r="AF11" s="39">
        <v>0.47689999999999999</v>
      </c>
      <c r="AG11" s="36">
        <v>1456005</v>
      </c>
      <c r="AH11" s="36">
        <v>764699</v>
      </c>
      <c r="AI11" s="39">
        <v>0.5252</v>
      </c>
    </row>
    <row r="12" spans="1:35" ht="15.75" customHeight="1" x14ac:dyDescent="0.2">
      <c r="A12" s="1" t="s">
        <v>53</v>
      </c>
      <c r="B12" s="1" t="s">
        <v>429</v>
      </c>
      <c r="C12" s="1" t="s">
        <v>433</v>
      </c>
      <c r="D12" s="1" t="s">
        <v>54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2990837</v>
      </c>
      <c r="S12" s="36">
        <v>1950204</v>
      </c>
      <c r="T12" s="39">
        <v>0.65210000000000001</v>
      </c>
      <c r="U12" s="36">
        <v>2673268</v>
      </c>
      <c r="V12" s="36">
        <v>1636321</v>
      </c>
      <c r="W12" s="39">
        <v>0.61209999999999998</v>
      </c>
      <c r="X12" s="36">
        <v>2625146</v>
      </c>
      <c r="Y12" s="36">
        <v>1363178</v>
      </c>
      <c r="Z12" s="39">
        <v>0.51929999999999998</v>
      </c>
      <c r="AA12" s="36">
        <v>2730160</v>
      </c>
      <c r="AB12" s="36">
        <v>1447675</v>
      </c>
      <c r="AC12" s="39">
        <v>0.53029999999999999</v>
      </c>
      <c r="AD12" s="36">
        <v>2490977</v>
      </c>
      <c r="AE12" s="36">
        <v>1324176</v>
      </c>
      <c r="AF12" s="39">
        <v>0.53159999999999996</v>
      </c>
      <c r="AG12" s="36">
        <v>1624600</v>
      </c>
      <c r="AH12" s="36">
        <v>904859</v>
      </c>
      <c r="AI12" s="39">
        <v>0.55700000000000005</v>
      </c>
    </row>
    <row r="13" spans="1:35" ht="15.75" customHeight="1" x14ac:dyDescent="0.2">
      <c r="A13" s="1" t="s">
        <v>55</v>
      </c>
      <c r="B13" s="1" t="s">
        <v>429</v>
      </c>
      <c r="C13" s="1" t="s">
        <v>434</v>
      </c>
      <c r="D13" s="1" t="s">
        <v>56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2568466</v>
      </c>
      <c r="S13" s="36">
        <v>1748243</v>
      </c>
      <c r="T13" s="39">
        <v>0.68069999999999997</v>
      </c>
      <c r="U13" s="36">
        <v>2398007</v>
      </c>
      <c r="V13" s="36">
        <v>1603013</v>
      </c>
      <c r="W13" s="39">
        <v>0.66849999999999998</v>
      </c>
      <c r="X13" s="36">
        <v>2726745</v>
      </c>
      <c r="Y13" s="36">
        <v>1903357</v>
      </c>
      <c r="Z13" s="39">
        <v>0.69799999999999995</v>
      </c>
      <c r="AA13" s="36">
        <v>2424405</v>
      </c>
      <c r="AB13" s="36">
        <v>1317988</v>
      </c>
      <c r="AC13" s="39">
        <v>0.54359999999999997</v>
      </c>
      <c r="AD13" s="36">
        <v>2140200</v>
      </c>
      <c r="AE13" s="36">
        <v>1089480</v>
      </c>
      <c r="AF13" s="39">
        <v>0.5091</v>
      </c>
      <c r="AG13" s="36">
        <v>1513442</v>
      </c>
      <c r="AH13" s="36">
        <v>893432</v>
      </c>
      <c r="AI13" s="39">
        <v>0.59030000000000005</v>
      </c>
    </row>
    <row r="14" spans="1:35" ht="15.75" customHeight="1" x14ac:dyDescent="0.2">
      <c r="A14" s="1" t="s">
        <v>57</v>
      </c>
      <c r="B14" s="1" t="s">
        <v>429</v>
      </c>
      <c r="C14" s="1" t="s">
        <v>434</v>
      </c>
      <c r="D14" s="1" t="s">
        <v>58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1438432</v>
      </c>
      <c r="S14" s="36">
        <v>1195557</v>
      </c>
      <c r="T14" s="39">
        <v>0.83120000000000005</v>
      </c>
      <c r="U14" s="36">
        <v>1490360</v>
      </c>
      <c r="V14" s="36">
        <v>1181448</v>
      </c>
      <c r="W14" s="39">
        <v>0.79269999999999996</v>
      </c>
      <c r="X14" s="36">
        <v>1789956</v>
      </c>
      <c r="Y14" s="36">
        <v>1406466</v>
      </c>
      <c r="Z14" s="39">
        <v>0.78580000000000005</v>
      </c>
      <c r="AA14" s="36">
        <v>1580040</v>
      </c>
      <c r="AB14" s="36">
        <v>895804</v>
      </c>
      <c r="AC14" s="39">
        <v>0.56689999999999996</v>
      </c>
      <c r="AD14" s="36">
        <v>1398228</v>
      </c>
      <c r="AE14" s="36">
        <v>711749</v>
      </c>
      <c r="AF14" s="39">
        <v>0.50900000000000001</v>
      </c>
      <c r="AG14" s="36">
        <v>1001029</v>
      </c>
      <c r="AH14" s="36">
        <v>572482</v>
      </c>
      <c r="AI14" s="39">
        <v>0.57189999999999996</v>
      </c>
    </row>
    <row r="15" spans="1:35" ht="15.75" customHeight="1" x14ac:dyDescent="0.2">
      <c r="A15" s="1" t="s">
        <v>59</v>
      </c>
      <c r="B15" s="1" t="s">
        <v>429</v>
      </c>
      <c r="C15" s="1" t="s">
        <v>433</v>
      </c>
      <c r="D15" s="1" t="s">
        <v>60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1905353</v>
      </c>
      <c r="S15" s="36">
        <v>1198511</v>
      </c>
      <c r="T15" s="39">
        <v>0.629</v>
      </c>
      <c r="U15" s="36">
        <v>1972817</v>
      </c>
      <c r="V15" s="36">
        <v>1152159</v>
      </c>
      <c r="W15" s="39">
        <v>0.58399999999999996</v>
      </c>
      <c r="X15" s="36">
        <v>2005605</v>
      </c>
      <c r="Y15" s="36">
        <v>1265694</v>
      </c>
      <c r="Z15" s="39">
        <v>0.63109999999999999</v>
      </c>
      <c r="AA15" s="36">
        <v>1825348</v>
      </c>
      <c r="AB15" s="36">
        <v>976941</v>
      </c>
      <c r="AC15" s="39">
        <v>0.53520000000000001</v>
      </c>
      <c r="AD15" s="36">
        <v>1693072</v>
      </c>
      <c r="AE15" s="36">
        <v>975196</v>
      </c>
      <c r="AF15" s="39">
        <v>0.57599999999999996</v>
      </c>
      <c r="AG15" s="36">
        <v>1190440</v>
      </c>
      <c r="AH15" s="36">
        <v>694017</v>
      </c>
      <c r="AI15" s="39">
        <v>0.58299999999999996</v>
      </c>
    </row>
    <row r="16" spans="1:35" ht="15.75" customHeight="1" x14ac:dyDescent="0.2">
      <c r="A16" s="1" t="s">
        <v>61</v>
      </c>
      <c r="B16" s="1" t="s">
        <v>429</v>
      </c>
      <c r="C16" s="1" t="s">
        <v>435</v>
      </c>
      <c r="D16" s="1" t="s">
        <v>62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1946187</v>
      </c>
      <c r="S16" s="36">
        <v>1234908</v>
      </c>
      <c r="T16" s="39">
        <v>0.63449999999999995</v>
      </c>
      <c r="U16" s="36">
        <v>2059200</v>
      </c>
      <c r="V16" s="36">
        <v>1153533</v>
      </c>
      <c r="W16" s="39">
        <v>0.56020000000000003</v>
      </c>
      <c r="X16" s="36">
        <v>2363675</v>
      </c>
      <c r="Y16" s="36">
        <v>1504899</v>
      </c>
      <c r="Z16" s="39">
        <v>0.63670000000000004</v>
      </c>
      <c r="AA16" s="36">
        <v>2226764</v>
      </c>
      <c r="AB16" s="36">
        <v>922420</v>
      </c>
      <c r="AC16" s="39">
        <v>0.41420000000000001</v>
      </c>
      <c r="AD16" s="36">
        <v>1781788</v>
      </c>
      <c r="AE16" s="36">
        <v>872759</v>
      </c>
      <c r="AF16" s="39">
        <v>0.48980000000000001</v>
      </c>
      <c r="AG16" s="36">
        <v>1268309</v>
      </c>
      <c r="AH16" s="36">
        <v>728785</v>
      </c>
      <c r="AI16" s="39">
        <v>0.5746</v>
      </c>
    </row>
    <row r="17" spans="1:35" ht="15.75" customHeight="1" x14ac:dyDescent="0.2">
      <c r="A17" s="1" t="s">
        <v>63</v>
      </c>
      <c r="B17" s="1" t="s">
        <v>429</v>
      </c>
      <c r="C17" s="1" t="s">
        <v>433</v>
      </c>
      <c r="D17" s="1" t="s">
        <v>64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2462462</v>
      </c>
      <c r="S17" s="36">
        <v>1547081</v>
      </c>
      <c r="T17" s="39">
        <v>0.62829999999999997</v>
      </c>
      <c r="U17" s="36">
        <v>2430568</v>
      </c>
      <c r="V17" s="36">
        <v>1428868</v>
      </c>
      <c r="W17" s="39">
        <v>0.58789999999999998</v>
      </c>
      <c r="X17" s="36">
        <v>2312457</v>
      </c>
      <c r="Y17" s="36">
        <v>1396735</v>
      </c>
      <c r="Z17" s="39">
        <v>0.60399999999999998</v>
      </c>
      <c r="AA17" s="36">
        <v>2169185</v>
      </c>
      <c r="AB17" s="36">
        <v>1047866</v>
      </c>
      <c r="AC17" s="39">
        <v>0.48309999999999997</v>
      </c>
      <c r="AD17" s="36">
        <v>1962588</v>
      </c>
      <c r="AE17" s="36">
        <v>924685</v>
      </c>
      <c r="AF17" s="39">
        <v>0.47120000000000001</v>
      </c>
      <c r="AG17" s="36">
        <v>1352486</v>
      </c>
      <c r="AH17" s="36">
        <v>700100</v>
      </c>
      <c r="AI17" s="39">
        <v>0.51759999999999995</v>
      </c>
    </row>
    <row r="18" spans="1:35" ht="15.75" customHeight="1" x14ac:dyDescent="0.2">
      <c r="A18" s="1" t="s">
        <v>65</v>
      </c>
      <c r="B18" s="1" t="s">
        <v>429</v>
      </c>
      <c r="C18" s="1" t="s">
        <v>433</v>
      </c>
      <c r="D18" s="1" t="s">
        <v>66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2586110</v>
      </c>
      <c r="S18" s="36">
        <v>1652095</v>
      </c>
      <c r="T18" s="39">
        <v>0.63880000000000003</v>
      </c>
      <c r="U18" s="36">
        <v>2293453</v>
      </c>
      <c r="V18" s="36">
        <v>1382123</v>
      </c>
      <c r="W18" s="39">
        <v>0.60260000000000002</v>
      </c>
      <c r="X18" s="36">
        <v>2326696</v>
      </c>
      <c r="Y18" s="36">
        <v>1439930</v>
      </c>
      <c r="Z18" s="39">
        <v>0.61890000000000001</v>
      </c>
      <c r="AA18" s="36">
        <v>2250592</v>
      </c>
      <c r="AB18" s="36">
        <v>1233602</v>
      </c>
      <c r="AC18" s="39">
        <v>0.54810000000000003</v>
      </c>
      <c r="AD18" s="36">
        <v>1895954</v>
      </c>
      <c r="AE18" s="36">
        <v>1056878</v>
      </c>
      <c r="AF18" s="39">
        <v>0.55740000000000001</v>
      </c>
      <c r="AG18" s="36">
        <v>1484769</v>
      </c>
      <c r="AH18" s="36">
        <v>916617</v>
      </c>
      <c r="AI18" s="39">
        <v>0.61729999999999996</v>
      </c>
    </row>
    <row r="19" spans="1:35" ht="15.75" customHeight="1" x14ac:dyDescent="0.2">
      <c r="A19" s="1" t="s">
        <v>67</v>
      </c>
      <c r="B19" s="1" t="s">
        <v>429</v>
      </c>
      <c r="C19" s="1" t="s">
        <v>434</v>
      </c>
      <c r="D19" s="1" t="s">
        <v>68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1979478</v>
      </c>
      <c r="S19" s="36">
        <v>1272126</v>
      </c>
      <c r="T19" s="39">
        <v>0.64270000000000005</v>
      </c>
      <c r="U19" s="36">
        <v>1781451</v>
      </c>
      <c r="V19" s="36">
        <v>1200935</v>
      </c>
      <c r="W19" s="39">
        <v>0.67410000000000003</v>
      </c>
      <c r="X19" s="36">
        <v>2208645</v>
      </c>
      <c r="Y19" s="36">
        <v>1519007</v>
      </c>
      <c r="Z19" s="39">
        <v>0.68779999999999997</v>
      </c>
      <c r="AA19" s="36">
        <v>1652867</v>
      </c>
      <c r="AB19" s="36">
        <v>956452</v>
      </c>
      <c r="AC19" s="39">
        <v>0.57869999999999999</v>
      </c>
      <c r="AD19" s="36">
        <v>1528785</v>
      </c>
      <c r="AE19" s="36">
        <v>888954</v>
      </c>
      <c r="AF19" s="39">
        <v>0.58150000000000002</v>
      </c>
      <c r="AG19" s="36">
        <v>1031256</v>
      </c>
      <c r="AH19" s="36">
        <v>637310</v>
      </c>
      <c r="AI19" s="39">
        <v>0.61799999999999999</v>
      </c>
    </row>
    <row r="20" spans="1:35" ht="15.75" customHeight="1" x14ac:dyDescent="0.2">
      <c r="A20" s="1" t="s">
        <v>69</v>
      </c>
      <c r="B20" s="1" t="s">
        <v>429</v>
      </c>
      <c r="C20" s="1" t="s">
        <v>434</v>
      </c>
      <c r="D20" s="1" t="s">
        <v>70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2286259</v>
      </c>
      <c r="S20" s="36">
        <v>1284277</v>
      </c>
      <c r="T20" s="39">
        <v>0.56169999999999998</v>
      </c>
      <c r="U20" s="36">
        <v>2154407</v>
      </c>
      <c r="V20" s="36">
        <v>1221781</v>
      </c>
      <c r="W20" s="39">
        <v>0.56710000000000005</v>
      </c>
      <c r="X20" s="36">
        <v>2575694</v>
      </c>
      <c r="Y20" s="36">
        <v>1520552</v>
      </c>
      <c r="Z20" s="39">
        <v>0.59030000000000005</v>
      </c>
      <c r="AA20" s="36">
        <v>2026663</v>
      </c>
      <c r="AB20" s="36">
        <v>994010</v>
      </c>
      <c r="AC20" s="39">
        <v>0.49049999999999999</v>
      </c>
      <c r="AD20" s="36">
        <v>1850153</v>
      </c>
      <c r="AE20" s="36">
        <v>864561</v>
      </c>
      <c r="AF20" s="39">
        <v>0.46729999999999999</v>
      </c>
      <c r="AG20" s="36">
        <v>1361634</v>
      </c>
      <c r="AH20" s="36">
        <v>723406</v>
      </c>
      <c r="AI20" s="39">
        <v>0.53129999999999999</v>
      </c>
    </row>
    <row r="21" spans="1:35" ht="15.75" customHeight="1" x14ac:dyDescent="0.2">
      <c r="A21" s="1" t="s">
        <v>71</v>
      </c>
      <c r="B21" s="1" t="s">
        <v>429</v>
      </c>
      <c r="C21" s="1" t="s">
        <v>434</v>
      </c>
      <c r="D21" s="1" t="s">
        <v>72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1304166</v>
      </c>
      <c r="S21" s="36">
        <v>869802</v>
      </c>
      <c r="T21" s="39">
        <v>0.66690000000000005</v>
      </c>
      <c r="U21" s="36">
        <v>1239717</v>
      </c>
      <c r="V21" s="36">
        <v>848063</v>
      </c>
      <c r="W21" s="39">
        <v>0.68410000000000004</v>
      </c>
      <c r="X21" s="36">
        <v>1593396</v>
      </c>
      <c r="Y21" s="36">
        <v>1077960</v>
      </c>
      <c r="Z21" s="39">
        <v>0.67649999999999999</v>
      </c>
      <c r="AA21" s="36">
        <v>1182388</v>
      </c>
      <c r="AB21" s="36">
        <v>720371</v>
      </c>
      <c r="AC21" s="39">
        <v>0.60929999999999995</v>
      </c>
      <c r="AD21" s="36">
        <v>1127464</v>
      </c>
      <c r="AE21" s="36">
        <v>666439</v>
      </c>
      <c r="AF21" s="39">
        <v>0.59109999999999996</v>
      </c>
      <c r="AG21" s="36">
        <v>780199</v>
      </c>
      <c r="AH21" s="36">
        <v>489049</v>
      </c>
      <c r="AI21" s="39">
        <v>0.62680000000000002</v>
      </c>
    </row>
    <row r="22" spans="1:35" ht="15.75" customHeight="1" x14ac:dyDescent="0.2">
      <c r="A22" s="1" t="s">
        <v>73</v>
      </c>
      <c r="B22" s="1" t="s">
        <v>429</v>
      </c>
      <c r="C22" s="1" t="s">
        <v>433</v>
      </c>
      <c r="D22" s="1" t="s">
        <v>74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>
        <v>2212284</v>
      </c>
      <c r="S22" s="36">
        <v>1388336</v>
      </c>
      <c r="T22" s="39">
        <v>0.62760000000000005</v>
      </c>
      <c r="U22" s="36">
        <v>1952249</v>
      </c>
      <c r="V22" s="36">
        <v>1192141</v>
      </c>
      <c r="W22" s="39">
        <v>0.61070000000000002</v>
      </c>
      <c r="X22" s="36">
        <v>1900459</v>
      </c>
      <c r="Y22" s="36">
        <v>1138495</v>
      </c>
      <c r="Z22" s="39">
        <v>0.59909999999999997</v>
      </c>
      <c r="AA22" s="36">
        <v>1792705</v>
      </c>
      <c r="AB22" s="36">
        <v>1102833</v>
      </c>
      <c r="AC22" s="39">
        <v>0.61519999999999997</v>
      </c>
      <c r="AD22" s="36">
        <v>1656033</v>
      </c>
      <c r="AE22" s="36">
        <v>1030824</v>
      </c>
      <c r="AF22" s="39">
        <v>0.62250000000000005</v>
      </c>
      <c r="AG22" s="36">
        <v>1230814</v>
      </c>
      <c r="AH22" s="36">
        <v>801223</v>
      </c>
      <c r="AI22" s="39">
        <v>0.65100000000000002</v>
      </c>
    </row>
    <row r="23" spans="1:35" ht="15.75" customHeight="1" x14ac:dyDescent="0.2">
      <c r="A23" s="1" t="s">
        <v>75</v>
      </c>
      <c r="B23" s="1" t="s">
        <v>429</v>
      </c>
      <c r="C23" s="1" t="s">
        <v>433</v>
      </c>
      <c r="D23" s="1" t="s">
        <v>76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1756691</v>
      </c>
      <c r="S23" s="36">
        <v>1029614</v>
      </c>
      <c r="T23" s="39">
        <v>0.58609999999999995</v>
      </c>
      <c r="U23" s="36">
        <v>1434140</v>
      </c>
      <c r="V23" s="36">
        <v>857788</v>
      </c>
      <c r="W23" s="39">
        <v>0.59809999999999997</v>
      </c>
      <c r="X23" s="36">
        <v>1326466</v>
      </c>
      <c r="Y23" s="36">
        <v>799585</v>
      </c>
      <c r="Z23" s="39">
        <v>0.6028</v>
      </c>
      <c r="AA23" s="36">
        <v>1484083</v>
      </c>
      <c r="AB23" s="36">
        <v>749309</v>
      </c>
      <c r="AC23" s="39">
        <v>0.50490000000000002</v>
      </c>
      <c r="AD23" s="36">
        <v>1356037</v>
      </c>
      <c r="AE23" s="36">
        <v>726134</v>
      </c>
      <c r="AF23" s="39">
        <v>0.53549999999999998</v>
      </c>
      <c r="AG23" s="36">
        <v>923629</v>
      </c>
      <c r="AH23" s="36">
        <v>497213</v>
      </c>
      <c r="AI23" s="39">
        <v>0.5383</v>
      </c>
    </row>
    <row r="24" spans="1:35" ht="15.75" customHeight="1" x14ac:dyDescent="0.2">
      <c r="A24" s="1" t="s">
        <v>77</v>
      </c>
      <c r="B24" s="1" t="s">
        <v>429</v>
      </c>
      <c r="C24" s="1" t="s">
        <v>434</v>
      </c>
      <c r="D24" s="1" t="s">
        <v>78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3045305</v>
      </c>
      <c r="S24" s="36">
        <v>1777824</v>
      </c>
      <c r="T24" s="39">
        <v>0.58379999999999999</v>
      </c>
      <c r="U24" s="36">
        <v>2584871</v>
      </c>
      <c r="V24" s="36">
        <v>1465188</v>
      </c>
      <c r="W24" s="39">
        <v>0.56679999999999997</v>
      </c>
      <c r="X24" s="36">
        <v>2663323</v>
      </c>
      <c r="Y24" s="36">
        <v>1650521</v>
      </c>
      <c r="Z24" s="39">
        <v>0.61970000000000003</v>
      </c>
      <c r="AA24" s="36">
        <v>2700257</v>
      </c>
      <c r="AB24" s="36">
        <v>1449995</v>
      </c>
      <c r="AC24" s="39">
        <v>0.53700000000000003</v>
      </c>
      <c r="AD24" s="36">
        <v>2606739</v>
      </c>
      <c r="AE24" s="36">
        <v>1381473</v>
      </c>
      <c r="AF24" s="39">
        <v>0.53</v>
      </c>
      <c r="AG24" s="36">
        <v>1894858</v>
      </c>
      <c r="AH24" s="36">
        <v>1096580</v>
      </c>
      <c r="AI24" s="39">
        <v>0.57869999999999999</v>
      </c>
    </row>
    <row r="25" spans="1:35" ht="15.75" customHeight="1" x14ac:dyDescent="0.2">
      <c r="A25" s="1" t="s">
        <v>79</v>
      </c>
      <c r="B25" s="1" t="s">
        <v>429</v>
      </c>
      <c r="C25" s="1" t="s">
        <v>433</v>
      </c>
      <c r="D25" s="1" t="s">
        <v>80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3433309</v>
      </c>
      <c r="S25" s="36">
        <v>2215664</v>
      </c>
      <c r="T25" s="39">
        <v>0.64529999999999998</v>
      </c>
      <c r="U25" s="36">
        <v>3137755</v>
      </c>
      <c r="V25" s="36">
        <v>1936234</v>
      </c>
      <c r="W25" s="39">
        <v>0.61709999999999998</v>
      </c>
      <c r="X25" s="36">
        <v>3939743</v>
      </c>
      <c r="Y25" s="36">
        <v>2460424</v>
      </c>
      <c r="Z25" s="39">
        <v>0.62450000000000006</v>
      </c>
      <c r="AA25" s="36">
        <v>3033791</v>
      </c>
      <c r="AB25" s="36">
        <v>1628791</v>
      </c>
      <c r="AC25" s="39">
        <v>0.53690000000000004</v>
      </c>
      <c r="AD25" s="36">
        <v>2814726</v>
      </c>
      <c r="AE25" s="36">
        <v>1523768</v>
      </c>
      <c r="AF25" s="39">
        <v>0.54139999999999999</v>
      </c>
      <c r="AG25" s="36">
        <v>2015849</v>
      </c>
      <c r="AH25" s="36">
        <v>1144871</v>
      </c>
      <c r="AI25" s="39">
        <v>0.56789999999999996</v>
      </c>
    </row>
    <row r="26" spans="1:35" ht="15.75" customHeight="1" x14ac:dyDescent="0.2">
      <c r="A26" s="1" t="s">
        <v>81</v>
      </c>
      <c r="B26" s="1" t="s">
        <v>429</v>
      </c>
      <c r="C26" s="1" t="s">
        <v>433</v>
      </c>
      <c r="D26" s="1" t="s">
        <v>82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3622999</v>
      </c>
      <c r="S26" s="36">
        <v>2289625</v>
      </c>
      <c r="T26" s="39">
        <v>0.63200000000000001</v>
      </c>
      <c r="U26" s="36">
        <v>3665101</v>
      </c>
      <c r="V26" s="36">
        <v>2287905</v>
      </c>
      <c r="W26" s="39">
        <v>0.62419999999999998</v>
      </c>
      <c r="X26" s="36">
        <v>3754460</v>
      </c>
      <c r="Y26" s="36">
        <v>2458717</v>
      </c>
      <c r="Z26" s="39">
        <v>0.65490000000000004</v>
      </c>
      <c r="AA26" s="36">
        <v>3285032</v>
      </c>
      <c r="AB26" s="36">
        <v>1806994</v>
      </c>
      <c r="AC26" s="39">
        <v>0.55010000000000003</v>
      </c>
      <c r="AD26" s="36">
        <v>3058771</v>
      </c>
      <c r="AE26" s="36">
        <v>1696377</v>
      </c>
      <c r="AF26" s="39">
        <v>0.55459999999999998</v>
      </c>
      <c r="AG26" s="36">
        <v>2320579</v>
      </c>
      <c r="AH26" s="36">
        <v>1455429</v>
      </c>
      <c r="AI26" s="39">
        <v>0.62719999999999998</v>
      </c>
    </row>
    <row r="27" spans="1:35" ht="15.75" customHeight="1" x14ac:dyDescent="0.2">
      <c r="A27" s="1" t="s">
        <v>83</v>
      </c>
      <c r="B27" s="1" t="s">
        <v>429</v>
      </c>
      <c r="C27" s="1" t="s">
        <v>433</v>
      </c>
      <c r="D27" s="1" t="s">
        <v>84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>
        <v>1955888</v>
      </c>
      <c r="S27" s="36">
        <v>1124600</v>
      </c>
      <c r="T27" s="39">
        <v>0.57499999999999996</v>
      </c>
      <c r="U27" s="36">
        <v>1987968</v>
      </c>
      <c r="V27" s="36">
        <v>1098966</v>
      </c>
      <c r="W27" s="39">
        <v>0.55279999999999996</v>
      </c>
      <c r="X27" s="36">
        <v>2407509</v>
      </c>
      <c r="Y27" s="36">
        <v>1370245</v>
      </c>
      <c r="Z27" s="39">
        <v>0.56920000000000004</v>
      </c>
      <c r="AA27" s="36">
        <v>1651264</v>
      </c>
      <c r="AB27" s="36">
        <v>910817</v>
      </c>
      <c r="AC27" s="39">
        <v>0.55159999999999998</v>
      </c>
      <c r="AD27" s="36">
        <v>1633958</v>
      </c>
      <c r="AE27" s="36">
        <v>904628</v>
      </c>
      <c r="AF27" s="39">
        <v>0.55359999999999998</v>
      </c>
      <c r="AG27" s="36">
        <v>1174768</v>
      </c>
      <c r="AH27" s="36">
        <v>755848</v>
      </c>
      <c r="AI27" s="39">
        <v>0.64339999999999997</v>
      </c>
    </row>
    <row r="28" spans="1:35" ht="15.75" customHeight="1" x14ac:dyDescent="0.2">
      <c r="A28" s="1" t="s">
        <v>85</v>
      </c>
      <c r="B28" s="1" t="s">
        <v>429</v>
      </c>
      <c r="C28" s="1" t="s">
        <v>433</v>
      </c>
      <c r="D28" s="1" t="s">
        <v>86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>
        <v>2179085</v>
      </c>
      <c r="S28" s="36">
        <v>1110817</v>
      </c>
      <c r="T28" s="39">
        <v>0.50980000000000003</v>
      </c>
      <c r="U28" s="36">
        <v>1917148</v>
      </c>
      <c r="V28" s="36">
        <v>1028512</v>
      </c>
      <c r="W28" s="39">
        <v>0.53649999999999998</v>
      </c>
      <c r="X28" s="36">
        <v>2064749</v>
      </c>
      <c r="Y28" s="36">
        <v>1191279</v>
      </c>
      <c r="Z28" s="39">
        <v>0.57699999999999996</v>
      </c>
      <c r="AA28" s="36">
        <v>1589658</v>
      </c>
      <c r="AB28" s="36">
        <v>904792</v>
      </c>
      <c r="AC28" s="39">
        <v>0.56920000000000004</v>
      </c>
      <c r="AD28" s="36">
        <v>1494296</v>
      </c>
      <c r="AE28" s="36">
        <v>890719</v>
      </c>
      <c r="AF28" s="39">
        <v>0.59609999999999996</v>
      </c>
      <c r="AG28" s="36">
        <v>1079979</v>
      </c>
      <c r="AH28" s="36">
        <v>668822</v>
      </c>
      <c r="AI28" s="39">
        <v>0.61929999999999996</v>
      </c>
    </row>
    <row r="29" spans="1:35" ht="15.75" customHeight="1" x14ac:dyDescent="0.2">
      <c r="A29" s="1" t="s">
        <v>87</v>
      </c>
      <c r="B29" s="1" t="s">
        <v>430</v>
      </c>
      <c r="C29" s="1" t="s">
        <v>433</v>
      </c>
      <c r="D29" s="1" t="s">
        <v>88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2480012</v>
      </c>
      <c r="S29" s="36">
        <v>1960906</v>
      </c>
      <c r="T29" s="39">
        <v>0.79069999999999996</v>
      </c>
      <c r="U29" s="36">
        <v>2229424</v>
      </c>
      <c r="V29" s="36">
        <v>1728499</v>
      </c>
      <c r="W29" s="39">
        <v>0.77529999999999999</v>
      </c>
      <c r="X29" s="36">
        <v>2079859</v>
      </c>
      <c r="Y29" s="36">
        <v>1641966</v>
      </c>
      <c r="Z29" s="39">
        <v>0.78949999999999998</v>
      </c>
      <c r="AA29" s="36">
        <v>2155829</v>
      </c>
      <c r="AB29" s="36">
        <v>1478440</v>
      </c>
      <c r="AC29" s="39">
        <v>0.68579999999999997</v>
      </c>
      <c r="AD29" s="36">
        <v>1955661</v>
      </c>
      <c r="AE29" s="36">
        <v>1512909</v>
      </c>
      <c r="AF29" s="39">
        <v>0.77359999999999995</v>
      </c>
      <c r="AG29" s="36">
        <v>1335223</v>
      </c>
      <c r="AH29" s="36">
        <v>1045681</v>
      </c>
      <c r="AI29" s="39">
        <v>0.78320000000000001</v>
      </c>
    </row>
    <row r="30" spans="1:35" ht="15.75" customHeight="1" x14ac:dyDescent="0.2">
      <c r="A30" s="1" t="s">
        <v>89</v>
      </c>
      <c r="B30" s="1" t="s">
        <v>429</v>
      </c>
      <c r="C30" s="1" t="s">
        <v>433</v>
      </c>
      <c r="D30" s="1" t="s">
        <v>90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2431524</v>
      </c>
      <c r="S30" s="36">
        <v>1388388</v>
      </c>
      <c r="T30" s="39">
        <v>0.57099999999999995</v>
      </c>
      <c r="U30" s="36">
        <v>2514470</v>
      </c>
      <c r="V30" s="36">
        <v>1475237</v>
      </c>
      <c r="W30" s="39">
        <v>0.5867</v>
      </c>
      <c r="X30" s="36">
        <v>2663019</v>
      </c>
      <c r="Y30" s="36">
        <v>1598973</v>
      </c>
      <c r="Z30" s="39">
        <v>0.60040000000000004</v>
      </c>
      <c r="AA30" s="36">
        <v>2175569</v>
      </c>
      <c r="AB30" s="36">
        <v>1116907</v>
      </c>
      <c r="AC30" s="39">
        <v>0.51339999999999997</v>
      </c>
      <c r="AD30" s="36">
        <v>2148003</v>
      </c>
      <c r="AE30" s="36">
        <v>1179245</v>
      </c>
      <c r="AF30" s="39">
        <v>0.54900000000000004</v>
      </c>
      <c r="AG30" s="36">
        <v>1508647</v>
      </c>
      <c r="AH30" s="36">
        <v>968539</v>
      </c>
      <c r="AI30" s="39">
        <v>0.64200000000000002</v>
      </c>
    </row>
    <row r="31" spans="1:35" ht="15.75" customHeight="1" x14ac:dyDescent="0.2">
      <c r="A31" s="1" t="s">
        <v>91</v>
      </c>
      <c r="B31" s="1" t="s">
        <v>429</v>
      </c>
      <c r="C31" s="1" t="s">
        <v>433</v>
      </c>
      <c r="D31" s="1" t="s">
        <v>92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2456143</v>
      </c>
      <c r="S31" s="36">
        <v>1201351</v>
      </c>
      <c r="T31" s="39">
        <v>0.48909999999999998</v>
      </c>
      <c r="U31" s="36">
        <v>2348692</v>
      </c>
      <c r="V31" s="36">
        <v>1163269</v>
      </c>
      <c r="W31" s="39">
        <v>0.49530000000000002</v>
      </c>
      <c r="X31" s="36">
        <v>2688509</v>
      </c>
      <c r="Y31" s="36">
        <v>1384488</v>
      </c>
      <c r="Z31" s="39">
        <v>0.51500000000000001</v>
      </c>
      <c r="AA31" s="36">
        <v>1865586</v>
      </c>
      <c r="AB31" s="36">
        <v>897012</v>
      </c>
      <c r="AC31" s="39">
        <v>0.48080000000000001</v>
      </c>
      <c r="AD31" s="36">
        <v>1762398</v>
      </c>
      <c r="AE31" s="36">
        <v>908770</v>
      </c>
      <c r="AF31" s="39">
        <v>0.51559999999999995</v>
      </c>
      <c r="AG31" s="36">
        <v>1263474</v>
      </c>
      <c r="AH31" s="36">
        <v>749272</v>
      </c>
      <c r="AI31" s="39">
        <v>0.59299999999999997</v>
      </c>
    </row>
    <row r="32" spans="1:35" ht="15.75" customHeight="1" x14ac:dyDescent="0.2">
      <c r="A32" s="1" t="s">
        <v>93</v>
      </c>
      <c r="B32" s="1" t="s">
        <v>429</v>
      </c>
      <c r="C32" s="1" t="s">
        <v>436</v>
      </c>
      <c r="D32" s="1" t="s">
        <v>94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2126127</v>
      </c>
      <c r="S32" s="36">
        <v>1313516</v>
      </c>
      <c r="T32" s="39">
        <v>0.61780000000000002</v>
      </c>
      <c r="U32" s="36">
        <v>2202734</v>
      </c>
      <c r="V32" s="36">
        <v>1296517</v>
      </c>
      <c r="W32" s="39">
        <v>0.58860000000000001</v>
      </c>
      <c r="X32" s="36">
        <v>2098763</v>
      </c>
      <c r="Y32" s="36">
        <v>1070714</v>
      </c>
      <c r="Z32" s="39">
        <v>0.51019999999999999</v>
      </c>
      <c r="AA32" s="36">
        <v>2084036</v>
      </c>
      <c r="AB32" s="36">
        <v>1057004</v>
      </c>
      <c r="AC32" s="39">
        <v>0.50719999999999998</v>
      </c>
      <c r="AD32" s="36">
        <v>1872408</v>
      </c>
      <c r="AE32" s="36">
        <v>965433</v>
      </c>
      <c r="AF32" s="39">
        <v>0.51559999999999995</v>
      </c>
      <c r="AG32" s="36">
        <v>1265525</v>
      </c>
      <c r="AH32" s="36">
        <v>677595</v>
      </c>
      <c r="AI32" s="39">
        <v>0.53539999999999999</v>
      </c>
    </row>
    <row r="33" spans="1:35" ht="15.75" customHeight="1" x14ac:dyDescent="0.2">
      <c r="A33" s="1" t="s">
        <v>95</v>
      </c>
      <c r="B33" s="1" t="s">
        <v>429</v>
      </c>
      <c r="C33" s="1" t="s">
        <v>433</v>
      </c>
      <c r="D33" s="1" t="s">
        <v>96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2997900</v>
      </c>
      <c r="S33" s="36">
        <v>1757042</v>
      </c>
      <c r="T33" s="39">
        <v>0.58609999999999995</v>
      </c>
      <c r="U33" s="36">
        <v>2656696</v>
      </c>
      <c r="V33" s="36">
        <v>1541642</v>
      </c>
      <c r="W33" s="39">
        <v>0.58030000000000004</v>
      </c>
      <c r="X33" s="36">
        <v>2757141</v>
      </c>
      <c r="Y33" s="36">
        <v>1647775</v>
      </c>
      <c r="Z33" s="39">
        <v>0.59760000000000002</v>
      </c>
      <c r="AA33" s="36">
        <v>2722674</v>
      </c>
      <c r="AB33" s="36">
        <v>1363264</v>
      </c>
      <c r="AC33" s="39">
        <v>0.50070000000000003</v>
      </c>
      <c r="AD33" s="36">
        <v>2565797</v>
      </c>
      <c r="AE33" s="36">
        <v>1296769</v>
      </c>
      <c r="AF33" s="39">
        <v>0.50539999999999996</v>
      </c>
      <c r="AG33" s="36">
        <v>1733787</v>
      </c>
      <c r="AH33" s="36">
        <v>952932</v>
      </c>
      <c r="AI33" s="39">
        <v>0.54959999999999998</v>
      </c>
    </row>
    <row r="34" spans="1:35" ht="15.75" customHeight="1" x14ac:dyDescent="0.2">
      <c r="A34" s="1" t="s">
        <v>97</v>
      </c>
      <c r="B34" s="1" t="s">
        <v>429</v>
      </c>
      <c r="C34" s="1" t="s">
        <v>433</v>
      </c>
      <c r="D34" s="1" t="s">
        <v>98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>
        <v>1912112</v>
      </c>
      <c r="S34" s="36">
        <v>1326113</v>
      </c>
      <c r="T34" s="39">
        <v>0.69350000000000001</v>
      </c>
      <c r="U34" s="36">
        <v>1811710</v>
      </c>
      <c r="V34" s="36">
        <v>1222373</v>
      </c>
      <c r="W34" s="39">
        <v>0.67469999999999997</v>
      </c>
      <c r="X34" s="36">
        <v>2059140</v>
      </c>
      <c r="Y34" s="36">
        <v>1447584</v>
      </c>
      <c r="Z34" s="39">
        <v>0.70299999999999996</v>
      </c>
      <c r="AA34" s="36">
        <v>1765839</v>
      </c>
      <c r="AB34" s="36">
        <v>1129253</v>
      </c>
      <c r="AC34" s="39">
        <v>0.63949999999999996</v>
      </c>
      <c r="AD34" s="36">
        <v>1573840</v>
      </c>
      <c r="AE34" s="36">
        <v>981217</v>
      </c>
      <c r="AF34" s="39">
        <v>0.62350000000000005</v>
      </c>
      <c r="AG34" s="36">
        <v>1094984</v>
      </c>
      <c r="AH34" s="36">
        <v>747741</v>
      </c>
      <c r="AI34" s="39">
        <v>0.68289999999999995</v>
      </c>
    </row>
    <row r="35" spans="1:35" ht="15.75" customHeight="1" x14ac:dyDescent="0.2">
      <c r="A35" s="1" t="s">
        <v>99</v>
      </c>
      <c r="B35" s="1" t="s">
        <v>429</v>
      </c>
      <c r="C35" s="1" t="s">
        <v>433</v>
      </c>
      <c r="D35" s="1" t="s">
        <v>100</v>
      </c>
      <c r="E35" s="25">
        <v>583</v>
      </c>
      <c r="F35" s="21">
        <v>128197.00073499999</v>
      </c>
      <c r="G35" s="20">
        <f t="shared" ref="G35:G66" si="5">J35+M35+P35</f>
        <v>50078.000465999998</v>
      </c>
      <c r="H35" s="24">
        <f t="shared" ref="H35:H66" si="6">G35/F35</f>
        <v>0.39063316753812199</v>
      </c>
      <c r="I35" s="12">
        <v>196</v>
      </c>
      <c r="J35" s="12">
        <v>40268.000318999999</v>
      </c>
      <c r="K35" s="13">
        <f t="shared" ref="K35:K66" si="7">J35/F35</f>
        <v>0.31411031528139438</v>
      </c>
      <c r="L35" s="4">
        <v>30</v>
      </c>
      <c r="M35" s="4">
        <v>6245.0000659999996</v>
      </c>
      <c r="N35" s="17">
        <f t="shared" ref="N35:N66" si="8">M35/F35</f>
        <v>4.8714088708746266E-2</v>
      </c>
      <c r="O35" s="9">
        <v>15</v>
      </c>
      <c r="P35" s="9">
        <v>3565.0000810000001</v>
      </c>
      <c r="Q35" s="18">
        <f t="shared" ref="Q35:Q66" si="9">P35/F35</f>
        <v>2.7808763547981303E-2</v>
      </c>
      <c r="R35" s="36">
        <v>2994332</v>
      </c>
      <c r="S35" s="36">
        <v>1607625</v>
      </c>
      <c r="T35" s="39">
        <v>0.53690000000000004</v>
      </c>
      <c r="U35" s="36">
        <v>2504500</v>
      </c>
      <c r="V35" s="36">
        <v>1286357</v>
      </c>
      <c r="W35" s="39">
        <v>0.51359999999999995</v>
      </c>
      <c r="X35" s="36">
        <v>2212617</v>
      </c>
      <c r="Y35" s="36">
        <v>1093283</v>
      </c>
      <c r="Z35" s="39">
        <v>0.49409999999999998</v>
      </c>
      <c r="AA35" s="36">
        <v>2555071</v>
      </c>
      <c r="AB35" s="36">
        <v>1414352</v>
      </c>
      <c r="AC35" s="39">
        <v>0.55349999999999999</v>
      </c>
      <c r="AD35" s="36">
        <v>2019358</v>
      </c>
      <c r="AE35" s="36">
        <v>1088857</v>
      </c>
      <c r="AF35" s="39">
        <v>0.53920000000000001</v>
      </c>
      <c r="AG35" s="36">
        <v>1412997</v>
      </c>
      <c r="AH35" s="36">
        <v>793483</v>
      </c>
      <c r="AI35" s="39">
        <v>0.56159999999999999</v>
      </c>
    </row>
    <row r="36" spans="1:35" ht="15.75" customHeight="1" x14ac:dyDescent="0.2">
      <c r="A36" s="1" t="s">
        <v>101</v>
      </c>
      <c r="B36" s="1" t="s">
        <v>429</v>
      </c>
      <c r="C36" s="1" t="s">
        <v>433</v>
      </c>
      <c r="D36" s="1" t="s">
        <v>102</v>
      </c>
      <c r="E36" s="25">
        <v>304</v>
      </c>
      <c r="F36" s="21">
        <v>86660.000411999994</v>
      </c>
      <c r="G36" s="20">
        <f t="shared" si="5"/>
        <v>39336.000091999995</v>
      </c>
      <c r="H36" s="24">
        <f t="shared" si="6"/>
        <v>0.45391183827588644</v>
      </c>
      <c r="I36" s="12">
        <v>124</v>
      </c>
      <c r="J36" s="12">
        <v>33208.000036999998</v>
      </c>
      <c r="K36" s="13">
        <f t="shared" si="7"/>
        <v>0.38319870619803986</v>
      </c>
      <c r="L36" s="4">
        <v>14</v>
      </c>
      <c r="M36" s="4">
        <v>5435.0000309999996</v>
      </c>
      <c r="N36" s="17">
        <f t="shared" si="8"/>
        <v>6.2716362856691188E-2</v>
      </c>
      <c r="O36" s="9">
        <v>4</v>
      </c>
      <c r="P36" s="9">
        <v>693.00002400000005</v>
      </c>
      <c r="Q36" s="18">
        <f t="shared" si="9"/>
        <v>7.9967692211554489E-3</v>
      </c>
      <c r="R36" s="36">
        <v>1535954</v>
      </c>
      <c r="S36" s="36">
        <v>897007</v>
      </c>
      <c r="T36" s="39">
        <v>0.58399999999999996</v>
      </c>
      <c r="U36" s="36">
        <v>1670766</v>
      </c>
      <c r="V36" s="36">
        <v>969916</v>
      </c>
      <c r="W36" s="39">
        <v>0.58050000000000002</v>
      </c>
      <c r="X36" s="36">
        <v>1690748</v>
      </c>
      <c r="Y36" s="36">
        <v>978551</v>
      </c>
      <c r="Z36" s="39">
        <v>0.57879999999999998</v>
      </c>
      <c r="AA36" s="36">
        <v>1484177</v>
      </c>
      <c r="AB36" s="36">
        <v>761601</v>
      </c>
      <c r="AC36" s="39">
        <v>0.5131</v>
      </c>
      <c r="AD36" s="36">
        <v>1331872</v>
      </c>
      <c r="AE36" s="36">
        <v>775902</v>
      </c>
      <c r="AF36" s="39">
        <v>0.58260000000000001</v>
      </c>
      <c r="AG36" s="36">
        <v>998842</v>
      </c>
      <c r="AH36" s="36">
        <v>554201</v>
      </c>
      <c r="AI36" s="39">
        <v>0.55479999999999996</v>
      </c>
    </row>
    <row r="37" spans="1:35" ht="15.75" customHeight="1" x14ac:dyDescent="0.2">
      <c r="A37" s="1" t="s">
        <v>103</v>
      </c>
      <c r="B37" s="1" t="s">
        <v>429</v>
      </c>
      <c r="C37" s="1" t="s">
        <v>433</v>
      </c>
      <c r="D37" s="1" t="s">
        <v>104</v>
      </c>
      <c r="E37" s="25">
        <v>440</v>
      </c>
      <c r="F37" s="21">
        <v>114054.000007</v>
      </c>
      <c r="G37" s="20">
        <f t="shared" si="5"/>
        <v>59995.000201000003</v>
      </c>
      <c r="H37" s="24">
        <f t="shared" si="6"/>
        <v>0.52602276287826688</v>
      </c>
      <c r="I37" s="12">
        <v>203</v>
      </c>
      <c r="J37" s="12">
        <v>52823.000168999999</v>
      </c>
      <c r="K37" s="13">
        <f t="shared" si="7"/>
        <v>0.46314026834445104</v>
      </c>
      <c r="L37" s="4">
        <v>25</v>
      </c>
      <c r="M37" s="4">
        <v>5421.0000030000001</v>
      </c>
      <c r="N37" s="17">
        <f t="shared" si="8"/>
        <v>4.7530117336238006E-2</v>
      </c>
      <c r="O37" s="9">
        <v>11</v>
      </c>
      <c r="P37" s="9">
        <v>1751.000029</v>
      </c>
      <c r="Q37" s="18">
        <f t="shared" si="9"/>
        <v>1.5352377197577757E-2</v>
      </c>
      <c r="R37" s="36">
        <v>2353676</v>
      </c>
      <c r="S37" s="36">
        <v>1340878</v>
      </c>
      <c r="T37" s="39">
        <v>0.56969999999999998</v>
      </c>
      <c r="U37" s="36">
        <v>2359833</v>
      </c>
      <c r="V37" s="36">
        <v>1311442</v>
      </c>
      <c r="W37" s="39">
        <v>0.55569999999999997</v>
      </c>
      <c r="X37" s="36">
        <v>2550172</v>
      </c>
      <c r="Y37" s="36">
        <v>1495120</v>
      </c>
      <c r="Z37" s="39">
        <v>0.58630000000000004</v>
      </c>
      <c r="AA37" s="36">
        <v>2007532</v>
      </c>
      <c r="AB37" s="36">
        <v>994806</v>
      </c>
      <c r="AC37" s="39">
        <v>0.4955</v>
      </c>
      <c r="AD37" s="36">
        <v>1914303</v>
      </c>
      <c r="AE37" s="36">
        <v>1060789</v>
      </c>
      <c r="AF37" s="39">
        <v>0.55410000000000004</v>
      </c>
      <c r="AG37" s="36">
        <v>1383075</v>
      </c>
      <c r="AH37" s="36">
        <v>834388</v>
      </c>
      <c r="AI37" s="39">
        <v>0.60329999999999995</v>
      </c>
    </row>
    <row r="38" spans="1:35" ht="15.75" customHeight="1" x14ac:dyDescent="0.2">
      <c r="A38" s="1" t="s">
        <v>105</v>
      </c>
      <c r="B38" s="1" t="s">
        <v>430</v>
      </c>
      <c r="C38" s="1" t="s">
        <v>433</v>
      </c>
      <c r="D38" s="1" t="s">
        <v>106</v>
      </c>
      <c r="E38" s="25">
        <v>1985</v>
      </c>
      <c r="F38" s="21">
        <v>529958.00212700001</v>
      </c>
      <c r="G38" s="20">
        <f t="shared" si="5"/>
        <v>240281.00071399999</v>
      </c>
      <c r="H38" s="24">
        <f t="shared" si="6"/>
        <v>0.45339630640470763</v>
      </c>
      <c r="I38" s="12">
        <v>944</v>
      </c>
      <c r="J38" s="12">
        <v>222060.00059099999</v>
      </c>
      <c r="K38" s="13">
        <f t="shared" si="7"/>
        <v>0.41901433641865299</v>
      </c>
      <c r="L38" s="4">
        <v>71</v>
      </c>
      <c r="M38" s="4">
        <v>16449.000097</v>
      </c>
      <c r="N38" s="17">
        <f t="shared" si="8"/>
        <v>3.1038308754621154E-2</v>
      </c>
      <c r="O38" s="9">
        <v>8</v>
      </c>
      <c r="P38" s="9">
        <v>1772.0000259999999</v>
      </c>
      <c r="Q38" s="18">
        <f t="shared" si="9"/>
        <v>3.3436612314334956E-3</v>
      </c>
      <c r="R38" s="36">
        <v>5940080</v>
      </c>
      <c r="S38" s="36">
        <v>4057309</v>
      </c>
      <c r="T38" s="39">
        <v>0.68300000000000005</v>
      </c>
      <c r="U38" s="36">
        <v>5494436</v>
      </c>
      <c r="V38" s="36">
        <v>3551542</v>
      </c>
      <c r="W38" s="39">
        <v>0.64639999999999997</v>
      </c>
      <c r="X38" s="36">
        <v>5322667</v>
      </c>
      <c r="Y38" s="36">
        <v>3653643</v>
      </c>
      <c r="Z38" s="39">
        <v>0.68640000000000001</v>
      </c>
      <c r="AA38" s="36">
        <v>5426115</v>
      </c>
      <c r="AB38" s="36">
        <v>3112738</v>
      </c>
      <c r="AC38" s="39">
        <v>0.57369999999999999</v>
      </c>
      <c r="AD38" s="36">
        <v>4753308</v>
      </c>
      <c r="AE38" s="36">
        <v>2943206</v>
      </c>
      <c r="AF38" s="39">
        <v>0.61919999999999997</v>
      </c>
      <c r="AG38" s="36">
        <v>3352733</v>
      </c>
      <c r="AH38" s="36">
        <v>2256855</v>
      </c>
      <c r="AI38" s="39">
        <v>0.67310000000000003</v>
      </c>
    </row>
    <row r="39" spans="1:35" ht="15.75" customHeight="1" x14ac:dyDescent="0.2">
      <c r="A39" s="1" t="s">
        <v>107</v>
      </c>
      <c r="B39" s="1" t="s">
        <v>429</v>
      </c>
      <c r="C39" s="1" t="s">
        <v>433</v>
      </c>
      <c r="D39" s="1" t="s">
        <v>108</v>
      </c>
      <c r="E39" s="25">
        <v>334</v>
      </c>
      <c r="F39" s="21">
        <v>95508.000541000001</v>
      </c>
      <c r="G39" s="20">
        <f t="shared" si="5"/>
        <v>46611.000054000004</v>
      </c>
      <c r="H39" s="24">
        <f t="shared" si="6"/>
        <v>0.48803241393364394</v>
      </c>
      <c r="I39" s="12">
        <v>134</v>
      </c>
      <c r="J39" s="12">
        <v>37556.000007000002</v>
      </c>
      <c r="K39" s="13">
        <f t="shared" si="7"/>
        <v>0.39322360215129659</v>
      </c>
      <c r="L39" s="4">
        <v>28</v>
      </c>
      <c r="M39" s="4">
        <v>7728.0000689999997</v>
      </c>
      <c r="N39" s="17">
        <f t="shared" si="8"/>
        <v>8.0914688038961693E-2</v>
      </c>
      <c r="O39" s="9">
        <v>3</v>
      </c>
      <c r="P39" s="9">
        <v>1326.9999780000001</v>
      </c>
      <c r="Q39" s="18">
        <f t="shared" si="9"/>
        <v>1.3894123743385675E-2</v>
      </c>
      <c r="R39" s="36">
        <v>2071667</v>
      </c>
      <c r="S39" s="36">
        <v>1193144</v>
      </c>
      <c r="T39" s="39">
        <v>0.57589999999999997</v>
      </c>
      <c r="U39" s="36">
        <v>2111452</v>
      </c>
      <c r="V39" s="36">
        <v>1204224</v>
      </c>
      <c r="W39" s="39">
        <v>0.57030000000000003</v>
      </c>
      <c r="X39" s="36">
        <v>2730682</v>
      </c>
      <c r="Y39" s="36">
        <v>1732646</v>
      </c>
      <c r="Z39" s="39">
        <v>0.63449999999999995</v>
      </c>
      <c r="AA39" s="36">
        <v>1896740</v>
      </c>
      <c r="AB39" s="36">
        <v>1102563</v>
      </c>
      <c r="AC39" s="39">
        <v>0.58130000000000004</v>
      </c>
      <c r="AD39" s="36">
        <v>1914693</v>
      </c>
      <c r="AE39" s="36">
        <v>1090404</v>
      </c>
      <c r="AF39" s="39">
        <v>0.56950000000000001</v>
      </c>
      <c r="AG39" s="36">
        <v>1418800</v>
      </c>
      <c r="AH39" s="36">
        <v>893241</v>
      </c>
      <c r="AI39" s="39">
        <v>0.62960000000000005</v>
      </c>
    </row>
    <row r="40" spans="1:35" ht="15.75" customHeight="1" x14ac:dyDescent="0.2">
      <c r="A40" s="1" t="s">
        <v>109</v>
      </c>
      <c r="B40" s="1" t="s">
        <v>429</v>
      </c>
      <c r="C40" s="1" t="s">
        <v>435</v>
      </c>
      <c r="D40" s="1" t="s">
        <v>110</v>
      </c>
      <c r="E40" s="25">
        <v>377</v>
      </c>
      <c r="F40" s="21">
        <v>108404.000631</v>
      </c>
      <c r="G40" s="20">
        <f t="shared" si="5"/>
        <v>50872.000306000002</v>
      </c>
      <c r="H40" s="24">
        <f t="shared" si="6"/>
        <v>0.46928157641676804</v>
      </c>
      <c r="I40" s="12">
        <v>158</v>
      </c>
      <c r="J40" s="12">
        <v>44736.000266000003</v>
      </c>
      <c r="K40" s="13">
        <f t="shared" si="7"/>
        <v>0.41267849900003567</v>
      </c>
      <c r="L40" s="4">
        <v>14</v>
      </c>
      <c r="M40" s="4">
        <v>4787.9999980000002</v>
      </c>
      <c r="N40" s="17">
        <f t="shared" si="8"/>
        <v>4.4168111602246429E-2</v>
      </c>
      <c r="O40" s="9">
        <v>6</v>
      </c>
      <c r="P40" s="9">
        <v>1348.0000419999999</v>
      </c>
      <c r="Q40" s="18">
        <f t="shared" si="9"/>
        <v>1.2434965814485964E-2</v>
      </c>
      <c r="R40" s="36">
        <v>2601107</v>
      </c>
      <c r="S40" s="36">
        <v>1194275</v>
      </c>
      <c r="T40" s="39">
        <v>0.45910000000000001</v>
      </c>
      <c r="U40" s="36">
        <v>2430683</v>
      </c>
      <c r="V40" s="36">
        <v>1087770</v>
      </c>
      <c r="W40" s="39">
        <v>0.44750000000000001</v>
      </c>
      <c r="X40" s="36">
        <v>2794486</v>
      </c>
      <c r="Y40" s="36">
        <v>1406635</v>
      </c>
      <c r="Z40" s="39">
        <v>0.50339999999999996</v>
      </c>
      <c r="AA40" s="36">
        <v>2085011</v>
      </c>
      <c r="AB40" s="36">
        <v>914403</v>
      </c>
      <c r="AC40" s="39">
        <v>0.43859999999999999</v>
      </c>
      <c r="AD40" s="36">
        <v>1867228</v>
      </c>
      <c r="AE40" s="36">
        <v>826700</v>
      </c>
      <c r="AF40" s="39">
        <v>0.44269999999999998</v>
      </c>
      <c r="AG40" s="36">
        <v>1369738</v>
      </c>
      <c r="AH40" s="36">
        <v>654374</v>
      </c>
      <c r="AI40" s="39">
        <v>0.47770000000000001</v>
      </c>
    </row>
    <row r="41" spans="1:35" ht="15.75" customHeight="1" x14ac:dyDescent="0.2">
      <c r="A41" s="1" t="s">
        <v>111</v>
      </c>
      <c r="B41" s="1" t="s">
        <v>429</v>
      </c>
      <c r="C41" s="1" t="s">
        <v>433</v>
      </c>
      <c r="D41" s="1" t="s">
        <v>112</v>
      </c>
      <c r="E41" s="25">
        <v>542</v>
      </c>
      <c r="F41" s="21">
        <v>145092.00103099999</v>
      </c>
      <c r="G41" s="20">
        <f t="shared" si="5"/>
        <v>83100.000560999993</v>
      </c>
      <c r="H41" s="24">
        <f t="shared" si="6"/>
        <v>0.57274005438277098</v>
      </c>
      <c r="I41" s="12">
        <v>261</v>
      </c>
      <c r="J41" s="12">
        <v>71034.000434999994</v>
      </c>
      <c r="K41" s="13">
        <f t="shared" si="7"/>
        <v>0.48957902524084046</v>
      </c>
      <c r="L41" s="4">
        <v>41</v>
      </c>
      <c r="M41" s="4">
        <v>10869.00009</v>
      </c>
      <c r="N41" s="17">
        <f t="shared" si="8"/>
        <v>7.4911090982043571E-2</v>
      </c>
      <c r="O41" s="9">
        <v>7</v>
      </c>
      <c r="P41" s="9">
        <v>1197.0000359999999</v>
      </c>
      <c r="Q41" s="18">
        <f t="shared" si="9"/>
        <v>8.2499381598869249E-3</v>
      </c>
      <c r="R41" s="36">
        <v>2758806</v>
      </c>
      <c r="S41" s="36">
        <v>1889852</v>
      </c>
      <c r="T41" s="39">
        <v>0.68500000000000005</v>
      </c>
      <c r="U41" s="36">
        <v>2414890</v>
      </c>
      <c r="V41" s="36">
        <v>1551906</v>
      </c>
      <c r="W41" s="39">
        <v>0.64259999999999995</v>
      </c>
      <c r="X41" s="36">
        <v>2751123</v>
      </c>
      <c r="Y41" s="36">
        <v>1919424</v>
      </c>
      <c r="Z41" s="39">
        <v>0.69769999999999999</v>
      </c>
      <c r="AA41" s="36">
        <v>2187032</v>
      </c>
      <c r="AB41" s="36">
        <v>1394947</v>
      </c>
      <c r="AC41" s="39">
        <v>0.63780000000000003</v>
      </c>
      <c r="AD41" s="36">
        <v>2158023</v>
      </c>
      <c r="AE41" s="36">
        <v>1147426</v>
      </c>
      <c r="AF41" s="39">
        <v>0.53169999999999995</v>
      </c>
      <c r="AG41" s="36">
        <v>1384244</v>
      </c>
      <c r="AH41" s="36">
        <v>926319</v>
      </c>
      <c r="AI41" s="39">
        <v>0.66920000000000002</v>
      </c>
    </row>
    <row r="42" spans="1:35" ht="15.75" customHeight="1" x14ac:dyDescent="0.2">
      <c r="A42" s="1" t="s">
        <v>113</v>
      </c>
      <c r="B42" s="1" t="s">
        <v>429</v>
      </c>
      <c r="C42" s="1" t="s">
        <v>433</v>
      </c>
      <c r="D42" s="1" t="s">
        <v>114</v>
      </c>
      <c r="E42" s="25">
        <v>743</v>
      </c>
      <c r="F42" s="21">
        <v>194663.000421</v>
      </c>
      <c r="G42" s="20">
        <f t="shared" si="5"/>
        <v>107624.000384</v>
      </c>
      <c r="H42" s="24">
        <f t="shared" si="6"/>
        <v>0.55287342818738172</v>
      </c>
      <c r="I42" s="12">
        <v>337</v>
      </c>
      <c r="J42" s="12">
        <v>89249.000182999996</v>
      </c>
      <c r="K42" s="13">
        <f t="shared" si="7"/>
        <v>0.4584795261039854</v>
      </c>
      <c r="L42" s="4">
        <v>51</v>
      </c>
      <c r="M42" s="4">
        <v>16016.000124</v>
      </c>
      <c r="N42" s="17">
        <f t="shared" si="8"/>
        <v>8.2275522771980317E-2</v>
      </c>
      <c r="O42" s="9">
        <v>10</v>
      </c>
      <c r="P42" s="9">
        <v>2359.0000770000001</v>
      </c>
      <c r="Q42" s="18">
        <f t="shared" si="9"/>
        <v>1.2118379311415947E-2</v>
      </c>
      <c r="R42" s="36">
        <v>3085365</v>
      </c>
      <c r="S42" s="36">
        <v>1849947</v>
      </c>
      <c r="T42" s="39">
        <v>0.59960000000000002</v>
      </c>
      <c r="U42" s="36">
        <v>2806098</v>
      </c>
      <c r="V42" s="36">
        <v>1576764</v>
      </c>
      <c r="W42" s="39">
        <v>0.56189999999999996</v>
      </c>
      <c r="X42" s="36">
        <v>3108937</v>
      </c>
      <c r="Y42" s="36">
        <v>1699795</v>
      </c>
      <c r="Z42" s="39">
        <v>0.54669999999999996</v>
      </c>
      <c r="AA42" s="36">
        <v>3194839</v>
      </c>
      <c r="AB42" s="36">
        <v>1389410</v>
      </c>
      <c r="AC42" s="39">
        <v>0.43490000000000001</v>
      </c>
      <c r="AD42" s="36">
        <v>2890324</v>
      </c>
      <c r="AE42" s="36">
        <v>1453657</v>
      </c>
      <c r="AF42" s="39">
        <v>0.50290000000000001</v>
      </c>
      <c r="AG42" s="36">
        <v>2169782</v>
      </c>
      <c r="AH42" s="36">
        <v>1219478</v>
      </c>
      <c r="AI42" s="39">
        <v>0.56200000000000006</v>
      </c>
    </row>
    <row r="43" spans="1:35" ht="15.75" customHeight="1" x14ac:dyDescent="0.2">
      <c r="A43" s="1" t="s">
        <v>115</v>
      </c>
      <c r="B43" s="1" t="s">
        <v>429</v>
      </c>
      <c r="C43" s="1" t="s">
        <v>433</v>
      </c>
      <c r="D43" s="1" t="s">
        <v>116</v>
      </c>
      <c r="E43" s="25">
        <v>614</v>
      </c>
      <c r="F43" s="21">
        <v>156696.00055900001</v>
      </c>
      <c r="G43" s="20">
        <f t="shared" si="5"/>
        <v>48104.000104999999</v>
      </c>
      <c r="H43" s="24">
        <f t="shared" si="6"/>
        <v>0.30698932923235411</v>
      </c>
      <c r="I43" s="12">
        <v>176</v>
      </c>
      <c r="J43" s="12">
        <v>42396.000116000003</v>
      </c>
      <c r="K43" s="13">
        <f t="shared" si="7"/>
        <v>0.27056210729537311</v>
      </c>
      <c r="L43" s="4">
        <v>22</v>
      </c>
      <c r="M43" s="4">
        <v>4265.9999980000002</v>
      </c>
      <c r="N43" s="17">
        <f t="shared" si="8"/>
        <v>2.7224689735420166E-2</v>
      </c>
      <c r="O43" s="9">
        <v>6</v>
      </c>
      <c r="P43" s="9">
        <v>1441.9999909999999</v>
      </c>
      <c r="Q43" s="18">
        <f t="shared" si="9"/>
        <v>9.2025322015608837E-3</v>
      </c>
      <c r="R43" s="36">
        <v>2542568</v>
      </c>
      <c r="S43" s="36">
        <v>1318235</v>
      </c>
      <c r="T43" s="39">
        <v>0.51849999999999996</v>
      </c>
      <c r="U43" s="36">
        <v>2182143</v>
      </c>
      <c r="V43" s="36">
        <v>1100711</v>
      </c>
      <c r="W43" s="39">
        <v>0.50439999999999996</v>
      </c>
      <c r="X43" s="36">
        <v>2098888</v>
      </c>
      <c r="Y43" s="36">
        <v>1106404</v>
      </c>
      <c r="Z43" s="39">
        <v>0.52710000000000001</v>
      </c>
      <c r="AA43" s="36">
        <v>2152064</v>
      </c>
      <c r="AB43" s="36">
        <v>1006837</v>
      </c>
      <c r="AC43" s="39">
        <v>0.46779999999999999</v>
      </c>
      <c r="AD43" s="36">
        <v>1868761</v>
      </c>
      <c r="AE43" s="36">
        <v>854837</v>
      </c>
      <c r="AF43" s="39">
        <v>0.45739999999999997</v>
      </c>
      <c r="AG43" s="36">
        <v>1242415</v>
      </c>
      <c r="AH43" s="36">
        <v>602035</v>
      </c>
      <c r="AI43" s="39">
        <v>0.48459999999999998</v>
      </c>
    </row>
    <row r="44" spans="1:35" ht="15.75" customHeight="1" x14ac:dyDescent="0.2">
      <c r="A44" s="1" t="s">
        <v>117</v>
      </c>
      <c r="B44" s="1" t="s">
        <v>429</v>
      </c>
      <c r="C44" s="1" t="s">
        <v>435</v>
      </c>
      <c r="D44" s="1" t="s">
        <v>118</v>
      </c>
      <c r="E44" s="25">
        <v>533</v>
      </c>
      <c r="F44" s="21">
        <v>141247.00042500001</v>
      </c>
      <c r="G44" s="20">
        <f t="shared" si="5"/>
        <v>69429.000142999983</v>
      </c>
      <c r="H44" s="24">
        <f t="shared" si="6"/>
        <v>0.49154318275145048</v>
      </c>
      <c r="I44" s="12">
        <v>230</v>
      </c>
      <c r="J44" s="12">
        <v>60909.000056999997</v>
      </c>
      <c r="K44" s="13">
        <f t="shared" si="7"/>
        <v>0.43122331712340856</v>
      </c>
      <c r="L44" s="4">
        <v>29</v>
      </c>
      <c r="M44" s="4">
        <v>6435.0000639999998</v>
      </c>
      <c r="N44" s="17">
        <f t="shared" si="8"/>
        <v>4.5558490053860548E-2</v>
      </c>
      <c r="O44" s="9">
        <v>8</v>
      </c>
      <c r="P44" s="9">
        <v>2085.0000220000002</v>
      </c>
      <c r="Q44" s="18">
        <f t="shared" si="9"/>
        <v>1.4761375574181508E-2</v>
      </c>
      <c r="R44" s="36">
        <v>2302124</v>
      </c>
      <c r="S44" s="36">
        <v>1501138</v>
      </c>
      <c r="T44" s="39">
        <v>0.65210000000000001</v>
      </c>
      <c r="U44" s="36">
        <v>2256431</v>
      </c>
      <c r="V44" s="36">
        <v>1436580</v>
      </c>
      <c r="W44" s="39">
        <v>0.63670000000000004</v>
      </c>
      <c r="X44" s="36">
        <v>2537335</v>
      </c>
      <c r="Y44" s="36">
        <v>1642561</v>
      </c>
      <c r="Z44" s="39">
        <v>0.64739999999999998</v>
      </c>
      <c r="AA44" s="36">
        <v>2131933</v>
      </c>
      <c r="AB44" s="36">
        <v>1194366</v>
      </c>
      <c r="AC44" s="39">
        <v>0.56020000000000003</v>
      </c>
      <c r="AD44" s="36">
        <v>2004666</v>
      </c>
      <c r="AE44" s="36">
        <v>1059919</v>
      </c>
      <c r="AF44" s="39">
        <v>0.52869999999999995</v>
      </c>
      <c r="AG44" s="36">
        <v>1481064</v>
      </c>
      <c r="AH44" s="36">
        <v>890083</v>
      </c>
      <c r="AI44" s="39">
        <v>0.60099999999999998</v>
      </c>
    </row>
    <row r="45" spans="1:35" ht="15.75" customHeight="1" x14ac:dyDescent="0.2">
      <c r="A45" s="1" t="s">
        <v>119</v>
      </c>
      <c r="B45" s="1" t="s">
        <v>429</v>
      </c>
      <c r="C45" s="1" t="s">
        <v>433</v>
      </c>
      <c r="D45" s="1" t="s">
        <v>120</v>
      </c>
      <c r="E45" s="25">
        <v>503</v>
      </c>
      <c r="F45" s="21">
        <v>115439.000272</v>
      </c>
      <c r="G45" s="20">
        <f t="shared" si="5"/>
        <v>65878.000083999999</v>
      </c>
      <c r="H45" s="24">
        <f t="shared" si="6"/>
        <v>0.57067368851754396</v>
      </c>
      <c r="I45" s="12">
        <v>233</v>
      </c>
      <c r="J45" s="12">
        <v>53385.000109000001</v>
      </c>
      <c r="K45" s="13">
        <f t="shared" si="7"/>
        <v>0.4624520307973306</v>
      </c>
      <c r="L45" s="4">
        <v>53</v>
      </c>
      <c r="M45" s="4">
        <v>11098.999986999999</v>
      </c>
      <c r="N45" s="17">
        <f t="shared" si="8"/>
        <v>9.6146016171729506E-2</v>
      </c>
      <c r="O45" s="9">
        <v>4</v>
      </c>
      <c r="P45" s="9">
        <v>1393.999988</v>
      </c>
      <c r="Q45" s="18">
        <f t="shared" si="9"/>
        <v>1.2075641548483835E-2</v>
      </c>
      <c r="R45" s="36">
        <v>2705777</v>
      </c>
      <c r="S45" s="36">
        <v>1496466</v>
      </c>
      <c r="T45" s="39">
        <v>0.55310000000000004</v>
      </c>
      <c r="U45" s="36">
        <v>2606751</v>
      </c>
      <c r="V45" s="36">
        <v>1348421</v>
      </c>
      <c r="W45" s="39">
        <v>0.51729999999999998</v>
      </c>
      <c r="X45" s="36">
        <v>2929715</v>
      </c>
      <c r="Y45" s="36">
        <v>1641388</v>
      </c>
      <c r="Z45" s="39">
        <v>0.56030000000000002</v>
      </c>
      <c r="AA45" s="36">
        <v>2326040</v>
      </c>
      <c r="AB45" s="36">
        <v>1191567</v>
      </c>
      <c r="AC45" s="39">
        <v>0.51229999999999998</v>
      </c>
      <c r="AD45" s="36">
        <v>2131188</v>
      </c>
      <c r="AE45" s="36">
        <v>1075262</v>
      </c>
      <c r="AF45" s="39">
        <v>0.50449999999999995</v>
      </c>
      <c r="AG45" s="36">
        <v>1383419</v>
      </c>
      <c r="AH45" s="36">
        <v>761041</v>
      </c>
      <c r="AI45" s="39">
        <v>0.55010000000000003</v>
      </c>
    </row>
    <row r="46" spans="1:35" ht="15.75" customHeight="1" x14ac:dyDescent="0.2">
      <c r="A46" s="1" t="s">
        <v>121</v>
      </c>
      <c r="B46" s="1" t="s">
        <v>429</v>
      </c>
      <c r="C46" s="1" t="s">
        <v>433</v>
      </c>
      <c r="D46" s="1" t="s">
        <v>122</v>
      </c>
      <c r="E46" s="25">
        <v>385</v>
      </c>
      <c r="F46" s="21">
        <v>117517.000917</v>
      </c>
      <c r="G46" s="20">
        <f t="shared" si="5"/>
        <v>61747.000268999996</v>
      </c>
      <c r="H46" s="24">
        <f t="shared" si="6"/>
        <v>0.52543036145562216</v>
      </c>
      <c r="I46" s="12">
        <v>166</v>
      </c>
      <c r="J46" s="12">
        <v>52494.000206999997</v>
      </c>
      <c r="K46" s="13">
        <f t="shared" si="7"/>
        <v>0.4466928171871532</v>
      </c>
      <c r="L46" s="4">
        <v>24</v>
      </c>
      <c r="M46" s="4">
        <v>9145.0000710000004</v>
      </c>
      <c r="N46" s="17">
        <f t="shared" si="8"/>
        <v>7.7818528380067656E-2</v>
      </c>
      <c r="O46" s="9">
        <v>1</v>
      </c>
      <c r="P46" s="9">
        <v>107.99999099999999</v>
      </c>
      <c r="Q46" s="18">
        <f t="shared" si="9"/>
        <v>9.1901588840135836E-4</v>
      </c>
      <c r="R46" s="36">
        <v>2445966</v>
      </c>
      <c r="S46" s="36">
        <v>1431719</v>
      </c>
      <c r="T46" s="39">
        <v>0.58530000000000004</v>
      </c>
      <c r="U46" s="36">
        <v>2428870</v>
      </c>
      <c r="V46" s="36">
        <v>1308577</v>
      </c>
      <c r="W46" s="39">
        <v>0.53879999999999995</v>
      </c>
      <c r="X46" s="36">
        <v>3006786</v>
      </c>
      <c r="Y46" s="36">
        <v>1716645</v>
      </c>
      <c r="Z46" s="39">
        <v>0.57089999999999996</v>
      </c>
      <c r="AA46" s="36">
        <v>2077680</v>
      </c>
      <c r="AB46" s="36">
        <v>1101228</v>
      </c>
      <c r="AC46" s="39">
        <v>0.53</v>
      </c>
      <c r="AD46" s="36">
        <v>2187081</v>
      </c>
      <c r="AE46" s="36">
        <v>1124609</v>
      </c>
      <c r="AF46" s="39">
        <v>0.51419999999999999</v>
      </c>
      <c r="AG46" s="36">
        <v>1606014</v>
      </c>
      <c r="AH46" s="36">
        <v>925401</v>
      </c>
      <c r="AI46" s="39">
        <v>0.57620000000000005</v>
      </c>
    </row>
    <row r="47" spans="1:35" ht="15.75" customHeight="1" x14ac:dyDescent="0.2">
      <c r="A47" s="1" t="s">
        <v>123</v>
      </c>
      <c r="B47" s="1" t="s">
        <v>429</v>
      </c>
      <c r="C47" s="1" t="s">
        <v>437</v>
      </c>
      <c r="D47" s="1" t="s">
        <v>124</v>
      </c>
      <c r="E47" s="25">
        <v>454</v>
      </c>
      <c r="F47" s="21">
        <v>115183.00026</v>
      </c>
      <c r="G47" s="20">
        <f t="shared" si="5"/>
        <v>58128.000137000003</v>
      </c>
      <c r="H47" s="24">
        <f t="shared" si="6"/>
        <v>0.50465780545557049</v>
      </c>
      <c r="I47" s="12">
        <v>237</v>
      </c>
      <c r="J47" s="12">
        <v>56489.000135000002</v>
      </c>
      <c r="K47" s="13">
        <f t="shared" si="7"/>
        <v>0.4904282750708755</v>
      </c>
      <c r="L47" s="4">
        <v>0</v>
      </c>
      <c r="M47" s="4">
        <v>0</v>
      </c>
      <c r="N47" s="17">
        <f t="shared" si="8"/>
        <v>0</v>
      </c>
      <c r="O47" s="9">
        <v>7</v>
      </c>
      <c r="P47" s="9">
        <v>1639.000002</v>
      </c>
      <c r="Q47" s="18">
        <f t="shared" si="9"/>
        <v>1.4229530384694981E-2</v>
      </c>
      <c r="R47" s="36">
        <v>1787550</v>
      </c>
      <c r="S47" s="36">
        <v>733204</v>
      </c>
      <c r="T47" s="39">
        <v>0.41020000000000001</v>
      </c>
      <c r="U47" s="36">
        <v>1630472</v>
      </c>
      <c r="V47" s="36">
        <v>573009</v>
      </c>
      <c r="W47" s="39">
        <v>0.35139999999999999</v>
      </c>
      <c r="X47" s="36">
        <v>1872068</v>
      </c>
      <c r="Y47" s="36">
        <v>717701</v>
      </c>
      <c r="Z47" s="39">
        <v>0.38340000000000002</v>
      </c>
      <c r="AA47" s="36">
        <v>1386852</v>
      </c>
      <c r="AB47" s="36">
        <v>346510</v>
      </c>
      <c r="AC47" s="39">
        <v>0.24990000000000001</v>
      </c>
      <c r="AD47" s="36">
        <v>1377919</v>
      </c>
      <c r="AE47" s="36">
        <v>358303</v>
      </c>
      <c r="AF47" s="39">
        <v>0.26</v>
      </c>
      <c r="AG47" s="36">
        <v>864855</v>
      </c>
      <c r="AH47" s="36">
        <v>261116</v>
      </c>
      <c r="AI47" s="39">
        <v>0.3019</v>
      </c>
    </row>
    <row r="48" spans="1:35" ht="15.75" customHeight="1" x14ac:dyDescent="0.2">
      <c r="A48" s="1" t="s">
        <v>125</v>
      </c>
      <c r="B48" s="1" t="s">
        <v>429</v>
      </c>
      <c r="C48" s="1" t="s">
        <v>434</v>
      </c>
      <c r="D48" s="1" t="s">
        <v>126</v>
      </c>
      <c r="E48" s="25">
        <v>492</v>
      </c>
      <c r="F48" s="21">
        <v>122644.000182</v>
      </c>
      <c r="G48" s="20">
        <f t="shared" si="5"/>
        <v>70340.999987000003</v>
      </c>
      <c r="H48" s="24">
        <f t="shared" si="6"/>
        <v>0.57353804411643516</v>
      </c>
      <c r="I48" s="12">
        <v>234</v>
      </c>
      <c r="J48" s="12">
        <v>56933.999965000003</v>
      </c>
      <c r="K48" s="13">
        <f t="shared" si="7"/>
        <v>0.46422164867838345</v>
      </c>
      <c r="L48" s="4">
        <v>39</v>
      </c>
      <c r="M48" s="4">
        <v>11490.000019999999</v>
      </c>
      <c r="N48" s="17">
        <f t="shared" si="8"/>
        <v>9.3685789789546864E-2</v>
      </c>
      <c r="O48" s="9">
        <v>6</v>
      </c>
      <c r="P48" s="9">
        <v>1917.000002</v>
      </c>
      <c r="Q48" s="18">
        <f t="shared" si="9"/>
        <v>1.5630605648504856E-2</v>
      </c>
      <c r="R48" s="36">
        <v>2773071</v>
      </c>
      <c r="S48" s="36">
        <v>1733241</v>
      </c>
      <c r="T48" s="39">
        <v>0.625</v>
      </c>
      <c r="U48" s="36">
        <v>2705506</v>
      </c>
      <c r="V48" s="36">
        <v>1670045</v>
      </c>
      <c r="W48" s="39">
        <v>0.61729999999999996</v>
      </c>
      <c r="X48" s="36">
        <v>2573357</v>
      </c>
      <c r="Y48" s="36">
        <v>1689788</v>
      </c>
      <c r="Z48" s="39">
        <v>0.65659999999999996</v>
      </c>
      <c r="AA48" s="36">
        <v>2493326</v>
      </c>
      <c r="AB48" s="36">
        <v>1420927</v>
      </c>
      <c r="AC48" s="39">
        <v>0.56989999999999996</v>
      </c>
      <c r="AD48" s="36">
        <v>2233708</v>
      </c>
      <c r="AE48" s="36">
        <v>1316473</v>
      </c>
      <c r="AF48" s="39">
        <v>0.58940000000000003</v>
      </c>
      <c r="AG48" s="36">
        <v>1641804</v>
      </c>
      <c r="AH48" s="36">
        <v>1017771</v>
      </c>
      <c r="AI48" s="39">
        <v>0.61990000000000001</v>
      </c>
    </row>
    <row r="49" spans="1:35" ht="15.75" customHeight="1" x14ac:dyDescent="0.2">
      <c r="A49" s="1" t="s">
        <v>127</v>
      </c>
      <c r="B49" s="1" t="s">
        <v>429</v>
      </c>
      <c r="C49" s="1" t="s">
        <v>438</v>
      </c>
      <c r="D49" s="35" t="s">
        <v>128</v>
      </c>
      <c r="E49" s="25">
        <v>679</v>
      </c>
      <c r="F49" s="21">
        <v>176515.000761</v>
      </c>
      <c r="G49" s="20">
        <f t="shared" si="5"/>
        <v>89951.000354999996</v>
      </c>
      <c r="H49" s="24">
        <f t="shared" si="6"/>
        <v>0.50959408530265926</v>
      </c>
      <c r="I49" s="12">
        <v>343</v>
      </c>
      <c r="J49" s="12">
        <v>89108.000323999993</v>
      </c>
      <c r="K49" s="13">
        <f t="shared" si="7"/>
        <v>0.50481828705681264</v>
      </c>
      <c r="L49" s="4">
        <v>0</v>
      </c>
      <c r="M49" s="4">
        <v>0</v>
      </c>
      <c r="N49" s="17">
        <f t="shared" si="8"/>
        <v>0</v>
      </c>
      <c r="O49" s="9">
        <v>3</v>
      </c>
      <c r="P49" s="9">
        <v>843.00003100000004</v>
      </c>
      <c r="Q49" s="18">
        <f t="shared" si="9"/>
        <v>4.7757982458466281E-3</v>
      </c>
      <c r="R49" s="36">
        <v>1941459</v>
      </c>
      <c r="S49" s="36">
        <v>1430978</v>
      </c>
      <c r="T49" s="39">
        <v>0.73709999999999998</v>
      </c>
      <c r="U49" s="36">
        <v>1837372</v>
      </c>
      <c r="V49" s="36">
        <v>1402755</v>
      </c>
      <c r="W49" s="39">
        <v>0.76349999999999996</v>
      </c>
      <c r="X49" s="36">
        <v>1844008</v>
      </c>
      <c r="Y49" s="36">
        <v>1388136</v>
      </c>
      <c r="Z49" s="39">
        <v>0.75280000000000002</v>
      </c>
      <c r="AA49" s="36">
        <v>1455808</v>
      </c>
      <c r="AB49" s="36">
        <v>919170</v>
      </c>
      <c r="AC49" s="39">
        <v>0.63139999999999996</v>
      </c>
      <c r="AD49" s="36">
        <v>1654890</v>
      </c>
      <c r="AE49" s="36">
        <v>1028768</v>
      </c>
      <c r="AF49" s="39">
        <v>0.62170000000000003</v>
      </c>
      <c r="AG49" s="36">
        <v>1036382</v>
      </c>
      <c r="AH49" s="36">
        <v>659795</v>
      </c>
      <c r="AI49" s="39">
        <v>0.63660000000000005</v>
      </c>
    </row>
    <row r="50" spans="1:35" ht="15.75" customHeight="1" x14ac:dyDescent="0.2">
      <c r="A50" s="1" t="s">
        <v>129</v>
      </c>
      <c r="B50" s="1" t="s">
        <v>429</v>
      </c>
      <c r="C50" s="1" t="s">
        <v>438</v>
      </c>
      <c r="D50" s="1" t="s">
        <v>130</v>
      </c>
      <c r="E50" s="25">
        <v>315</v>
      </c>
      <c r="F50" s="21">
        <v>78777.000408000007</v>
      </c>
      <c r="G50" s="20">
        <f t="shared" si="5"/>
        <v>47593.000311999996</v>
      </c>
      <c r="H50" s="24">
        <f t="shared" si="6"/>
        <v>0.60414841978632638</v>
      </c>
      <c r="I50" s="12">
        <v>161</v>
      </c>
      <c r="J50" s="12">
        <v>41991.000269999997</v>
      </c>
      <c r="K50" s="13">
        <f t="shared" si="7"/>
        <v>0.53303629298553112</v>
      </c>
      <c r="L50" s="4">
        <v>23</v>
      </c>
      <c r="M50" s="4">
        <v>5194.0000229999996</v>
      </c>
      <c r="N50" s="17">
        <f t="shared" si="8"/>
        <v>6.5932949923192749E-2</v>
      </c>
      <c r="O50" s="9">
        <v>2</v>
      </c>
      <c r="P50" s="9">
        <v>408.00001900000001</v>
      </c>
      <c r="Q50" s="18">
        <f t="shared" si="9"/>
        <v>5.1791768776025468E-3</v>
      </c>
      <c r="R50" s="36">
        <v>2452127</v>
      </c>
      <c r="S50" s="36">
        <v>1294617</v>
      </c>
      <c r="T50" s="39">
        <v>0.52800000000000002</v>
      </c>
      <c r="U50" s="36">
        <v>2575071</v>
      </c>
      <c r="V50" s="36">
        <v>1223456</v>
      </c>
      <c r="W50" s="39">
        <v>0.47510000000000002</v>
      </c>
      <c r="X50" s="36">
        <v>2447263</v>
      </c>
      <c r="Y50" s="36">
        <v>1330608</v>
      </c>
      <c r="Z50" s="39">
        <v>0.54369999999999996</v>
      </c>
      <c r="AA50" s="36">
        <v>2152010</v>
      </c>
      <c r="AB50" s="36">
        <v>1070924</v>
      </c>
      <c r="AC50" s="39">
        <v>0.49759999999999999</v>
      </c>
      <c r="AD50" s="36">
        <v>2109586</v>
      </c>
      <c r="AE50" s="36">
        <v>1064575</v>
      </c>
      <c r="AF50" s="39">
        <v>0.50460000000000005</v>
      </c>
      <c r="AG50" s="36">
        <v>1337123</v>
      </c>
      <c r="AH50" s="36">
        <v>742126</v>
      </c>
      <c r="AI50" s="39">
        <v>0.55500000000000005</v>
      </c>
    </row>
    <row r="51" spans="1:35" ht="15.75" customHeight="1" x14ac:dyDescent="0.2">
      <c r="A51" s="1" t="s">
        <v>131</v>
      </c>
      <c r="B51" s="1" t="s">
        <v>429</v>
      </c>
      <c r="C51" s="1" t="s">
        <v>435</v>
      </c>
      <c r="D51" s="1" t="s">
        <v>132</v>
      </c>
      <c r="E51" s="25">
        <v>306</v>
      </c>
      <c r="F51" s="21">
        <v>80985.000020000007</v>
      </c>
      <c r="G51" s="20">
        <f t="shared" si="5"/>
        <v>43043.999866000006</v>
      </c>
      <c r="H51" s="24">
        <f t="shared" si="6"/>
        <v>0.53150583262789264</v>
      </c>
      <c r="I51" s="12">
        <v>131</v>
      </c>
      <c r="J51" s="12">
        <v>35200.999849</v>
      </c>
      <c r="K51" s="13">
        <f t="shared" si="7"/>
        <v>0.4346607376712574</v>
      </c>
      <c r="L51" s="4">
        <v>23</v>
      </c>
      <c r="M51" s="4">
        <v>6568.0000120000004</v>
      </c>
      <c r="N51" s="17">
        <f t="shared" si="8"/>
        <v>8.110143866614769E-2</v>
      </c>
      <c r="O51" s="9">
        <v>4</v>
      </c>
      <c r="P51" s="9">
        <v>1275.0000050000001</v>
      </c>
      <c r="Q51" s="18">
        <f t="shared" si="9"/>
        <v>1.5743656290487459E-2</v>
      </c>
      <c r="R51" s="36">
        <v>1584009</v>
      </c>
      <c r="S51" s="36">
        <v>770779</v>
      </c>
      <c r="T51" s="39">
        <v>0.48659999999999998</v>
      </c>
      <c r="U51" s="36">
        <v>1530616</v>
      </c>
      <c r="V51" s="36">
        <v>760400</v>
      </c>
      <c r="W51" s="39">
        <v>0.49680000000000002</v>
      </c>
      <c r="X51" s="36">
        <v>1735446</v>
      </c>
      <c r="Y51" s="36">
        <v>919457</v>
      </c>
      <c r="Z51" s="39">
        <v>0.52980000000000005</v>
      </c>
      <c r="AA51" s="36">
        <v>1299219</v>
      </c>
      <c r="AB51" s="36">
        <v>544170</v>
      </c>
      <c r="AC51" s="39">
        <v>0.41880000000000001</v>
      </c>
      <c r="AD51" s="36">
        <v>1123018</v>
      </c>
      <c r="AE51" s="36">
        <v>462537</v>
      </c>
      <c r="AF51" s="39">
        <v>0.41189999999999999</v>
      </c>
      <c r="AG51" s="36">
        <v>805784</v>
      </c>
      <c r="AH51" s="36">
        <v>391526</v>
      </c>
      <c r="AI51" s="39">
        <v>0.4859</v>
      </c>
    </row>
    <row r="52" spans="1:35" ht="15.75" customHeight="1" x14ac:dyDescent="0.2">
      <c r="A52" s="1" t="s">
        <v>133</v>
      </c>
      <c r="B52" s="1" t="s">
        <v>429</v>
      </c>
      <c r="C52" s="1" t="s">
        <v>434</v>
      </c>
      <c r="D52" s="1" t="s">
        <v>134</v>
      </c>
      <c r="E52" s="25">
        <v>388</v>
      </c>
      <c r="F52" s="21">
        <v>95199.000448999999</v>
      </c>
      <c r="G52" s="20">
        <f t="shared" si="5"/>
        <v>49709.000400999998</v>
      </c>
      <c r="H52" s="24">
        <f t="shared" si="6"/>
        <v>0.52215884795586798</v>
      </c>
      <c r="I52" s="12">
        <v>181</v>
      </c>
      <c r="J52" s="12">
        <v>45513.000365</v>
      </c>
      <c r="K52" s="13">
        <f t="shared" si="7"/>
        <v>0.47808275454932136</v>
      </c>
      <c r="L52" s="4">
        <v>15</v>
      </c>
      <c r="M52" s="4">
        <v>2842.0000209999998</v>
      </c>
      <c r="N52" s="17">
        <f t="shared" si="8"/>
        <v>2.9853254840869006E-2</v>
      </c>
      <c r="O52" s="9">
        <v>3</v>
      </c>
      <c r="P52" s="9">
        <v>1354.0000150000001</v>
      </c>
      <c r="Q52" s="18">
        <f t="shared" si="9"/>
        <v>1.422283856567764E-2</v>
      </c>
      <c r="R52" s="36">
        <v>1956397</v>
      </c>
      <c r="S52" s="36">
        <v>1240113</v>
      </c>
      <c r="T52" s="39">
        <v>0.63390000000000002</v>
      </c>
      <c r="U52" s="36">
        <v>1901522</v>
      </c>
      <c r="V52" s="36">
        <v>1128965</v>
      </c>
      <c r="W52" s="39">
        <v>0.59370000000000001</v>
      </c>
      <c r="X52" s="36">
        <v>1976315</v>
      </c>
      <c r="Y52" s="36">
        <v>1187889</v>
      </c>
      <c r="Z52" s="39">
        <v>0.60109999999999997</v>
      </c>
      <c r="AA52" s="36">
        <v>1803575</v>
      </c>
      <c r="AB52" s="36">
        <v>957697</v>
      </c>
      <c r="AC52" s="39">
        <v>0.53100000000000003</v>
      </c>
      <c r="AD52" s="36">
        <v>1589506</v>
      </c>
      <c r="AE52" s="36">
        <v>940528</v>
      </c>
      <c r="AF52" s="39">
        <v>0.5917</v>
      </c>
      <c r="AG52" s="36">
        <v>1140422</v>
      </c>
      <c r="AH52" s="36">
        <v>688936</v>
      </c>
      <c r="AI52" s="39">
        <v>0.60409999999999997</v>
      </c>
    </row>
    <row r="53" spans="1:35" ht="14" x14ac:dyDescent="0.2">
      <c r="A53" s="1" t="s">
        <v>135</v>
      </c>
      <c r="B53" s="1" t="s">
        <v>429</v>
      </c>
      <c r="C53" s="1" t="s">
        <v>433</v>
      </c>
      <c r="D53" s="1" t="s">
        <v>136</v>
      </c>
      <c r="E53" s="25">
        <v>722</v>
      </c>
      <c r="F53" s="21">
        <v>170557.000439</v>
      </c>
      <c r="G53" s="20">
        <f t="shared" si="5"/>
        <v>91775.000226000004</v>
      </c>
      <c r="H53" s="24">
        <f t="shared" si="6"/>
        <v>0.53808990536758117</v>
      </c>
      <c r="I53" s="12">
        <v>320</v>
      </c>
      <c r="J53" s="12">
        <v>78398.000123000005</v>
      </c>
      <c r="K53" s="13">
        <f t="shared" si="7"/>
        <v>0.45965864738011258</v>
      </c>
      <c r="L53" s="4">
        <v>49</v>
      </c>
      <c r="M53" s="4">
        <v>11571.000144</v>
      </c>
      <c r="N53" s="17">
        <f t="shared" si="8"/>
        <v>6.7842422851112388E-2</v>
      </c>
      <c r="O53" s="9">
        <v>8</v>
      </c>
      <c r="P53" s="9">
        <v>1805.999959</v>
      </c>
      <c r="Q53" s="18">
        <f t="shared" si="9"/>
        <v>1.0588835136356183E-2</v>
      </c>
      <c r="R53" s="36">
        <v>3170087</v>
      </c>
      <c r="S53" s="36">
        <v>2107630</v>
      </c>
      <c r="T53" s="39">
        <v>0.66479999999999995</v>
      </c>
      <c r="U53" s="36">
        <v>2897600</v>
      </c>
      <c r="V53" s="36">
        <v>1872024</v>
      </c>
      <c r="W53" s="39">
        <v>0.64610000000000001</v>
      </c>
      <c r="X53" s="36">
        <v>3204877</v>
      </c>
      <c r="Y53" s="36">
        <v>2165690</v>
      </c>
      <c r="Z53" s="39">
        <v>0.67569999999999997</v>
      </c>
      <c r="AA53" s="36">
        <v>2698337</v>
      </c>
      <c r="AB53" s="36">
        <v>1554735</v>
      </c>
      <c r="AC53" s="39">
        <v>0.57620000000000005</v>
      </c>
      <c r="AD53" s="36">
        <v>2478697</v>
      </c>
      <c r="AE53" s="36">
        <v>1502133</v>
      </c>
      <c r="AF53" s="39">
        <v>0.60599999999999998</v>
      </c>
      <c r="AG53" s="36">
        <v>1797624</v>
      </c>
      <c r="AH53" s="36">
        <v>1084532</v>
      </c>
      <c r="AI53" s="39">
        <v>0.60329999999999995</v>
      </c>
    </row>
    <row r="54" spans="1:35" ht="14" x14ac:dyDescent="0.2">
      <c r="A54" s="1" t="s">
        <v>137</v>
      </c>
      <c r="B54" s="1" t="s">
        <v>429</v>
      </c>
      <c r="C54" s="1" t="s">
        <v>435</v>
      </c>
      <c r="D54" s="1" t="s">
        <v>138</v>
      </c>
      <c r="E54" s="25">
        <v>491</v>
      </c>
      <c r="F54" s="21">
        <v>147966.00064899999</v>
      </c>
      <c r="G54" s="20">
        <f t="shared" si="5"/>
        <v>77329.000297000006</v>
      </c>
      <c r="H54" s="24">
        <f t="shared" si="6"/>
        <v>0.52261330277106888</v>
      </c>
      <c r="I54" s="12">
        <v>216</v>
      </c>
      <c r="J54" s="12">
        <v>64082.000296999999</v>
      </c>
      <c r="K54" s="13">
        <f t="shared" si="7"/>
        <v>0.43308597931908144</v>
      </c>
      <c r="L54" s="4">
        <v>43</v>
      </c>
      <c r="M54" s="4">
        <v>11242.999991999999</v>
      </c>
      <c r="N54" s="17">
        <f t="shared" si="8"/>
        <v>7.5983671537289632E-2</v>
      </c>
      <c r="O54" s="9">
        <v>4</v>
      </c>
      <c r="P54" s="9">
        <v>2004.000008</v>
      </c>
      <c r="Q54" s="18">
        <f t="shared" si="9"/>
        <v>1.3543651914697767E-2</v>
      </c>
      <c r="R54" s="36">
        <v>2713899</v>
      </c>
      <c r="S54" s="36">
        <v>1656246</v>
      </c>
      <c r="T54" s="39">
        <v>0.61029999999999995</v>
      </c>
      <c r="U54" s="36">
        <v>2748856</v>
      </c>
      <c r="V54" s="36">
        <v>1644592</v>
      </c>
      <c r="W54" s="39">
        <v>0.59830000000000005</v>
      </c>
      <c r="X54" s="36">
        <v>3584390</v>
      </c>
      <c r="Y54" s="36">
        <v>2241150</v>
      </c>
      <c r="Z54" s="39">
        <v>0.62529999999999997</v>
      </c>
      <c r="AA54" s="36">
        <v>2498200</v>
      </c>
      <c r="AB54" s="36">
        <v>1405220</v>
      </c>
      <c r="AC54" s="39">
        <v>0.5625</v>
      </c>
      <c r="AD54" s="36">
        <v>2569536</v>
      </c>
      <c r="AE54" s="36">
        <v>1391929</v>
      </c>
      <c r="AF54" s="39">
        <v>0.54169999999999996</v>
      </c>
      <c r="AG54" s="36">
        <v>1915521</v>
      </c>
      <c r="AH54" s="36">
        <v>1156915</v>
      </c>
      <c r="AI54" s="39">
        <v>0.60399999999999998</v>
      </c>
    </row>
    <row r="55" spans="1:35" ht="14" x14ac:dyDescent="0.2">
      <c r="A55" s="1" t="s">
        <v>139</v>
      </c>
      <c r="B55" s="1" t="s">
        <v>429</v>
      </c>
      <c r="C55" s="1" t="s">
        <v>433</v>
      </c>
      <c r="D55" s="1" t="s">
        <v>140</v>
      </c>
      <c r="E55" s="25">
        <v>490</v>
      </c>
      <c r="F55" s="21">
        <v>132099.00030399999</v>
      </c>
      <c r="G55" s="20">
        <f t="shared" si="5"/>
        <v>74126.000218999994</v>
      </c>
      <c r="H55" s="24">
        <f t="shared" si="6"/>
        <v>0.56113975161366492</v>
      </c>
      <c r="I55" s="12">
        <v>234</v>
      </c>
      <c r="J55" s="12">
        <v>65527.000207999998</v>
      </c>
      <c r="K55" s="13">
        <f t="shared" si="7"/>
        <v>0.49604463362479984</v>
      </c>
      <c r="L55" s="4">
        <v>29</v>
      </c>
      <c r="M55" s="4">
        <v>7611.9999879999996</v>
      </c>
      <c r="N55" s="17">
        <f t="shared" si="8"/>
        <v>5.7623448856406724E-2</v>
      </c>
      <c r="O55" s="9">
        <v>4</v>
      </c>
      <c r="P55" s="9">
        <v>987.00002300000006</v>
      </c>
      <c r="Q55" s="18">
        <f t="shared" si="9"/>
        <v>7.4716691324583284E-3</v>
      </c>
      <c r="R55" s="36">
        <v>2054455</v>
      </c>
      <c r="S55" s="36">
        <v>1478541</v>
      </c>
      <c r="T55" s="39">
        <v>0.71970000000000001</v>
      </c>
      <c r="U55" s="36">
        <v>2017881</v>
      </c>
      <c r="V55" s="36">
        <v>1400478</v>
      </c>
      <c r="W55" s="39">
        <v>0.69399999999999995</v>
      </c>
      <c r="X55" s="36">
        <v>2013425</v>
      </c>
      <c r="Y55" s="36">
        <v>1427193</v>
      </c>
      <c r="Z55" s="39">
        <v>0.70879999999999999</v>
      </c>
      <c r="AA55" s="36">
        <v>1951338</v>
      </c>
      <c r="AB55" s="36">
        <v>1135737</v>
      </c>
      <c r="AC55" s="39">
        <v>0.58199999999999996</v>
      </c>
      <c r="AD55" s="36">
        <v>1876360</v>
      </c>
      <c r="AE55" s="36">
        <v>1067117</v>
      </c>
      <c r="AF55" s="39">
        <v>0.56869999999999998</v>
      </c>
      <c r="AG55" s="36">
        <v>1368950</v>
      </c>
      <c r="AH55" s="36">
        <v>820447</v>
      </c>
      <c r="AI55" s="39">
        <v>0.59930000000000005</v>
      </c>
    </row>
    <row r="56" spans="1:35" ht="14" x14ac:dyDescent="0.2">
      <c r="A56" s="1" t="s">
        <v>141</v>
      </c>
      <c r="B56" s="1" t="s">
        <v>429</v>
      </c>
      <c r="C56" s="1" t="s">
        <v>433</v>
      </c>
      <c r="D56" s="1" t="s">
        <v>142</v>
      </c>
      <c r="E56" s="25">
        <v>400</v>
      </c>
      <c r="F56" s="21">
        <v>100264.000527</v>
      </c>
      <c r="G56" s="20">
        <f t="shared" si="5"/>
        <v>48560.000314999997</v>
      </c>
      <c r="H56" s="24">
        <f t="shared" si="6"/>
        <v>0.48432139212242303</v>
      </c>
      <c r="I56" s="12">
        <v>166</v>
      </c>
      <c r="J56" s="12">
        <v>41393.000198000002</v>
      </c>
      <c r="K56" s="13">
        <f t="shared" si="7"/>
        <v>0.41284010193522369</v>
      </c>
      <c r="L56" s="4">
        <v>24</v>
      </c>
      <c r="M56" s="4">
        <v>5746.0000819999996</v>
      </c>
      <c r="N56" s="17">
        <f t="shared" si="8"/>
        <v>5.7308705535369743E-2</v>
      </c>
      <c r="O56" s="9">
        <v>6</v>
      </c>
      <c r="P56" s="9">
        <v>1421.000035</v>
      </c>
      <c r="Q56" s="18">
        <f t="shared" si="9"/>
        <v>1.417258465182965E-2</v>
      </c>
      <c r="R56" s="36">
        <v>1669548</v>
      </c>
      <c r="S56" s="36">
        <v>1050730</v>
      </c>
      <c r="T56" s="39">
        <v>0.62929999999999997</v>
      </c>
      <c r="U56" s="36">
        <v>1665869</v>
      </c>
      <c r="V56" s="36">
        <v>1029436</v>
      </c>
      <c r="W56" s="39">
        <v>0.61799999999999999</v>
      </c>
      <c r="X56" s="36">
        <v>1784656</v>
      </c>
      <c r="Y56" s="36">
        <v>1145289</v>
      </c>
      <c r="Z56" s="39">
        <v>0.64170000000000005</v>
      </c>
      <c r="AA56" s="36">
        <v>1573917</v>
      </c>
      <c r="AB56" s="36">
        <v>852046</v>
      </c>
      <c r="AC56" s="39">
        <v>0.54139999999999999</v>
      </c>
      <c r="AD56" s="36">
        <v>1515633</v>
      </c>
      <c r="AE56" s="36">
        <v>853886</v>
      </c>
      <c r="AF56" s="39">
        <v>0.56340000000000001</v>
      </c>
      <c r="AG56" s="36">
        <v>1036985</v>
      </c>
      <c r="AH56" s="36">
        <v>624665</v>
      </c>
      <c r="AI56" s="39">
        <v>0.60240000000000005</v>
      </c>
    </row>
    <row r="57" spans="1:35" ht="14" x14ac:dyDescent="0.2">
      <c r="A57" s="1" t="s">
        <v>143</v>
      </c>
      <c r="B57" s="1" t="s">
        <v>429</v>
      </c>
      <c r="C57" s="1" t="s">
        <v>435</v>
      </c>
      <c r="D57" s="1" t="s">
        <v>144</v>
      </c>
      <c r="E57" s="25">
        <v>760</v>
      </c>
      <c r="F57" s="21">
        <v>167748.000226</v>
      </c>
      <c r="G57" s="20">
        <f t="shared" si="5"/>
        <v>92075.000140000004</v>
      </c>
      <c r="H57" s="24">
        <f t="shared" si="6"/>
        <v>0.54888880949967289</v>
      </c>
      <c r="I57" s="12">
        <v>342</v>
      </c>
      <c r="J57" s="12">
        <v>74759.000167999999</v>
      </c>
      <c r="K57" s="13">
        <f t="shared" si="7"/>
        <v>0.44566254183227377</v>
      </c>
      <c r="L57" s="4">
        <v>61</v>
      </c>
      <c r="M57" s="4">
        <v>15380.999952</v>
      </c>
      <c r="N57" s="17">
        <f t="shared" si="8"/>
        <v>9.1691107681032322E-2</v>
      </c>
      <c r="O57" s="9">
        <v>9</v>
      </c>
      <c r="P57" s="9">
        <v>1935.0000199999999</v>
      </c>
      <c r="Q57" s="18">
        <f t="shared" si="9"/>
        <v>1.1535159986366774E-2</v>
      </c>
      <c r="R57" s="36">
        <v>3264123</v>
      </c>
      <c r="S57" s="36">
        <v>1981012</v>
      </c>
      <c r="T57" s="39">
        <v>0.6069</v>
      </c>
      <c r="U57" s="36">
        <v>2972014</v>
      </c>
      <c r="V57" s="36">
        <v>1686460</v>
      </c>
      <c r="W57" s="39">
        <v>0.56740000000000002</v>
      </c>
      <c r="X57" s="36">
        <v>2690156</v>
      </c>
      <c r="Y57" s="36">
        <v>1644041</v>
      </c>
      <c r="Z57" s="39">
        <v>0.61109999999999998</v>
      </c>
      <c r="AA57" s="36">
        <v>2557124</v>
      </c>
      <c r="AB57" s="36">
        <v>1392534</v>
      </c>
      <c r="AC57" s="39">
        <v>0.54459999999999997</v>
      </c>
      <c r="AD57" s="36">
        <v>2209987</v>
      </c>
      <c r="AE57" s="36">
        <v>1154677</v>
      </c>
      <c r="AF57" s="39">
        <v>0.52249999999999996</v>
      </c>
      <c r="AG57" s="36">
        <v>1416199</v>
      </c>
      <c r="AH57" s="36">
        <v>798010</v>
      </c>
      <c r="AI57" s="39">
        <v>0.5635</v>
      </c>
    </row>
    <row r="58" spans="1:35" ht="14" x14ac:dyDescent="0.2">
      <c r="A58" s="1" t="s">
        <v>145</v>
      </c>
      <c r="B58" s="1" t="s">
        <v>429</v>
      </c>
      <c r="C58" s="1" t="s">
        <v>433</v>
      </c>
      <c r="D58" s="1" t="s">
        <v>146</v>
      </c>
      <c r="E58" s="25">
        <v>512</v>
      </c>
      <c r="F58" s="21">
        <v>154463.000497</v>
      </c>
      <c r="G58" s="20">
        <f t="shared" si="5"/>
        <v>88825.000299000007</v>
      </c>
      <c r="H58" s="24">
        <f t="shared" si="6"/>
        <v>0.57505680980685847</v>
      </c>
      <c r="I58" s="12">
        <v>249</v>
      </c>
      <c r="J58" s="12">
        <v>77369.000310000003</v>
      </c>
      <c r="K58" s="13">
        <f t="shared" si="7"/>
        <v>0.50089018121529161</v>
      </c>
      <c r="L58" s="4">
        <v>23</v>
      </c>
      <c r="M58" s="4">
        <v>8836.9999910000006</v>
      </c>
      <c r="N58" s="17">
        <f t="shared" si="8"/>
        <v>5.721111180390176E-2</v>
      </c>
      <c r="O58" s="9">
        <v>7</v>
      </c>
      <c r="P58" s="9">
        <v>2618.9999979999998</v>
      </c>
      <c r="Q58" s="18">
        <f t="shared" si="9"/>
        <v>1.6955516787665059E-2</v>
      </c>
      <c r="R58" s="36">
        <v>2778860</v>
      </c>
      <c r="S58" s="36">
        <v>1817154</v>
      </c>
      <c r="T58" s="39">
        <v>0.65390000000000004</v>
      </c>
      <c r="U58" s="36">
        <v>2824157</v>
      </c>
      <c r="V58" s="36">
        <v>1781744</v>
      </c>
      <c r="W58" s="39">
        <v>0.63090000000000002</v>
      </c>
      <c r="X58" s="36">
        <v>2904990</v>
      </c>
      <c r="Y58" s="36">
        <v>1804083</v>
      </c>
      <c r="Z58" s="39">
        <v>0.621</v>
      </c>
      <c r="AA58" s="36">
        <v>2554566</v>
      </c>
      <c r="AB58" s="36">
        <v>1366294</v>
      </c>
      <c r="AC58" s="39">
        <v>0.53480000000000005</v>
      </c>
      <c r="AD58" s="36">
        <v>2316027</v>
      </c>
      <c r="AE58" s="36">
        <v>1221233</v>
      </c>
      <c r="AF58" s="39">
        <v>0.52729999999999999</v>
      </c>
      <c r="AG58" s="36">
        <v>1733883</v>
      </c>
      <c r="AH58" s="36">
        <v>983739</v>
      </c>
      <c r="AI58" s="39">
        <v>0.56740000000000002</v>
      </c>
    </row>
    <row r="59" spans="1:35" ht="14" x14ac:dyDescent="0.2">
      <c r="A59" s="1" t="s">
        <v>147</v>
      </c>
      <c r="B59" s="1" t="s">
        <v>429</v>
      </c>
      <c r="C59" s="1" t="s">
        <v>435</v>
      </c>
      <c r="D59" s="1" t="s">
        <v>148</v>
      </c>
      <c r="E59" s="25">
        <v>891</v>
      </c>
      <c r="F59" s="21">
        <v>230385.000225</v>
      </c>
      <c r="G59" s="20">
        <f t="shared" si="5"/>
        <v>127788.99988600001</v>
      </c>
      <c r="H59" s="24">
        <f t="shared" si="6"/>
        <v>0.5546758676181085</v>
      </c>
      <c r="I59" s="12">
        <v>404</v>
      </c>
      <c r="J59" s="12">
        <v>102506.99996299999</v>
      </c>
      <c r="K59" s="13">
        <f t="shared" si="7"/>
        <v>0.44493782087761352</v>
      </c>
      <c r="L59" s="4">
        <v>74</v>
      </c>
      <c r="M59" s="4">
        <v>20903.999991000001</v>
      </c>
      <c r="N59" s="17">
        <f t="shared" si="8"/>
        <v>9.0735073770360955E-2</v>
      </c>
      <c r="O59" s="9">
        <v>17</v>
      </c>
      <c r="P59" s="9">
        <v>4377.9999319999997</v>
      </c>
      <c r="Q59" s="18">
        <f t="shared" si="9"/>
        <v>1.9002972970134039E-2</v>
      </c>
      <c r="R59" s="36">
        <v>3467241</v>
      </c>
      <c r="S59" s="36">
        <v>2180960</v>
      </c>
      <c r="T59" s="39">
        <v>0.629</v>
      </c>
      <c r="U59" s="36">
        <v>2958230</v>
      </c>
      <c r="V59" s="36">
        <v>1832353</v>
      </c>
      <c r="W59" s="39">
        <v>0.61939999999999995</v>
      </c>
      <c r="X59" s="36">
        <v>3393803</v>
      </c>
      <c r="Y59" s="36">
        <v>2141506</v>
      </c>
      <c r="Z59" s="39">
        <v>0.63100000000000001</v>
      </c>
      <c r="AA59" s="36">
        <v>3528625</v>
      </c>
      <c r="AB59" s="36">
        <v>1729409</v>
      </c>
      <c r="AC59" s="39">
        <v>0.49009999999999998</v>
      </c>
      <c r="AD59" s="36">
        <v>3426867</v>
      </c>
      <c r="AE59" s="36">
        <v>1620768</v>
      </c>
      <c r="AF59" s="39">
        <v>0.47299999999999998</v>
      </c>
      <c r="AG59" s="36">
        <v>2418535</v>
      </c>
      <c r="AH59" s="36">
        <v>1234062</v>
      </c>
      <c r="AI59" s="39">
        <v>0.51029999999999998</v>
      </c>
    </row>
    <row r="60" spans="1:35" ht="14" x14ac:dyDescent="0.2">
      <c r="A60" s="1" t="s">
        <v>149</v>
      </c>
      <c r="B60" s="1" t="s">
        <v>429</v>
      </c>
      <c r="C60" s="1" t="s">
        <v>435</v>
      </c>
      <c r="D60" s="1" t="s">
        <v>150</v>
      </c>
      <c r="E60" s="25">
        <v>790</v>
      </c>
      <c r="F60" s="21">
        <v>167010.00002000001</v>
      </c>
      <c r="G60" s="20">
        <f t="shared" si="5"/>
        <v>91972.000041999985</v>
      </c>
      <c r="H60" s="24">
        <f t="shared" si="6"/>
        <v>0.55069756320571239</v>
      </c>
      <c r="I60" s="12">
        <v>362</v>
      </c>
      <c r="J60" s="12">
        <v>73422.000008999996</v>
      </c>
      <c r="K60" s="13">
        <f t="shared" si="7"/>
        <v>0.43962636967970459</v>
      </c>
      <c r="L60" s="4">
        <v>79</v>
      </c>
      <c r="M60" s="4">
        <v>17064.000005000002</v>
      </c>
      <c r="N60" s="17">
        <f t="shared" si="8"/>
        <v>0.10217352256126298</v>
      </c>
      <c r="O60" s="9">
        <v>6</v>
      </c>
      <c r="P60" s="9">
        <v>1486.0000279999999</v>
      </c>
      <c r="Q60" s="18">
        <f t="shared" si="9"/>
        <v>8.8976709647449036E-3</v>
      </c>
      <c r="R60" s="36">
        <v>2927290</v>
      </c>
      <c r="S60" s="36">
        <v>1854971</v>
      </c>
      <c r="T60" s="39">
        <v>0.63370000000000004</v>
      </c>
      <c r="U60" s="36">
        <v>2701969</v>
      </c>
      <c r="V60" s="36">
        <v>1617476</v>
      </c>
      <c r="W60" s="39">
        <v>0.59860000000000002</v>
      </c>
      <c r="X60" s="36">
        <v>2234926</v>
      </c>
      <c r="Y60" s="36">
        <v>1389173</v>
      </c>
      <c r="Z60" s="39">
        <v>0.62160000000000004</v>
      </c>
      <c r="AA60" s="36">
        <v>2509811</v>
      </c>
      <c r="AB60" s="36">
        <v>1377980</v>
      </c>
      <c r="AC60" s="39">
        <v>0.54900000000000004</v>
      </c>
      <c r="AD60" s="36">
        <v>2230780</v>
      </c>
      <c r="AE60" s="36">
        <v>1221246</v>
      </c>
      <c r="AF60" s="39">
        <v>0.54749999999999999</v>
      </c>
      <c r="AG60" s="36">
        <v>1419359</v>
      </c>
      <c r="AH60" s="36">
        <v>826702</v>
      </c>
      <c r="AI60" s="39">
        <v>0.58240000000000003</v>
      </c>
    </row>
    <row r="61" spans="1:35" ht="14" x14ac:dyDescent="0.2">
      <c r="A61" s="1" t="s">
        <v>151</v>
      </c>
      <c r="B61" s="1" t="s">
        <v>429</v>
      </c>
      <c r="C61" s="1" t="s">
        <v>433</v>
      </c>
      <c r="D61" s="1" t="s">
        <v>152</v>
      </c>
      <c r="E61" s="25">
        <v>616</v>
      </c>
      <c r="F61" s="21">
        <v>154407.00055</v>
      </c>
      <c r="G61" s="20">
        <f t="shared" si="5"/>
        <v>77429.000224000003</v>
      </c>
      <c r="H61" s="24">
        <f t="shared" si="6"/>
        <v>0.50146042568145721</v>
      </c>
      <c r="I61" s="12">
        <v>261</v>
      </c>
      <c r="J61" s="12">
        <v>67197.000157999995</v>
      </c>
      <c r="K61" s="13">
        <f t="shared" si="7"/>
        <v>0.43519399974511064</v>
      </c>
      <c r="L61" s="4">
        <v>33</v>
      </c>
      <c r="M61" s="4">
        <v>8714.0000729999992</v>
      </c>
      <c r="N61" s="17">
        <f t="shared" si="8"/>
        <v>5.6435265512318762E-2</v>
      </c>
      <c r="O61" s="9">
        <v>7</v>
      </c>
      <c r="P61" s="9">
        <v>1517.9999929999999</v>
      </c>
      <c r="Q61" s="18">
        <f t="shared" si="9"/>
        <v>9.8311604240278079E-3</v>
      </c>
      <c r="R61" s="36">
        <v>3005880</v>
      </c>
      <c r="S61" s="36">
        <v>1946659</v>
      </c>
      <c r="T61" s="39">
        <v>0.64759999999999995</v>
      </c>
      <c r="U61" s="36">
        <v>2881437</v>
      </c>
      <c r="V61" s="36">
        <v>1832127</v>
      </c>
      <c r="W61" s="39">
        <v>0.63580000000000003</v>
      </c>
      <c r="X61" s="36">
        <v>3049631</v>
      </c>
      <c r="Y61" s="36">
        <v>2054551</v>
      </c>
      <c r="Z61" s="39">
        <v>0.67369999999999997</v>
      </c>
      <c r="AA61" s="36">
        <v>2589218</v>
      </c>
      <c r="AB61" s="36">
        <v>1455438</v>
      </c>
      <c r="AC61" s="39">
        <v>0.56210000000000004</v>
      </c>
      <c r="AD61" s="36">
        <v>2409686</v>
      </c>
      <c r="AE61" s="36">
        <v>1376078</v>
      </c>
      <c r="AF61" s="39">
        <v>0.57110000000000005</v>
      </c>
      <c r="AG61" s="36">
        <v>1775124</v>
      </c>
      <c r="AH61" s="36">
        <v>1068516</v>
      </c>
      <c r="AI61" s="39">
        <v>0.60189999999999999</v>
      </c>
    </row>
    <row r="62" spans="1:35" ht="14" x14ac:dyDescent="0.2">
      <c r="A62" s="1" t="s">
        <v>153</v>
      </c>
      <c r="B62" s="1" t="s">
        <v>429</v>
      </c>
      <c r="C62" s="1" t="s">
        <v>438</v>
      </c>
      <c r="D62" s="1" t="s">
        <v>154</v>
      </c>
      <c r="E62" s="25">
        <v>1045</v>
      </c>
      <c r="F62" s="21">
        <v>314796.00047700002</v>
      </c>
      <c r="G62" s="20">
        <f t="shared" si="5"/>
        <v>166321.000168</v>
      </c>
      <c r="H62" s="24">
        <f t="shared" si="6"/>
        <v>0.52834534084289275</v>
      </c>
      <c r="I62" s="12">
        <v>461</v>
      </c>
      <c r="J62" s="12">
        <v>143632.00015199999</v>
      </c>
      <c r="K62" s="13">
        <f t="shared" si="7"/>
        <v>0.45627009216876691</v>
      </c>
      <c r="L62" s="4">
        <v>66</v>
      </c>
      <c r="M62" s="4">
        <v>19722.000006999999</v>
      </c>
      <c r="N62" s="17">
        <f t="shared" si="8"/>
        <v>6.2650097133114466E-2</v>
      </c>
      <c r="O62" s="9">
        <v>8</v>
      </c>
      <c r="P62" s="9">
        <v>2967.0000089999999</v>
      </c>
      <c r="Q62" s="18">
        <f t="shared" si="9"/>
        <v>9.4251515410113292E-3</v>
      </c>
      <c r="R62" s="36">
        <v>2528385</v>
      </c>
      <c r="S62" s="36">
        <v>1848435</v>
      </c>
      <c r="T62" s="39">
        <v>0.73109999999999997</v>
      </c>
      <c r="U62" s="36">
        <v>2423162</v>
      </c>
      <c r="V62" s="36">
        <v>1746817</v>
      </c>
      <c r="W62" s="39">
        <v>0.72089999999999999</v>
      </c>
      <c r="X62" s="36">
        <v>2779611</v>
      </c>
      <c r="Y62" s="36">
        <v>2080651</v>
      </c>
      <c r="Z62" s="39">
        <v>0.74850000000000005</v>
      </c>
      <c r="AA62" s="36">
        <v>2144725</v>
      </c>
      <c r="AB62" s="36">
        <v>1321739</v>
      </c>
      <c r="AC62" s="39">
        <v>0.61629999999999996</v>
      </c>
      <c r="AD62" s="36">
        <v>2299493</v>
      </c>
      <c r="AE62" s="36">
        <v>1325996</v>
      </c>
      <c r="AF62" s="39">
        <v>0.5766</v>
      </c>
      <c r="AG62" s="36">
        <v>1719003</v>
      </c>
      <c r="AH62" s="36">
        <v>1096539</v>
      </c>
      <c r="AI62" s="39">
        <v>0.63790000000000002</v>
      </c>
    </row>
    <row r="63" spans="1:35" ht="14" x14ac:dyDescent="0.2">
      <c r="A63" s="1" t="s">
        <v>155</v>
      </c>
      <c r="B63" s="1" t="s">
        <v>429</v>
      </c>
      <c r="C63" s="1" t="s">
        <v>433</v>
      </c>
      <c r="D63" s="1" t="s">
        <v>156</v>
      </c>
      <c r="E63" s="25">
        <v>421</v>
      </c>
      <c r="F63" s="21">
        <v>112229.00044600001</v>
      </c>
      <c r="G63" s="20">
        <f t="shared" si="5"/>
        <v>62344.000470000006</v>
      </c>
      <c r="H63" s="24">
        <f t="shared" si="6"/>
        <v>0.55550704561426956</v>
      </c>
      <c r="I63" s="12">
        <v>179</v>
      </c>
      <c r="J63" s="12">
        <v>48544.000332000003</v>
      </c>
      <c r="K63" s="13">
        <f t="shared" si="7"/>
        <v>0.43254417431399461</v>
      </c>
      <c r="L63" s="4">
        <v>39</v>
      </c>
      <c r="M63" s="4">
        <v>12989.000139</v>
      </c>
      <c r="N63" s="17">
        <f t="shared" si="8"/>
        <v>0.11573657510430893</v>
      </c>
      <c r="O63" s="9">
        <v>4</v>
      </c>
      <c r="P63" s="9">
        <v>810.999999</v>
      </c>
      <c r="Q63" s="18">
        <f t="shared" si="9"/>
        <v>7.2262961959660326E-3</v>
      </c>
      <c r="R63" s="36">
        <v>2395243</v>
      </c>
      <c r="S63" s="36">
        <v>1258137</v>
      </c>
      <c r="T63" s="39">
        <v>0.52529999999999999</v>
      </c>
      <c r="U63" s="36">
        <v>2010674</v>
      </c>
      <c r="V63" s="36">
        <v>1096630</v>
      </c>
      <c r="W63" s="39">
        <v>0.5454</v>
      </c>
      <c r="X63" s="36">
        <v>1988200</v>
      </c>
      <c r="Y63" s="36">
        <v>1087512</v>
      </c>
      <c r="Z63" s="39">
        <v>0.54700000000000004</v>
      </c>
      <c r="AA63" s="36">
        <v>1932250</v>
      </c>
      <c r="AB63" s="36">
        <v>916727</v>
      </c>
      <c r="AC63" s="39">
        <v>0.47439999999999999</v>
      </c>
      <c r="AD63" s="36">
        <v>1645912</v>
      </c>
      <c r="AE63" s="36">
        <v>779289</v>
      </c>
      <c r="AF63" s="39">
        <v>0.47349999999999998</v>
      </c>
      <c r="AG63" s="36">
        <v>1140556</v>
      </c>
      <c r="AH63" s="36">
        <v>621849</v>
      </c>
      <c r="AI63" s="39">
        <v>0.54520000000000002</v>
      </c>
    </row>
    <row r="64" spans="1:35" ht="14" x14ac:dyDescent="0.2">
      <c r="A64" s="1" t="s">
        <v>157</v>
      </c>
      <c r="B64" s="1" t="s">
        <v>429</v>
      </c>
      <c r="C64" s="1" t="s">
        <v>433</v>
      </c>
      <c r="D64" s="1" t="s">
        <v>158</v>
      </c>
      <c r="E64" s="25">
        <v>388</v>
      </c>
      <c r="F64" s="21">
        <v>85893.000243000002</v>
      </c>
      <c r="G64" s="20">
        <f t="shared" si="5"/>
        <v>47768.000114000002</v>
      </c>
      <c r="H64" s="24">
        <f t="shared" si="6"/>
        <v>0.55613379412594144</v>
      </c>
      <c r="I64" s="12">
        <v>172</v>
      </c>
      <c r="J64" s="12">
        <v>40222.000106</v>
      </c>
      <c r="K64" s="13">
        <f t="shared" si="7"/>
        <v>0.4682803021457847</v>
      </c>
      <c r="L64" s="4">
        <v>40</v>
      </c>
      <c r="M64" s="4">
        <v>7322.0000019999998</v>
      </c>
      <c r="N64" s="17">
        <f t="shared" si="8"/>
        <v>8.5245596047236902E-2</v>
      </c>
      <c r="O64" s="9">
        <v>2</v>
      </c>
      <c r="P64" s="9">
        <v>224.00000600000001</v>
      </c>
      <c r="Q64" s="18">
        <f t="shared" si="9"/>
        <v>2.6078959329198107E-3</v>
      </c>
      <c r="R64" s="36">
        <v>2612521</v>
      </c>
      <c r="S64" s="36">
        <v>1110591</v>
      </c>
      <c r="T64" s="39">
        <v>0.42509999999999998</v>
      </c>
      <c r="U64" s="36">
        <v>2596419</v>
      </c>
      <c r="V64" s="36">
        <v>1102540</v>
      </c>
      <c r="W64" s="39">
        <v>0.42459999999999998</v>
      </c>
      <c r="X64" s="36">
        <v>2237666</v>
      </c>
      <c r="Y64" s="36">
        <v>980442</v>
      </c>
      <c r="Z64" s="39">
        <v>0.43819999999999998</v>
      </c>
      <c r="AA64" s="36">
        <v>1976547</v>
      </c>
      <c r="AB64" s="36">
        <v>871783</v>
      </c>
      <c r="AC64" s="39">
        <v>0.44109999999999999</v>
      </c>
      <c r="AD64" s="36">
        <v>1775233</v>
      </c>
      <c r="AE64" s="36">
        <v>820646</v>
      </c>
      <c r="AF64" s="39">
        <v>0.46229999999999999</v>
      </c>
      <c r="AG64" s="36">
        <v>1148817</v>
      </c>
      <c r="AH64" s="36">
        <v>588290</v>
      </c>
      <c r="AI64" s="39">
        <v>0.5121</v>
      </c>
    </row>
    <row r="65" spans="1:35" ht="14" x14ac:dyDescent="0.2">
      <c r="A65" s="1" t="s">
        <v>159</v>
      </c>
      <c r="B65" s="1" t="s">
        <v>429</v>
      </c>
      <c r="C65" s="1" t="s">
        <v>433</v>
      </c>
      <c r="D65" s="1" t="s">
        <v>160</v>
      </c>
      <c r="E65" s="25">
        <v>839</v>
      </c>
      <c r="F65" s="21">
        <v>216193.000658</v>
      </c>
      <c r="G65" s="20">
        <f t="shared" si="5"/>
        <v>129356.000634</v>
      </c>
      <c r="H65" s="24">
        <f t="shared" si="6"/>
        <v>0.59833574741224305</v>
      </c>
      <c r="I65" s="12">
        <v>374</v>
      </c>
      <c r="J65" s="12">
        <v>101227.00034899999</v>
      </c>
      <c r="K65" s="13">
        <f t="shared" si="7"/>
        <v>0.4682251508647729</v>
      </c>
      <c r="L65" s="4">
        <v>84</v>
      </c>
      <c r="M65" s="4">
        <v>22950.000167999999</v>
      </c>
      <c r="N65" s="17">
        <f t="shared" si="8"/>
        <v>0.10615514886305251</v>
      </c>
      <c r="O65" s="9">
        <v>23</v>
      </c>
      <c r="P65" s="9">
        <v>5179.0001169999996</v>
      </c>
      <c r="Q65" s="18">
        <f t="shared" si="9"/>
        <v>2.3955447684417697E-2</v>
      </c>
      <c r="R65" s="36">
        <v>3629768</v>
      </c>
      <c r="S65" s="36">
        <v>2462769</v>
      </c>
      <c r="T65" s="39">
        <v>0.67849999999999999</v>
      </c>
      <c r="U65" s="36">
        <v>3481897</v>
      </c>
      <c r="V65" s="36">
        <v>2296449</v>
      </c>
      <c r="W65" s="39">
        <v>0.65949999999999998</v>
      </c>
      <c r="X65" s="36">
        <v>3545161</v>
      </c>
      <c r="Y65" s="36">
        <v>2237721</v>
      </c>
      <c r="Z65" s="39">
        <v>0.63119999999999998</v>
      </c>
      <c r="AA65" s="36">
        <v>3315144</v>
      </c>
      <c r="AB65" s="36">
        <v>1859458</v>
      </c>
      <c r="AC65" s="39">
        <v>0.56089999999999995</v>
      </c>
      <c r="AD65" s="36">
        <v>2989915</v>
      </c>
      <c r="AE65" s="36">
        <v>1646806</v>
      </c>
      <c r="AF65" s="39">
        <v>0.55079999999999996</v>
      </c>
      <c r="AG65" s="36">
        <v>2039266</v>
      </c>
      <c r="AH65" s="36">
        <v>1281558</v>
      </c>
      <c r="AI65" s="39">
        <v>0.62839999999999996</v>
      </c>
    </row>
    <row r="66" spans="1:35" ht="14" x14ac:dyDescent="0.2">
      <c r="A66" s="1" t="s">
        <v>161</v>
      </c>
      <c r="B66" s="1" t="s">
        <v>429</v>
      </c>
      <c r="C66" s="1" t="s">
        <v>433</v>
      </c>
      <c r="D66" s="1" t="s">
        <v>162</v>
      </c>
      <c r="E66" s="25">
        <v>763</v>
      </c>
      <c r="F66" s="21">
        <v>198217.000424</v>
      </c>
      <c r="G66" s="20">
        <f t="shared" si="5"/>
        <v>100075.000208</v>
      </c>
      <c r="H66" s="24">
        <f t="shared" si="6"/>
        <v>0.50487596923539646</v>
      </c>
      <c r="I66" s="12">
        <v>295</v>
      </c>
      <c r="J66" s="12">
        <v>78519.000159000003</v>
      </c>
      <c r="K66" s="13">
        <f t="shared" si="7"/>
        <v>0.3961264674121916</v>
      </c>
      <c r="L66" s="4">
        <v>66</v>
      </c>
      <c r="M66" s="4">
        <v>17935.000060999999</v>
      </c>
      <c r="N66" s="17">
        <f t="shared" si="8"/>
        <v>9.0481643969164013E-2</v>
      </c>
      <c r="O66" s="9">
        <v>11</v>
      </c>
      <c r="P66" s="9">
        <v>3620.999988</v>
      </c>
      <c r="Q66" s="18">
        <f t="shared" si="9"/>
        <v>1.8267857854040916E-2</v>
      </c>
      <c r="R66" s="36">
        <v>3270483</v>
      </c>
      <c r="S66" s="36">
        <v>1981177</v>
      </c>
      <c r="T66" s="39">
        <v>0.60580000000000001</v>
      </c>
      <c r="U66" s="36">
        <v>3069496</v>
      </c>
      <c r="V66" s="36">
        <v>1775206</v>
      </c>
      <c r="W66" s="39">
        <v>0.57830000000000004</v>
      </c>
      <c r="X66" s="36">
        <v>3299681</v>
      </c>
      <c r="Y66" s="36">
        <v>1962569</v>
      </c>
      <c r="Z66" s="39">
        <v>0.5948</v>
      </c>
      <c r="AA66" s="36">
        <v>2995402</v>
      </c>
      <c r="AB66" s="36">
        <v>1449826</v>
      </c>
      <c r="AC66" s="39">
        <v>0.48399999999999999</v>
      </c>
      <c r="AD66" s="36">
        <v>2656813</v>
      </c>
      <c r="AE66" s="36">
        <v>1321799</v>
      </c>
      <c r="AF66" s="39">
        <v>0.4975</v>
      </c>
      <c r="AG66" s="36">
        <v>1966159</v>
      </c>
      <c r="AH66" s="36">
        <v>1038662</v>
      </c>
      <c r="AI66" s="39">
        <v>0.52829999999999999</v>
      </c>
    </row>
    <row r="67" spans="1:35" ht="14" x14ac:dyDescent="0.2">
      <c r="A67" s="1" t="s">
        <v>163</v>
      </c>
      <c r="B67" s="1" t="s">
        <v>429</v>
      </c>
      <c r="C67" s="1" t="s">
        <v>435</v>
      </c>
      <c r="D67" s="1" t="s">
        <v>164</v>
      </c>
      <c r="E67" s="25">
        <v>968</v>
      </c>
      <c r="F67" s="21">
        <v>205178.000894</v>
      </c>
      <c r="G67" s="20">
        <f t="shared" ref="G67:G98" si="10">J67+M67+P67</f>
        <v>120781.000327</v>
      </c>
      <c r="H67" s="24">
        <f t="shared" ref="H67:H98" si="11">G67/F67</f>
        <v>0.58866447572709535</v>
      </c>
      <c r="I67" s="12">
        <v>467</v>
      </c>
      <c r="J67" s="12">
        <v>105363.000338</v>
      </c>
      <c r="K67" s="13">
        <f t="shared" ref="K67:K98" si="12">J67/F67</f>
        <v>0.51351996743760608</v>
      </c>
      <c r="L67" s="4">
        <v>72</v>
      </c>
      <c r="M67" s="4">
        <v>13273.000034000001</v>
      </c>
      <c r="N67" s="17">
        <f t="shared" ref="N67:N98" si="13">M67/F67</f>
        <v>6.4690171344720132E-2</v>
      </c>
      <c r="O67" s="9">
        <v>11</v>
      </c>
      <c r="P67" s="9">
        <v>2144.9999550000002</v>
      </c>
      <c r="Q67" s="18">
        <f t="shared" ref="Q67:Q98" si="14">P67/F67</f>
        <v>1.0454336944769044E-2</v>
      </c>
      <c r="R67" s="36">
        <v>3156209</v>
      </c>
      <c r="S67" s="36">
        <v>2051216</v>
      </c>
      <c r="T67" s="39">
        <v>0.64990000000000003</v>
      </c>
      <c r="U67" s="36">
        <v>2892787</v>
      </c>
      <c r="V67" s="36">
        <v>1875333</v>
      </c>
      <c r="W67" s="39">
        <v>0.64829999999999999</v>
      </c>
      <c r="X67" s="36">
        <v>2692497</v>
      </c>
      <c r="Y67" s="36">
        <v>1770432</v>
      </c>
      <c r="Z67" s="39">
        <v>0.65749999999999997</v>
      </c>
      <c r="AA67" s="36">
        <v>2922428</v>
      </c>
      <c r="AB67" s="36">
        <v>1639198</v>
      </c>
      <c r="AC67" s="39">
        <v>0.56089999999999995</v>
      </c>
      <c r="AD67" s="36">
        <v>2402694</v>
      </c>
      <c r="AE67" s="36">
        <v>1352881</v>
      </c>
      <c r="AF67" s="39">
        <v>0.56310000000000004</v>
      </c>
      <c r="AG67" s="36">
        <v>1660096</v>
      </c>
      <c r="AH67" s="36">
        <v>1035780</v>
      </c>
      <c r="AI67" s="39">
        <v>0.62390000000000001</v>
      </c>
    </row>
    <row r="68" spans="1:35" ht="14" x14ac:dyDescent="0.2">
      <c r="A68" s="1" t="s">
        <v>165</v>
      </c>
      <c r="B68" s="1" t="s">
        <v>429</v>
      </c>
      <c r="C68" s="1" t="s">
        <v>433</v>
      </c>
      <c r="D68" s="1" t="s">
        <v>166</v>
      </c>
      <c r="E68" s="25">
        <v>548</v>
      </c>
      <c r="F68" s="21">
        <v>134837.00039199999</v>
      </c>
      <c r="G68" s="20">
        <f t="shared" si="10"/>
        <v>80401.000251000005</v>
      </c>
      <c r="H68" s="24">
        <f t="shared" si="11"/>
        <v>0.5962829195047139</v>
      </c>
      <c r="I68" s="12">
        <v>270</v>
      </c>
      <c r="J68" s="12">
        <v>67762.000279999993</v>
      </c>
      <c r="K68" s="13">
        <f t="shared" si="12"/>
        <v>0.50254752095494093</v>
      </c>
      <c r="L68" s="4">
        <v>41</v>
      </c>
      <c r="M68" s="4">
        <v>11196.999995</v>
      </c>
      <c r="N68" s="17">
        <f t="shared" si="13"/>
        <v>8.3041004786875469E-2</v>
      </c>
      <c r="O68" s="9">
        <v>7</v>
      </c>
      <c r="P68" s="9">
        <v>1441.9999760000001</v>
      </c>
      <c r="Q68" s="18">
        <f t="shared" si="14"/>
        <v>1.0694393762897408E-2</v>
      </c>
      <c r="R68" s="36">
        <v>3054810</v>
      </c>
      <c r="S68" s="36">
        <v>1780053</v>
      </c>
      <c r="T68" s="39">
        <v>0.5827</v>
      </c>
      <c r="U68" s="36">
        <v>2954689</v>
      </c>
      <c r="V68" s="36">
        <v>1612388</v>
      </c>
      <c r="W68" s="39">
        <v>0.54569999999999996</v>
      </c>
      <c r="X68" s="36">
        <v>3162632</v>
      </c>
      <c r="Y68" s="36">
        <v>1795963</v>
      </c>
      <c r="Z68" s="39">
        <v>0.56789999999999996</v>
      </c>
      <c r="AA68" s="36">
        <v>2652895</v>
      </c>
      <c r="AB68" s="36">
        <v>1481926</v>
      </c>
      <c r="AC68" s="39">
        <v>0.55859999999999999</v>
      </c>
      <c r="AD68" s="36">
        <v>2523466</v>
      </c>
      <c r="AE68" s="36">
        <v>1389476</v>
      </c>
      <c r="AF68" s="39">
        <v>0.55059999999999998</v>
      </c>
      <c r="AG68" s="36">
        <v>1736434</v>
      </c>
      <c r="AH68" s="36">
        <v>1029224</v>
      </c>
      <c r="AI68" s="39">
        <v>0.5927</v>
      </c>
    </row>
    <row r="69" spans="1:35" ht="14" x14ac:dyDescent="0.2">
      <c r="A69" s="1" t="s">
        <v>167</v>
      </c>
      <c r="B69" s="1" t="s">
        <v>429</v>
      </c>
      <c r="C69" s="1" t="s">
        <v>433</v>
      </c>
      <c r="D69" s="1" t="s">
        <v>168</v>
      </c>
      <c r="E69" s="25">
        <v>496</v>
      </c>
      <c r="F69" s="21">
        <v>131458.000523</v>
      </c>
      <c r="G69" s="20">
        <f t="shared" si="10"/>
        <v>73617.000299000007</v>
      </c>
      <c r="H69" s="24">
        <f t="shared" si="11"/>
        <v>0.56000395568255978</v>
      </c>
      <c r="I69" s="12">
        <v>209</v>
      </c>
      <c r="J69" s="12">
        <v>57805.000311000003</v>
      </c>
      <c r="K69" s="13">
        <f t="shared" si="12"/>
        <v>0.439722193255833</v>
      </c>
      <c r="L69" s="4">
        <v>44</v>
      </c>
      <c r="M69" s="4">
        <v>14223.999968</v>
      </c>
      <c r="N69" s="17">
        <f t="shared" si="13"/>
        <v>0.1082018584750295</v>
      </c>
      <c r="O69" s="9">
        <v>7</v>
      </c>
      <c r="P69" s="9">
        <v>1588.0000199999999</v>
      </c>
      <c r="Q69" s="18">
        <f t="shared" si="14"/>
        <v>1.2079903951697198E-2</v>
      </c>
      <c r="R69" s="36">
        <v>2207088</v>
      </c>
      <c r="S69" s="36">
        <v>1425591</v>
      </c>
      <c r="T69" s="39">
        <v>0.64590000000000003</v>
      </c>
      <c r="U69" s="36">
        <v>2033153</v>
      </c>
      <c r="V69" s="36">
        <v>1254789</v>
      </c>
      <c r="W69" s="39">
        <v>0.61719999999999997</v>
      </c>
      <c r="X69" s="36">
        <v>2131807</v>
      </c>
      <c r="Y69" s="36">
        <v>1402079</v>
      </c>
      <c r="Z69" s="39">
        <v>0.65769999999999995</v>
      </c>
      <c r="AA69" s="36">
        <v>1756623</v>
      </c>
      <c r="AB69" s="36">
        <v>1009227</v>
      </c>
      <c r="AC69" s="39">
        <v>0.57450000000000001</v>
      </c>
      <c r="AD69" s="36">
        <v>1630049</v>
      </c>
      <c r="AE69" s="36">
        <v>950846</v>
      </c>
      <c r="AF69" s="39">
        <v>0.58330000000000004</v>
      </c>
      <c r="AG69" s="36">
        <v>1140187</v>
      </c>
      <c r="AH69" s="36">
        <v>720765</v>
      </c>
      <c r="AI69" s="39">
        <v>0.6321</v>
      </c>
    </row>
    <row r="70" spans="1:35" ht="14" x14ac:dyDescent="0.2">
      <c r="A70" s="1" t="s">
        <v>169</v>
      </c>
      <c r="B70" s="1" t="s">
        <v>429</v>
      </c>
      <c r="C70" s="1" t="s">
        <v>434</v>
      </c>
      <c r="D70" s="1" t="s">
        <v>170</v>
      </c>
      <c r="E70" s="25">
        <v>647</v>
      </c>
      <c r="F70" s="21">
        <v>150349.00089900001</v>
      </c>
      <c r="G70" s="20">
        <f t="shared" si="10"/>
        <v>69971.000406000006</v>
      </c>
      <c r="H70" s="24">
        <f t="shared" si="11"/>
        <v>0.46539052463012009</v>
      </c>
      <c r="I70" s="12">
        <v>263</v>
      </c>
      <c r="J70" s="12">
        <v>60799.000386</v>
      </c>
      <c r="K70" s="13">
        <f t="shared" si="12"/>
        <v>0.40438579586466933</v>
      </c>
      <c r="L70" s="4">
        <v>36</v>
      </c>
      <c r="M70" s="4">
        <v>7777.0000600000003</v>
      </c>
      <c r="N70" s="17">
        <f t="shared" si="13"/>
        <v>5.1726316859427343E-2</v>
      </c>
      <c r="O70" s="9">
        <v>9</v>
      </c>
      <c r="P70" s="9">
        <v>1394.9999600000001</v>
      </c>
      <c r="Q70" s="18">
        <f t="shared" si="14"/>
        <v>9.2784119060233712E-3</v>
      </c>
      <c r="R70" s="36">
        <v>2735706</v>
      </c>
      <c r="S70" s="36">
        <v>1475723</v>
      </c>
      <c r="T70" s="39">
        <v>0.53939999999999999</v>
      </c>
      <c r="U70" s="36">
        <v>2515848</v>
      </c>
      <c r="V70" s="36">
        <v>1217266</v>
      </c>
      <c r="W70" s="39">
        <v>0.48380000000000001</v>
      </c>
      <c r="X70" s="36">
        <v>2334165</v>
      </c>
      <c r="Y70" s="36">
        <v>1009514</v>
      </c>
      <c r="Z70" s="39">
        <v>0.4325</v>
      </c>
      <c r="AA70" s="36">
        <v>2494079</v>
      </c>
      <c r="AB70" s="36">
        <v>1152560</v>
      </c>
      <c r="AC70" s="39">
        <v>0.46210000000000001</v>
      </c>
      <c r="AD70" s="36">
        <v>1906594</v>
      </c>
      <c r="AE70" s="36">
        <v>874333</v>
      </c>
      <c r="AF70" s="39">
        <v>0.45860000000000001</v>
      </c>
      <c r="AG70" s="36">
        <v>1273534</v>
      </c>
      <c r="AH70" s="36">
        <v>592776</v>
      </c>
      <c r="AI70" s="39">
        <v>0.46550000000000002</v>
      </c>
    </row>
    <row r="71" spans="1:35" ht="14" x14ac:dyDescent="0.2">
      <c r="A71" s="1" t="s">
        <v>171</v>
      </c>
      <c r="B71" s="1" t="s">
        <v>429</v>
      </c>
      <c r="C71" s="1" t="s">
        <v>433</v>
      </c>
      <c r="D71" s="1" t="s">
        <v>172</v>
      </c>
      <c r="E71" s="25">
        <v>783</v>
      </c>
      <c r="F71" s="21">
        <v>190916.00014600001</v>
      </c>
      <c r="G71" s="20">
        <f t="shared" si="10"/>
        <v>116224.000069</v>
      </c>
      <c r="H71" s="24">
        <f t="shared" si="11"/>
        <v>0.60877034915941841</v>
      </c>
      <c r="I71" s="12">
        <v>387</v>
      </c>
      <c r="J71" s="12">
        <v>100319.999973</v>
      </c>
      <c r="K71" s="13">
        <f t="shared" si="12"/>
        <v>0.5254666968524474</v>
      </c>
      <c r="L71" s="4">
        <v>50</v>
      </c>
      <c r="M71" s="4">
        <v>14150.000077999999</v>
      </c>
      <c r="N71" s="17">
        <f t="shared" si="13"/>
        <v>7.411636566437077E-2</v>
      </c>
      <c r="O71" s="9">
        <v>7</v>
      </c>
      <c r="P71" s="9">
        <v>1754.000018</v>
      </c>
      <c r="Q71" s="18">
        <f t="shared" si="14"/>
        <v>9.1872866426001808E-3</v>
      </c>
      <c r="R71" s="36">
        <v>3011414</v>
      </c>
      <c r="S71" s="36">
        <v>1948267</v>
      </c>
      <c r="T71" s="39">
        <v>0.64700000000000002</v>
      </c>
      <c r="U71" s="36">
        <v>2919550</v>
      </c>
      <c r="V71" s="36">
        <v>1885909</v>
      </c>
      <c r="W71" s="39">
        <v>0.64600000000000002</v>
      </c>
      <c r="X71" s="36">
        <v>3002985</v>
      </c>
      <c r="Y71" s="36">
        <v>1972097</v>
      </c>
      <c r="Z71" s="39">
        <v>0.65669999999999995</v>
      </c>
      <c r="AA71" s="36">
        <v>2699623</v>
      </c>
      <c r="AB71" s="36">
        <v>1500450</v>
      </c>
      <c r="AC71" s="39">
        <v>0.55579999999999996</v>
      </c>
      <c r="AD71" s="36">
        <v>2544431</v>
      </c>
      <c r="AE71" s="36">
        <v>1388410</v>
      </c>
      <c r="AF71" s="39">
        <v>0.54569999999999996</v>
      </c>
      <c r="AG71" s="36">
        <v>1707194</v>
      </c>
      <c r="AH71" s="36">
        <v>1008240</v>
      </c>
      <c r="AI71" s="39">
        <v>0.59060000000000001</v>
      </c>
    </row>
    <row r="72" spans="1:35" ht="14" x14ac:dyDescent="0.2">
      <c r="A72" s="1" t="s">
        <v>173</v>
      </c>
      <c r="B72" s="1" t="s">
        <v>429</v>
      </c>
      <c r="C72" s="1" t="s">
        <v>433</v>
      </c>
      <c r="D72" s="1" t="s">
        <v>174</v>
      </c>
      <c r="E72" s="25">
        <v>636</v>
      </c>
      <c r="F72" s="21">
        <v>144066.000505</v>
      </c>
      <c r="G72" s="20">
        <f t="shared" si="10"/>
        <v>67888.000279</v>
      </c>
      <c r="H72" s="24">
        <f t="shared" si="11"/>
        <v>0.47122846501623994</v>
      </c>
      <c r="I72" s="12">
        <v>238</v>
      </c>
      <c r="J72" s="12">
        <v>53427.000206999997</v>
      </c>
      <c r="K72" s="13">
        <f t="shared" si="12"/>
        <v>0.37085086015937357</v>
      </c>
      <c r="L72" s="4">
        <v>61</v>
      </c>
      <c r="M72" s="4">
        <v>14113.000054</v>
      </c>
      <c r="N72" s="17">
        <f t="shared" si="13"/>
        <v>9.7962045205177956E-2</v>
      </c>
      <c r="O72" s="9">
        <v>2</v>
      </c>
      <c r="P72" s="9">
        <v>348.00001800000001</v>
      </c>
      <c r="Q72" s="18">
        <f t="shared" si="14"/>
        <v>2.4155596516884092E-3</v>
      </c>
      <c r="R72" s="36">
        <v>2289198</v>
      </c>
      <c r="S72" s="36">
        <v>1409429</v>
      </c>
      <c r="T72" s="39">
        <v>0.61570000000000003</v>
      </c>
      <c r="U72" s="36">
        <v>1836723</v>
      </c>
      <c r="V72" s="36">
        <v>1118972</v>
      </c>
      <c r="W72" s="39">
        <v>0.60919999999999996</v>
      </c>
      <c r="X72" s="36">
        <v>1605156</v>
      </c>
      <c r="Y72" s="36">
        <v>963020</v>
      </c>
      <c r="Z72" s="39">
        <v>0.6</v>
      </c>
      <c r="AA72" s="36">
        <v>1902442</v>
      </c>
      <c r="AB72" s="36">
        <v>1079012</v>
      </c>
      <c r="AC72" s="39">
        <v>0.56720000000000004</v>
      </c>
      <c r="AD72" s="36">
        <v>1605631</v>
      </c>
      <c r="AE72" s="36">
        <v>922273</v>
      </c>
      <c r="AF72" s="39">
        <v>0.57440000000000002</v>
      </c>
      <c r="AG72" s="36">
        <v>1041445</v>
      </c>
      <c r="AH72" s="36">
        <v>625103</v>
      </c>
      <c r="AI72" s="39">
        <v>0.60019999999999996</v>
      </c>
    </row>
    <row r="73" spans="1:35" ht="14" x14ac:dyDescent="0.2">
      <c r="A73" s="1" t="s">
        <v>175</v>
      </c>
      <c r="B73" s="1" t="s">
        <v>429</v>
      </c>
      <c r="C73" s="1" t="s">
        <v>438</v>
      </c>
      <c r="D73" s="1" t="s">
        <v>176</v>
      </c>
      <c r="E73" s="25">
        <v>729</v>
      </c>
      <c r="F73" s="21">
        <v>158133.00050299999</v>
      </c>
      <c r="G73" s="20">
        <f t="shared" si="10"/>
        <v>81921.000266000003</v>
      </c>
      <c r="H73" s="24">
        <f t="shared" si="11"/>
        <v>0.51805126068195906</v>
      </c>
      <c r="I73" s="12">
        <v>322</v>
      </c>
      <c r="J73" s="12">
        <v>67958.000125999999</v>
      </c>
      <c r="K73" s="13">
        <f t="shared" si="12"/>
        <v>0.42975217007098243</v>
      </c>
      <c r="L73" s="4">
        <v>51</v>
      </c>
      <c r="M73" s="4">
        <v>13097.000126000001</v>
      </c>
      <c r="N73" s="17">
        <f t="shared" si="13"/>
        <v>8.2822687764983846E-2</v>
      </c>
      <c r="O73" s="9">
        <v>9</v>
      </c>
      <c r="P73" s="9">
        <v>866.00001399999996</v>
      </c>
      <c r="Q73" s="18">
        <f t="shared" si="14"/>
        <v>5.4764028459927368E-3</v>
      </c>
      <c r="R73" s="36">
        <v>2424492</v>
      </c>
      <c r="S73" s="36">
        <v>1462628</v>
      </c>
      <c r="T73" s="39">
        <v>0.60329999999999995</v>
      </c>
      <c r="U73" s="36">
        <v>2224836</v>
      </c>
      <c r="V73" s="36">
        <v>1255819</v>
      </c>
      <c r="W73" s="39">
        <v>0.5645</v>
      </c>
      <c r="X73" s="36">
        <v>2068319</v>
      </c>
      <c r="Y73" s="36">
        <v>983595</v>
      </c>
      <c r="Z73" s="39">
        <v>0.47560000000000002</v>
      </c>
      <c r="AA73" s="36">
        <v>2163053</v>
      </c>
      <c r="AB73" s="36">
        <v>1084466</v>
      </c>
      <c r="AC73" s="39">
        <v>0.50139999999999996</v>
      </c>
      <c r="AD73" s="36">
        <v>2026821</v>
      </c>
      <c r="AE73" s="36">
        <v>1033215</v>
      </c>
      <c r="AF73" s="39">
        <v>0.50980000000000003</v>
      </c>
      <c r="AG73" s="36">
        <v>1312859</v>
      </c>
      <c r="AH73" s="36">
        <v>698528</v>
      </c>
      <c r="AI73" s="39">
        <v>0.53210000000000002</v>
      </c>
    </row>
    <row r="74" spans="1:35" ht="14" x14ac:dyDescent="0.2">
      <c r="A74" s="1" t="s">
        <v>177</v>
      </c>
      <c r="B74" s="1" t="s">
        <v>429</v>
      </c>
      <c r="C74" s="1" t="s">
        <v>439</v>
      </c>
      <c r="D74" s="1" t="s">
        <v>178</v>
      </c>
      <c r="E74" s="25">
        <v>716</v>
      </c>
      <c r="F74" s="21">
        <v>203705.00086900001</v>
      </c>
      <c r="G74" s="20">
        <f t="shared" si="10"/>
        <v>98075.000613000011</v>
      </c>
      <c r="H74" s="24">
        <f t="shared" si="11"/>
        <v>0.48145602805338461</v>
      </c>
      <c r="I74" s="12">
        <v>303</v>
      </c>
      <c r="J74" s="12">
        <v>82715.000492000006</v>
      </c>
      <c r="K74" s="13">
        <f t="shared" si="12"/>
        <v>0.40605287125568867</v>
      </c>
      <c r="L74" s="4">
        <v>43</v>
      </c>
      <c r="M74" s="4">
        <v>12427.000102</v>
      </c>
      <c r="N74" s="17">
        <f t="shared" si="13"/>
        <v>6.1004884754850171E-2</v>
      </c>
      <c r="O74" s="9">
        <v>11</v>
      </c>
      <c r="P74" s="9">
        <v>2933.0000190000001</v>
      </c>
      <c r="Q74" s="18">
        <f t="shared" si="14"/>
        <v>1.439827204284579E-2</v>
      </c>
      <c r="R74" s="36">
        <v>3560941</v>
      </c>
      <c r="S74" s="36">
        <v>2059634</v>
      </c>
      <c r="T74" s="39">
        <v>0.57840000000000003</v>
      </c>
      <c r="U74" s="36">
        <v>3747949</v>
      </c>
      <c r="V74" s="36">
        <v>2089393</v>
      </c>
      <c r="W74" s="39">
        <v>0.5575</v>
      </c>
      <c r="X74" s="36">
        <v>4027620</v>
      </c>
      <c r="Y74" s="36">
        <v>2398908</v>
      </c>
      <c r="Z74" s="39">
        <v>0.59560000000000002</v>
      </c>
      <c r="AA74" s="36">
        <v>2992834</v>
      </c>
      <c r="AB74" s="36">
        <v>1570847</v>
      </c>
      <c r="AC74" s="39">
        <v>0.52490000000000003</v>
      </c>
      <c r="AD74" s="36">
        <v>2981693</v>
      </c>
      <c r="AE74" s="36">
        <v>1506440</v>
      </c>
      <c r="AF74" s="39">
        <v>0.50519999999999998</v>
      </c>
      <c r="AG74" s="36">
        <v>2244564</v>
      </c>
      <c r="AH74" s="36">
        <v>1251193</v>
      </c>
      <c r="AI74" s="39">
        <v>0.55740000000000001</v>
      </c>
    </row>
    <row r="75" spans="1:35" ht="14" x14ac:dyDescent="0.2">
      <c r="A75" s="1" t="s">
        <v>179</v>
      </c>
      <c r="B75" s="1" t="s">
        <v>429</v>
      </c>
      <c r="C75" s="1" t="s">
        <v>433</v>
      </c>
      <c r="D75" s="1" t="s">
        <v>180</v>
      </c>
      <c r="E75" s="25">
        <v>530</v>
      </c>
      <c r="F75" s="21">
        <v>141289.00015000001</v>
      </c>
      <c r="G75" s="20">
        <f t="shared" si="10"/>
        <v>80711.000060999999</v>
      </c>
      <c r="H75" s="24">
        <f t="shared" si="11"/>
        <v>0.57124758456293734</v>
      </c>
      <c r="I75" s="12">
        <v>247</v>
      </c>
      <c r="J75" s="12">
        <v>64346.000049000002</v>
      </c>
      <c r="K75" s="13">
        <f t="shared" si="12"/>
        <v>0.4554211579152434</v>
      </c>
      <c r="L75" s="4">
        <v>48</v>
      </c>
      <c r="M75" s="4">
        <v>14466.000001</v>
      </c>
      <c r="N75" s="17">
        <f t="shared" si="13"/>
        <v>0.1023858898119607</v>
      </c>
      <c r="O75" s="9">
        <v>7</v>
      </c>
      <c r="P75" s="9">
        <v>1899.0000110000001</v>
      </c>
      <c r="Q75" s="18">
        <f t="shared" si="14"/>
        <v>1.3440536835733281E-2</v>
      </c>
      <c r="R75" s="36">
        <v>3304680</v>
      </c>
      <c r="S75" s="36">
        <v>1936557</v>
      </c>
      <c r="T75" s="39">
        <v>0.58599999999999997</v>
      </c>
      <c r="U75" s="36">
        <v>3093017</v>
      </c>
      <c r="V75" s="36">
        <v>1788777</v>
      </c>
      <c r="W75" s="39">
        <v>0.57830000000000004</v>
      </c>
      <c r="X75" s="36">
        <v>2981781</v>
      </c>
      <c r="Y75" s="36">
        <v>1761051</v>
      </c>
      <c r="Z75" s="39">
        <v>0.59060000000000001</v>
      </c>
      <c r="AA75" s="36">
        <v>3133819</v>
      </c>
      <c r="AB75" s="36">
        <v>1534901</v>
      </c>
      <c r="AC75" s="39">
        <v>0.48980000000000001</v>
      </c>
      <c r="AD75" s="36">
        <v>1428239</v>
      </c>
      <c r="AE75" s="36">
        <v>694600</v>
      </c>
      <c r="AF75" s="39">
        <v>0.48630000000000001</v>
      </c>
      <c r="AG75" s="36">
        <v>1947064</v>
      </c>
      <c r="AH75" s="36">
        <v>978707</v>
      </c>
      <c r="AI75" s="39">
        <v>0.50270000000000004</v>
      </c>
    </row>
    <row r="76" spans="1:35" ht="14" x14ac:dyDescent="0.2">
      <c r="A76" s="1" t="s">
        <v>181</v>
      </c>
      <c r="B76" s="1" t="s">
        <v>429</v>
      </c>
      <c r="C76" s="1" t="s">
        <v>438</v>
      </c>
      <c r="D76" s="1" t="s">
        <v>182</v>
      </c>
      <c r="E76" s="25">
        <v>852</v>
      </c>
      <c r="F76" s="21">
        <v>198543.000829</v>
      </c>
      <c r="G76" s="20">
        <f t="shared" si="10"/>
        <v>127044.000379</v>
      </c>
      <c r="H76" s="24">
        <f t="shared" si="11"/>
        <v>0.63988153623415689</v>
      </c>
      <c r="I76" s="12">
        <v>431</v>
      </c>
      <c r="J76" s="12">
        <v>99676.000216999993</v>
      </c>
      <c r="K76" s="13">
        <f t="shared" si="12"/>
        <v>0.50203734103348407</v>
      </c>
      <c r="L76" s="4">
        <v>81</v>
      </c>
      <c r="M76" s="4">
        <v>22759.000100000001</v>
      </c>
      <c r="N76" s="17">
        <f t="shared" si="13"/>
        <v>0.11463008015881529</v>
      </c>
      <c r="O76" s="9">
        <v>18</v>
      </c>
      <c r="P76" s="9">
        <v>4609.0000620000001</v>
      </c>
      <c r="Q76" s="18">
        <f t="shared" si="14"/>
        <v>2.3214115041857424E-2</v>
      </c>
      <c r="R76" s="36">
        <v>2859188</v>
      </c>
      <c r="S76" s="36">
        <v>1826021</v>
      </c>
      <c r="T76" s="39">
        <v>0.63870000000000005</v>
      </c>
      <c r="U76" s="36">
        <v>2644467</v>
      </c>
      <c r="V76" s="36">
        <v>1675518</v>
      </c>
      <c r="W76" s="39">
        <v>0.63360000000000005</v>
      </c>
      <c r="X76" s="36">
        <v>2524271</v>
      </c>
      <c r="Y76" s="36">
        <v>1644050</v>
      </c>
      <c r="Z76" s="39">
        <v>0.65129999999999999</v>
      </c>
      <c r="AA76" s="36">
        <v>2745861</v>
      </c>
      <c r="AB76" s="36">
        <v>1458276</v>
      </c>
      <c r="AC76" s="39">
        <v>0.53110000000000002</v>
      </c>
      <c r="AD76" s="36">
        <v>2538570</v>
      </c>
      <c r="AE76" s="36">
        <v>1296641</v>
      </c>
      <c r="AF76" s="39">
        <v>0.51080000000000003</v>
      </c>
      <c r="AG76" s="36">
        <v>1752031</v>
      </c>
      <c r="AH76" s="36">
        <v>948389</v>
      </c>
      <c r="AI76" s="39">
        <v>0.5413</v>
      </c>
    </row>
    <row r="77" spans="1:35" ht="14" x14ac:dyDescent="0.2">
      <c r="A77" s="1" t="s">
        <v>183</v>
      </c>
      <c r="B77" s="1" t="s">
        <v>429</v>
      </c>
      <c r="C77" s="1" t="s">
        <v>438</v>
      </c>
      <c r="D77" s="1" t="s">
        <v>184</v>
      </c>
      <c r="E77" s="25">
        <v>366</v>
      </c>
      <c r="F77" s="21">
        <v>107161.00023799999</v>
      </c>
      <c r="G77" s="20">
        <f t="shared" si="10"/>
        <v>50051.000072000003</v>
      </c>
      <c r="H77" s="24">
        <f t="shared" si="11"/>
        <v>0.46706357686881306</v>
      </c>
      <c r="I77" s="12">
        <v>161</v>
      </c>
      <c r="J77" s="12">
        <v>45121.000039999999</v>
      </c>
      <c r="K77" s="13">
        <f t="shared" si="12"/>
        <v>0.42105803361099831</v>
      </c>
      <c r="L77" s="4">
        <v>14</v>
      </c>
      <c r="M77" s="4">
        <v>4031.0000220000002</v>
      </c>
      <c r="N77" s="17">
        <f t="shared" si="13"/>
        <v>3.7616297095466836E-2</v>
      </c>
      <c r="O77" s="9">
        <v>3</v>
      </c>
      <c r="P77" s="9">
        <v>899.00000999999997</v>
      </c>
      <c r="Q77" s="18">
        <f t="shared" si="14"/>
        <v>8.3892461623478638E-3</v>
      </c>
      <c r="R77" s="36">
        <v>2112944</v>
      </c>
      <c r="S77" s="36">
        <v>1456566</v>
      </c>
      <c r="T77" s="39">
        <v>0.68940000000000001</v>
      </c>
      <c r="U77" s="36">
        <v>2134981</v>
      </c>
      <c r="V77" s="36">
        <v>1382240</v>
      </c>
      <c r="W77" s="39">
        <v>0.64739999999999998</v>
      </c>
      <c r="X77" s="36">
        <v>2839239</v>
      </c>
      <c r="Y77" s="36">
        <v>2014605</v>
      </c>
      <c r="Z77" s="39">
        <v>0.70960000000000001</v>
      </c>
      <c r="AA77" s="36">
        <v>1906514</v>
      </c>
      <c r="AB77" s="36">
        <v>1122741</v>
      </c>
      <c r="AC77" s="39">
        <v>0.58889999999999998</v>
      </c>
      <c r="AD77" s="36">
        <v>1750332</v>
      </c>
      <c r="AE77" s="36">
        <v>1051456</v>
      </c>
      <c r="AF77" s="39">
        <v>0.60070000000000001</v>
      </c>
      <c r="AG77" s="36">
        <v>1417636</v>
      </c>
      <c r="AH77" s="36">
        <v>946571</v>
      </c>
      <c r="AI77" s="39">
        <v>0.66769999999999996</v>
      </c>
    </row>
    <row r="78" spans="1:35" ht="14" x14ac:dyDescent="0.2">
      <c r="A78" s="1" t="s">
        <v>185</v>
      </c>
      <c r="B78" s="1" t="s">
        <v>429</v>
      </c>
      <c r="C78" s="1" t="s">
        <v>440</v>
      </c>
      <c r="D78" s="1" t="s">
        <v>186</v>
      </c>
      <c r="E78" s="25">
        <v>1191</v>
      </c>
      <c r="F78" s="21">
        <v>283924.00043100002</v>
      </c>
      <c r="G78" s="20">
        <f t="shared" si="10"/>
        <v>117595.000132</v>
      </c>
      <c r="H78" s="24">
        <f t="shared" si="11"/>
        <v>0.41417773754064252</v>
      </c>
      <c r="I78" s="12">
        <v>467</v>
      </c>
      <c r="J78" s="12">
        <v>100671.000228</v>
      </c>
      <c r="K78" s="13">
        <f t="shared" si="12"/>
        <v>0.35457023737049431</v>
      </c>
      <c r="L78" s="4">
        <v>69</v>
      </c>
      <c r="M78" s="4">
        <v>15418.999871</v>
      </c>
      <c r="N78" s="17">
        <f t="shared" si="13"/>
        <v>5.4306785786315259E-2</v>
      </c>
      <c r="O78" s="9">
        <v>12</v>
      </c>
      <c r="P78" s="9">
        <v>1505.000033</v>
      </c>
      <c r="Q78" s="18">
        <f t="shared" si="14"/>
        <v>5.3007143838329695E-3</v>
      </c>
      <c r="R78" s="36">
        <v>2797292</v>
      </c>
      <c r="S78" s="36">
        <v>1281930</v>
      </c>
      <c r="T78" s="39">
        <v>0.45829999999999999</v>
      </c>
      <c r="U78" s="36">
        <v>2512013</v>
      </c>
      <c r="V78" s="36">
        <v>1074212</v>
      </c>
      <c r="W78" s="39">
        <v>0.42759999999999998</v>
      </c>
      <c r="X78" s="36">
        <v>2390499</v>
      </c>
      <c r="Y78" s="36">
        <v>1233850</v>
      </c>
      <c r="Z78" s="39">
        <v>0.5161</v>
      </c>
      <c r="AA78" s="36">
        <v>2131266</v>
      </c>
      <c r="AB78" s="36">
        <v>914671</v>
      </c>
      <c r="AC78" s="39">
        <v>0.42920000000000003</v>
      </c>
      <c r="AD78" s="36">
        <v>1973507</v>
      </c>
      <c r="AE78" s="36">
        <v>910392</v>
      </c>
      <c r="AF78" s="39">
        <v>0.46129999999999999</v>
      </c>
      <c r="AG78" s="36">
        <v>1418255</v>
      </c>
      <c r="AH78" s="36">
        <v>710946</v>
      </c>
      <c r="AI78" s="39">
        <v>0.50129999999999997</v>
      </c>
    </row>
    <row r="79" spans="1:35" ht="14" x14ac:dyDescent="0.2">
      <c r="A79" s="1" t="s">
        <v>187</v>
      </c>
      <c r="B79" s="1" t="s">
        <v>430</v>
      </c>
      <c r="C79" s="1" t="s">
        <v>433</v>
      </c>
      <c r="D79" s="1" t="s">
        <v>188</v>
      </c>
      <c r="E79" s="25">
        <v>1036</v>
      </c>
      <c r="F79" s="21">
        <v>274779.00135099998</v>
      </c>
      <c r="G79" s="20">
        <f t="shared" si="10"/>
        <v>254656.00111299998</v>
      </c>
      <c r="H79" s="24">
        <f t="shared" si="11"/>
        <v>0.92676660101732056</v>
      </c>
      <c r="I79" s="12">
        <v>861</v>
      </c>
      <c r="J79" s="12">
        <v>226945.00099299999</v>
      </c>
      <c r="K79" s="13">
        <f t="shared" si="12"/>
        <v>0.82591828297353298</v>
      </c>
      <c r="L79" s="4">
        <v>86</v>
      </c>
      <c r="M79" s="4">
        <v>23627.000158999999</v>
      </c>
      <c r="N79" s="17">
        <f t="shared" si="13"/>
        <v>8.5985464838410644E-2</v>
      </c>
      <c r="O79" s="9">
        <v>22</v>
      </c>
      <c r="P79" s="9">
        <v>4083.999961</v>
      </c>
      <c r="Q79" s="18">
        <f t="shared" si="14"/>
        <v>1.4862853205376995E-2</v>
      </c>
      <c r="R79" s="36">
        <v>3543339</v>
      </c>
      <c r="S79" s="36">
        <v>2651424</v>
      </c>
      <c r="T79" s="39">
        <v>0.74829999999999997</v>
      </c>
      <c r="U79" s="36">
        <v>3301355</v>
      </c>
      <c r="V79" s="36">
        <v>2394025</v>
      </c>
      <c r="W79" s="39">
        <v>0.72519999999999996</v>
      </c>
      <c r="X79" s="36">
        <v>3409392</v>
      </c>
      <c r="Y79" s="36">
        <v>2502686</v>
      </c>
      <c r="Z79" s="39">
        <v>0.73409999999999997</v>
      </c>
      <c r="AA79" s="36">
        <v>3003423</v>
      </c>
      <c r="AB79" s="36">
        <v>1982618</v>
      </c>
      <c r="AC79" s="39">
        <v>0.66010000000000002</v>
      </c>
      <c r="AD79" s="36">
        <v>2668444</v>
      </c>
      <c r="AE79" s="36">
        <v>1890729</v>
      </c>
      <c r="AF79" s="39">
        <v>0.70860000000000001</v>
      </c>
      <c r="AG79" s="36">
        <v>2068159</v>
      </c>
      <c r="AH79" s="36">
        <v>1546942</v>
      </c>
      <c r="AI79" s="39">
        <v>0.748</v>
      </c>
    </row>
    <row r="80" spans="1:35" ht="14" x14ac:dyDescent="0.2">
      <c r="A80" s="1" t="s">
        <v>189</v>
      </c>
      <c r="B80" s="1" t="s">
        <v>429</v>
      </c>
      <c r="C80" s="1" t="s">
        <v>433</v>
      </c>
      <c r="D80" s="1" t="s">
        <v>190</v>
      </c>
      <c r="E80" s="25">
        <v>749</v>
      </c>
      <c r="F80" s="21">
        <v>194303.00064099999</v>
      </c>
      <c r="G80" s="20">
        <f t="shared" si="10"/>
        <v>110833.000207</v>
      </c>
      <c r="H80" s="24">
        <f t="shared" si="11"/>
        <v>0.57041321977203197</v>
      </c>
      <c r="I80" s="12">
        <v>335</v>
      </c>
      <c r="J80" s="12">
        <v>91479.000142000004</v>
      </c>
      <c r="K80" s="13">
        <f t="shared" si="12"/>
        <v>0.47080590541686657</v>
      </c>
      <c r="L80" s="4">
        <v>59</v>
      </c>
      <c r="M80" s="4">
        <v>15968.000058</v>
      </c>
      <c r="N80" s="17">
        <f t="shared" si="13"/>
        <v>8.2180923636392789E-2</v>
      </c>
      <c r="O80" s="9">
        <v>15</v>
      </c>
      <c r="P80" s="9">
        <v>3386.0000070000001</v>
      </c>
      <c r="Q80" s="18">
        <f t="shared" si="14"/>
        <v>1.7426390718772659E-2</v>
      </c>
      <c r="R80" s="36">
        <v>3773657</v>
      </c>
      <c r="S80" s="36">
        <v>2299669</v>
      </c>
      <c r="T80" s="39">
        <v>0.60940000000000005</v>
      </c>
      <c r="U80" s="36">
        <v>3698383</v>
      </c>
      <c r="V80" s="36">
        <v>2223120</v>
      </c>
      <c r="W80" s="39">
        <v>0.60109999999999997</v>
      </c>
      <c r="X80" s="36">
        <v>3776612</v>
      </c>
      <c r="Y80" s="36">
        <v>2295415</v>
      </c>
      <c r="Z80" s="39">
        <v>0.60780000000000001</v>
      </c>
      <c r="AA80" s="36">
        <v>3350467</v>
      </c>
      <c r="AB80" s="36">
        <v>1745966</v>
      </c>
      <c r="AC80" s="39">
        <v>0.52110000000000001</v>
      </c>
      <c r="AD80" s="36">
        <v>3106628</v>
      </c>
      <c r="AE80" s="36">
        <v>1592404</v>
      </c>
      <c r="AF80" s="39">
        <v>0.51259999999999994</v>
      </c>
      <c r="AG80" s="36">
        <v>2227627</v>
      </c>
      <c r="AH80" s="36">
        <v>1317159</v>
      </c>
      <c r="AI80" s="39">
        <v>0.59130000000000005</v>
      </c>
    </row>
    <row r="81" spans="1:35" ht="14" x14ac:dyDescent="0.2">
      <c r="A81" s="1" t="s">
        <v>191</v>
      </c>
      <c r="B81" s="1" t="s">
        <v>429</v>
      </c>
      <c r="C81" s="1" t="s">
        <v>433</v>
      </c>
      <c r="D81" s="1" t="s">
        <v>192</v>
      </c>
      <c r="E81" s="25">
        <v>1069</v>
      </c>
      <c r="F81" s="21">
        <v>218413.000696</v>
      </c>
      <c r="G81" s="20">
        <f t="shared" si="10"/>
        <v>100918.00019100001</v>
      </c>
      <c r="H81" s="24">
        <f t="shared" si="11"/>
        <v>0.46205125093017513</v>
      </c>
      <c r="I81" s="12">
        <v>372</v>
      </c>
      <c r="J81" s="12">
        <v>76405.000385000007</v>
      </c>
      <c r="K81" s="13">
        <f t="shared" si="12"/>
        <v>0.34981892168289452</v>
      </c>
      <c r="L81" s="4">
        <v>108</v>
      </c>
      <c r="M81" s="4">
        <v>23504.999838</v>
      </c>
      <c r="N81" s="17">
        <f t="shared" si="13"/>
        <v>0.10761721950203704</v>
      </c>
      <c r="O81" s="9">
        <v>9</v>
      </c>
      <c r="P81" s="9">
        <v>1007.999968</v>
      </c>
      <c r="Q81" s="18">
        <f t="shared" si="14"/>
        <v>4.6151097452435683E-3</v>
      </c>
      <c r="R81" s="36">
        <v>3309566</v>
      </c>
      <c r="S81" s="36">
        <v>1590745</v>
      </c>
      <c r="T81" s="39">
        <v>0.48070000000000002</v>
      </c>
      <c r="U81" s="36">
        <v>2984174</v>
      </c>
      <c r="V81" s="36">
        <v>1325339</v>
      </c>
      <c r="W81" s="39">
        <v>0.44409999999999999</v>
      </c>
      <c r="X81" s="36">
        <v>2532471</v>
      </c>
      <c r="Y81" s="36">
        <v>1176024</v>
      </c>
      <c r="Z81" s="39">
        <v>0.46439999999999998</v>
      </c>
      <c r="AA81" s="36">
        <v>2971683</v>
      </c>
      <c r="AB81" s="36">
        <v>1379766</v>
      </c>
      <c r="AC81" s="39">
        <v>0.46429999999999999</v>
      </c>
      <c r="AD81" s="36">
        <v>2710847</v>
      </c>
      <c r="AE81" s="36">
        <v>1298167</v>
      </c>
      <c r="AF81" s="39">
        <v>0.47889999999999999</v>
      </c>
      <c r="AG81" s="36">
        <v>1848325</v>
      </c>
      <c r="AH81" s="36">
        <v>987021</v>
      </c>
      <c r="AI81" s="39">
        <v>0.53400000000000003</v>
      </c>
    </row>
    <row r="82" spans="1:35" ht="14" x14ac:dyDescent="0.2">
      <c r="A82" s="1" t="s">
        <v>193</v>
      </c>
      <c r="B82" s="1" t="s">
        <v>429</v>
      </c>
      <c r="C82" s="1" t="s">
        <v>433</v>
      </c>
      <c r="D82" s="1" t="s">
        <v>194</v>
      </c>
      <c r="E82" s="25">
        <v>722</v>
      </c>
      <c r="F82" s="21">
        <v>169614.000333</v>
      </c>
      <c r="G82" s="20">
        <f t="shared" si="10"/>
        <v>91912.00016499999</v>
      </c>
      <c r="H82" s="24">
        <f t="shared" si="11"/>
        <v>0.54188923075070972</v>
      </c>
      <c r="I82" s="12">
        <v>300</v>
      </c>
      <c r="J82" s="12">
        <v>70041.000065999993</v>
      </c>
      <c r="K82" s="13">
        <f t="shared" si="12"/>
        <v>0.4129435066002205</v>
      </c>
      <c r="L82" s="4">
        <v>74</v>
      </c>
      <c r="M82" s="4">
        <v>18833.000083999999</v>
      </c>
      <c r="N82" s="17">
        <f t="shared" si="13"/>
        <v>0.11103446677176131</v>
      </c>
      <c r="O82" s="9">
        <v>10</v>
      </c>
      <c r="P82" s="9">
        <v>3038.0000150000001</v>
      </c>
      <c r="Q82" s="18">
        <f t="shared" si="14"/>
        <v>1.7911257378727882E-2</v>
      </c>
      <c r="R82" s="36">
        <v>2513524</v>
      </c>
      <c r="S82" s="36">
        <v>1673639</v>
      </c>
      <c r="T82" s="39">
        <v>0.66590000000000005</v>
      </c>
      <c r="U82" s="36">
        <v>2444882</v>
      </c>
      <c r="V82" s="36">
        <v>1542793</v>
      </c>
      <c r="W82" s="39">
        <v>0.63100000000000001</v>
      </c>
      <c r="X82" s="36">
        <v>2415900</v>
      </c>
      <c r="Y82" s="36">
        <v>1529716</v>
      </c>
      <c r="Z82" s="39">
        <v>0.63319999999999999</v>
      </c>
      <c r="AA82" s="36">
        <v>2324479</v>
      </c>
      <c r="AB82" s="36">
        <v>1243347</v>
      </c>
      <c r="AC82" s="39">
        <v>0.53490000000000004</v>
      </c>
      <c r="AD82" s="36">
        <v>2066736</v>
      </c>
      <c r="AE82" s="36">
        <v>1082443</v>
      </c>
      <c r="AF82" s="39">
        <v>0.52370000000000005</v>
      </c>
      <c r="AG82" s="36">
        <v>1473860</v>
      </c>
      <c r="AH82" s="36">
        <v>820229</v>
      </c>
      <c r="AI82" s="39">
        <v>0.55649999999999999</v>
      </c>
    </row>
    <row r="83" spans="1:35" ht="14" x14ac:dyDescent="0.2">
      <c r="A83" s="1" t="s">
        <v>195</v>
      </c>
      <c r="B83" s="1" t="s">
        <v>429</v>
      </c>
      <c r="C83" s="1" t="s">
        <v>433</v>
      </c>
      <c r="D83" s="1" t="s">
        <v>196</v>
      </c>
      <c r="E83" s="25">
        <v>604</v>
      </c>
      <c r="F83" s="21">
        <v>146082.000749</v>
      </c>
      <c r="G83" s="20">
        <f t="shared" si="10"/>
        <v>71463.000448000006</v>
      </c>
      <c r="H83" s="24">
        <f t="shared" si="11"/>
        <v>0.48919784834264879</v>
      </c>
      <c r="I83" s="12">
        <v>249</v>
      </c>
      <c r="J83" s="12">
        <v>56842.000417000003</v>
      </c>
      <c r="K83" s="13">
        <f t="shared" si="12"/>
        <v>0.38911022662310513</v>
      </c>
      <c r="L83" s="4">
        <v>41</v>
      </c>
      <c r="M83" s="4">
        <v>11809.000033</v>
      </c>
      <c r="N83" s="17">
        <f t="shared" si="13"/>
        <v>8.0838159201354162E-2</v>
      </c>
      <c r="O83" s="9">
        <v>10</v>
      </c>
      <c r="P83" s="9">
        <v>2811.9999979999998</v>
      </c>
      <c r="Q83" s="18">
        <f t="shared" si="14"/>
        <v>1.9249462518189459E-2</v>
      </c>
      <c r="R83" s="36">
        <v>2221180</v>
      </c>
      <c r="S83" s="36">
        <v>1436113</v>
      </c>
      <c r="T83" s="39">
        <v>0.64659999999999995</v>
      </c>
      <c r="U83" s="36">
        <v>2229394</v>
      </c>
      <c r="V83" s="36">
        <v>1367708</v>
      </c>
      <c r="W83" s="39">
        <v>0.61350000000000005</v>
      </c>
      <c r="X83" s="36">
        <v>2358694</v>
      </c>
      <c r="Y83" s="36">
        <v>1472711</v>
      </c>
      <c r="Z83" s="39">
        <v>0.62439999999999996</v>
      </c>
      <c r="AA83" s="36">
        <v>2071327</v>
      </c>
      <c r="AB83" s="36">
        <v>1090121</v>
      </c>
      <c r="AC83" s="39">
        <v>0.52629999999999999</v>
      </c>
      <c r="AD83" s="36">
        <v>1935729</v>
      </c>
      <c r="AE83" s="36">
        <v>1036041</v>
      </c>
      <c r="AF83" s="39">
        <v>0.53520000000000001</v>
      </c>
      <c r="AG83" s="36">
        <v>1408417</v>
      </c>
      <c r="AH83" s="36">
        <v>809786</v>
      </c>
      <c r="AI83" s="39">
        <v>0.57499999999999996</v>
      </c>
    </row>
    <row r="84" spans="1:35" ht="14" x14ac:dyDescent="0.2">
      <c r="A84" s="1" t="s">
        <v>197</v>
      </c>
      <c r="B84" s="1" t="s">
        <v>429</v>
      </c>
      <c r="C84" s="1" t="s">
        <v>435</v>
      </c>
      <c r="D84" s="1" t="s">
        <v>198</v>
      </c>
      <c r="E84" s="25">
        <v>770</v>
      </c>
      <c r="F84" s="21">
        <v>170598.00068</v>
      </c>
      <c r="G84" s="20">
        <f t="shared" si="10"/>
        <v>96022.000503000003</v>
      </c>
      <c r="H84" s="24">
        <f t="shared" si="11"/>
        <v>0.56285536829422589</v>
      </c>
      <c r="I84" s="12">
        <v>340</v>
      </c>
      <c r="J84" s="12">
        <v>77453.000503000003</v>
      </c>
      <c r="K84" s="13">
        <f t="shared" si="12"/>
        <v>0.45400884063279751</v>
      </c>
      <c r="L84" s="4">
        <v>73</v>
      </c>
      <c r="M84" s="4">
        <v>17364.999949000001</v>
      </c>
      <c r="N84" s="17">
        <f t="shared" si="13"/>
        <v>0.10178900033871137</v>
      </c>
      <c r="O84" s="9">
        <v>6</v>
      </c>
      <c r="P84" s="9">
        <v>1204.000051</v>
      </c>
      <c r="Q84" s="18">
        <f t="shared" si="14"/>
        <v>7.0575273227170389E-3</v>
      </c>
      <c r="R84" s="36">
        <v>1873858</v>
      </c>
      <c r="S84" s="36">
        <v>1429367</v>
      </c>
      <c r="T84" s="39">
        <v>0.76280000000000003</v>
      </c>
      <c r="U84" s="36">
        <v>1763313</v>
      </c>
      <c r="V84" s="36">
        <v>1374434</v>
      </c>
      <c r="W84" s="39">
        <v>0.77949999999999997</v>
      </c>
      <c r="X84" s="36">
        <v>1721305</v>
      </c>
      <c r="Y84" s="36">
        <v>1353995</v>
      </c>
      <c r="Z84" s="39">
        <v>0.78659999999999997</v>
      </c>
      <c r="AA84" s="36">
        <v>1741917</v>
      </c>
      <c r="AB84" s="36">
        <v>1189386</v>
      </c>
      <c r="AC84" s="39">
        <v>0.68279999999999996</v>
      </c>
      <c r="AD84" s="36">
        <v>1576086</v>
      </c>
      <c r="AE84" s="36">
        <v>1017294</v>
      </c>
      <c r="AF84" s="39">
        <v>0.64549999999999996</v>
      </c>
      <c r="AG84" s="36">
        <v>1077669</v>
      </c>
      <c r="AH84" s="36">
        <v>760318</v>
      </c>
      <c r="AI84" s="39">
        <v>0.70550000000000002</v>
      </c>
    </row>
    <row r="85" spans="1:35" ht="14" x14ac:dyDescent="0.2">
      <c r="A85" s="1" t="s">
        <v>199</v>
      </c>
      <c r="B85" s="1" t="s">
        <v>429</v>
      </c>
      <c r="C85" s="1" t="s">
        <v>435</v>
      </c>
      <c r="D85" s="1" t="s">
        <v>200</v>
      </c>
      <c r="E85" s="25">
        <v>873</v>
      </c>
      <c r="F85" s="21">
        <v>200782.00020099999</v>
      </c>
      <c r="G85" s="20">
        <f t="shared" si="10"/>
        <v>120495.000268</v>
      </c>
      <c r="H85" s="24">
        <f t="shared" si="11"/>
        <v>0.60012849830848469</v>
      </c>
      <c r="I85" s="12">
        <v>409</v>
      </c>
      <c r="J85" s="12">
        <v>97812.000247000004</v>
      </c>
      <c r="K85" s="13">
        <f t="shared" si="12"/>
        <v>0.48715522382027177</v>
      </c>
      <c r="L85" s="4">
        <v>72</v>
      </c>
      <c r="M85" s="4">
        <v>19742.999979</v>
      </c>
      <c r="N85" s="17">
        <f t="shared" si="13"/>
        <v>9.8330527433911227E-2</v>
      </c>
      <c r="O85" s="9">
        <v>12</v>
      </c>
      <c r="P85" s="9">
        <v>2940.0000420000001</v>
      </c>
      <c r="Q85" s="18">
        <f t="shared" si="14"/>
        <v>1.464274705430172E-2</v>
      </c>
      <c r="R85" s="36">
        <v>3237792</v>
      </c>
      <c r="S85" s="36">
        <v>1860674</v>
      </c>
      <c r="T85" s="39">
        <v>0.57469999999999999</v>
      </c>
      <c r="U85" s="36">
        <v>4023703</v>
      </c>
      <c r="V85" s="36">
        <v>2394049</v>
      </c>
      <c r="W85" s="39">
        <v>0.59499999999999997</v>
      </c>
      <c r="X85" s="36">
        <v>3221342</v>
      </c>
      <c r="Y85" s="36">
        <v>1868812</v>
      </c>
      <c r="Z85" s="39">
        <v>0.58009999999999995</v>
      </c>
      <c r="AA85" s="36">
        <v>2977200</v>
      </c>
      <c r="AB85" s="36">
        <v>1460894</v>
      </c>
      <c r="AC85" s="39">
        <v>0.49070000000000003</v>
      </c>
      <c r="AD85" s="36">
        <v>2666738</v>
      </c>
      <c r="AE85" s="36">
        <v>1296984</v>
      </c>
      <c r="AF85" s="39">
        <v>0.4864</v>
      </c>
      <c r="AG85" s="36">
        <v>2006945</v>
      </c>
      <c r="AH85" s="36">
        <v>1111809</v>
      </c>
      <c r="AI85" s="39">
        <v>0.55400000000000005</v>
      </c>
    </row>
    <row r="86" spans="1:35" ht="14" x14ac:dyDescent="0.2">
      <c r="A86" s="1" t="s">
        <v>201</v>
      </c>
      <c r="B86" s="1" t="s">
        <v>429</v>
      </c>
      <c r="C86" s="1" t="s">
        <v>435</v>
      </c>
      <c r="D86" s="1" t="s">
        <v>202</v>
      </c>
      <c r="E86" s="25">
        <v>636</v>
      </c>
      <c r="F86" s="21">
        <v>159041.00062199999</v>
      </c>
      <c r="G86" s="20">
        <f t="shared" si="10"/>
        <v>80075.000096000003</v>
      </c>
      <c r="H86" s="24">
        <f t="shared" si="11"/>
        <v>0.50348652097780688</v>
      </c>
      <c r="I86" s="12">
        <v>263</v>
      </c>
      <c r="J86" s="12">
        <v>70254.000090000001</v>
      </c>
      <c r="K86" s="13">
        <f t="shared" si="12"/>
        <v>0.44173514889393767</v>
      </c>
      <c r="L86" s="4">
        <v>32</v>
      </c>
      <c r="M86" s="4">
        <v>9412.9999919999991</v>
      </c>
      <c r="N86" s="17">
        <f t="shared" si="13"/>
        <v>5.9185995782133599E-2</v>
      </c>
      <c r="O86" s="9">
        <v>3</v>
      </c>
      <c r="P86" s="9">
        <v>408.00001400000002</v>
      </c>
      <c r="Q86" s="18">
        <f t="shared" si="14"/>
        <v>2.5653763017356277E-3</v>
      </c>
      <c r="R86" s="36">
        <v>2442245</v>
      </c>
      <c r="S86" s="36">
        <v>1595169</v>
      </c>
      <c r="T86" s="39">
        <v>0.6532</v>
      </c>
      <c r="U86" s="36">
        <v>2236016</v>
      </c>
      <c r="V86" s="36">
        <v>1407776</v>
      </c>
      <c r="W86" s="39">
        <v>0.62960000000000005</v>
      </c>
      <c r="X86" s="36">
        <v>2660921</v>
      </c>
      <c r="Y86" s="36">
        <v>1713047</v>
      </c>
      <c r="Z86" s="39">
        <v>0.64380000000000004</v>
      </c>
      <c r="AA86" s="36">
        <v>2098371</v>
      </c>
      <c r="AB86" s="36">
        <v>1076579</v>
      </c>
      <c r="AC86" s="39">
        <v>0.5131</v>
      </c>
      <c r="AD86" s="36">
        <v>1922349</v>
      </c>
      <c r="AE86" s="36">
        <v>993297</v>
      </c>
      <c r="AF86" s="39">
        <v>0.51670000000000005</v>
      </c>
      <c r="AG86" s="36">
        <v>1402878</v>
      </c>
      <c r="AH86" s="36">
        <v>809723</v>
      </c>
      <c r="AI86" s="39">
        <v>0.57720000000000005</v>
      </c>
    </row>
    <row r="87" spans="1:35" ht="14" x14ac:dyDescent="0.2">
      <c r="A87" s="1" t="s">
        <v>203</v>
      </c>
      <c r="B87" s="1" t="s">
        <v>429</v>
      </c>
      <c r="C87" s="1" t="s">
        <v>438</v>
      </c>
      <c r="D87" s="1" t="s">
        <v>204</v>
      </c>
      <c r="E87" s="25">
        <v>962</v>
      </c>
      <c r="F87" s="21">
        <v>211942.00106899999</v>
      </c>
      <c r="G87" s="20">
        <f t="shared" si="10"/>
        <v>106010.00056499999</v>
      </c>
      <c r="H87" s="24">
        <f t="shared" si="11"/>
        <v>0.50018401275020186</v>
      </c>
      <c r="I87" s="12">
        <v>379</v>
      </c>
      <c r="J87" s="12">
        <v>87597.000476999994</v>
      </c>
      <c r="K87" s="13">
        <f t="shared" si="12"/>
        <v>0.4133064708041605</v>
      </c>
      <c r="L87" s="4">
        <v>73</v>
      </c>
      <c r="M87" s="4">
        <v>16221.000045000001</v>
      </c>
      <c r="N87" s="17">
        <f t="shared" si="13"/>
        <v>7.6535089615007837E-2</v>
      </c>
      <c r="O87" s="9">
        <v>10</v>
      </c>
      <c r="P87" s="9">
        <v>2192.000043</v>
      </c>
      <c r="Q87" s="18">
        <f t="shared" si="14"/>
        <v>1.0342452331033578E-2</v>
      </c>
      <c r="R87" s="36">
        <v>2548987</v>
      </c>
      <c r="S87" s="36">
        <v>1637051</v>
      </c>
      <c r="T87" s="39">
        <v>0.64219999999999999</v>
      </c>
      <c r="U87" s="36">
        <v>2458632</v>
      </c>
      <c r="V87" s="36">
        <v>1534709</v>
      </c>
      <c r="W87" s="39">
        <v>0.62419999999999998</v>
      </c>
      <c r="X87" s="36">
        <v>2352861</v>
      </c>
      <c r="Y87" s="36">
        <v>1515305</v>
      </c>
      <c r="Z87" s="39">
        <v>0.64400000000000002</v>
      </c>
      <c r="AA87" s="36">
        <v>2583911</v>
      </c>
      <c r="AB87" s="36">
        <v>1276315</v>
      </c>
      <c r="AC87" s="39">
        <v>0.49390000000000001</v>
      </c>
      <c r="AD87" s="36">
        <v>2204546</v>
      </c>
      <c r="AE87" s="36">
        <v>1087423</v>
      </c>
      <c r="AF87" s="39">
        <v>0.49330000000000002</v>
      </c>
      <c r="AG87" s="36">
        <v>1567901</v>
      </c>
      <c r="AH87" s="36">
        <v>870634</v>
      </c>
      <c r="AI87" s="39">
        <v>0.55530000000000002</v>
      </c>
    </row>
    <row r="88" spans="1:35" ht="14" x14ac:dyDescent="0.2">
      <c r="A88" s="1" t="s">
        <v>205</v>
      </c>
      <c r="B88" s="1" t="s">
        <v>429</v>
      </c>
      <c r="C88" s="1" t="s">
        <v>433</v>
      </c>
      <c r="D88" s="1" t="s">
        <v>206</v>
      </c>
      <c r="E88" s="25">
        <v>719</v>
      </c>
      <c r="F88" s="21">
        <v>217733.00109500001</v>
      </c>
      <c r="G88" s="20">
        <f t="shared" si="10"/>
        <v>39801.000303000001</v>
      </c>
      <c r="H88" s="24">
        <f t="shared" si="11"/>
        <v>0.1827972797088038</v>
      </c>
      <c r="I88" s="12">
        <v>127</v>
      </c>
      <c r="J88" s="12">
        <v>33773.000178000002</v>
      </c>
      <c r="K88" s="13">
        <f t="shared" si="12"/>
        <v>0.15511199500375397</v>
      </c>
      <c r="L88" s="4">
        <v>25</v>
      </c>
      <c r="M88" s="4">
        <v>5729.0001099999999</v>
      </c>
      <c r="N88" s="17">
        <f t="shared" si="13"/>
        <v>2.6312043104115189E-2</v>
      </c>
      <c r="O88" s="9">
        <v>1</v>
      </c>
      <c r="P88" s="9">
        <v>299.00001500000002</v>
      </c>
      <c r="Q88" s="18">
        <f t="shared" si="14"/>
        <v>1.3732416009346331E-3</v>
      </c>
      <c r="R88" s="36">
        <v>2659612</v>
      </c>
      <c r="S88" s="36">
        <v>1309356</v>
      </c>
      <c r="T88" s="39">
        <v>0.49230000000000002</v>
      </c>
      <c r="U88" s="36">
        <v>2054293</v>
      </c>
      <c r="V88" s="36">
        <v>969211</v>
      </c>
      <c r="W88" s="39">
        <v>0.4718</v>
      </c>
      <c r="X88" s="36">
        <v>1853782</v>
      </c>
      <c r="Y88" s="36">
        <v>987852</v>
      </c>
      <c r="Z88" s="39">
        <v>0.53290000000000004</v>
      </c>
      <c r="AA88" s="36">
        <v>1700594</v>
      </c>
      <c r="AB88" s="36">
        <v>695057</v>
      </c>
      <c r="AC88" s="39">
        <v>0.40870000000000001</v>
      </c>
      <c r="AD88" s="36">
        <v>1378617</v>
      </c>
      <c r="AE88" s="36">
        <v>572703</v>
      </c>
      <c r="AF88" s="39">
        <v>0.41539999999999999</v>
      </c>
      <c r="AG88" s="36">
        <v>904835</v>
      </c>
      <c r="AH88" s="36">
        <v>447771</v>
      </c>
      <c r="AI88" s="39">
        <v>0.49490000000000001</v>
      </c>
    </row>
    <row r="89" spans="1:35" ht="14" x14ac:dyDescent="0.2">
      <c r="A89" s="1" t="s">
        <v>207</v>
      </c>
      <c r="B89" s="1" t="s">
        <v>429</v>
      </c>
      <c r="C89" s="1" t="s">
        <v>433</v>
      </c>
      <c r="D89" s="1" t="s">
        <v>208</v>
      </c>
      <c r="E89" s="25">
        <v>590</v>
      </c>
      <c r="F89" s="21">
        <v>132747.00053300001</v>
      </c>
      <c r="G89" s="20">
        <f t="shared" si="10"/>
        <v>75722.000323</v>
      </c>
      <c r="H89" s="24">
        <f t="shared" si="11"/>
        <v>0.57042343720735156</v>
      </c>
      <c r="I89" s="12">
        <v>249</v>
      </c>
      <c r="J89" s="12">
        <v>66015.000255000006</v>
      </c>
      <c r="K89" s="13">
        <f t="shared" si="12"/>
        <v>0.49729937392136497</v>
      </c>
      <c r="L89" s="4">
        <v>28</v>
      </c>
      <c r="M89" s="4">
        <v>7934.0000319999999</v>
      </c>
      <c r="N89" s="17">
        <f t="shared" si="13"/>
        <v>5.9767829029234151E-2</v>
      </c>
      <c r="O89" s="9">
        <v>8</v>
      </c>
      <c r="P89" s="9">
        <v>1773.0000359999999</v>
      </c>
      <c r="Q89" s="18">
        <f t="shared" si="14"/>
        <v>1.335623425675252E-2</v>
      </c>
      <c r="R89" s="36">
        <v>2431821</v>
      </c>
      <c r="S89" s="36">
        <v>1628759</v>
      </c>
      <c r="T89" s="39">
        <v>0.66979999999999995</v>
      </c>
      <c r="U89" s="36">
        <v>2424162</v>
      </c>
      <c r="V89" s="36">
        <v>1590132</v>
      </c>
      <c r="W89" s="39">
        <v>0.65600000000000003</v>
      </c>
      <c r="X89" s="36">
        <v>2738470</v>
      </c>
      <c r="Y89" s="36">
        <v>1817995</v>
      </c>
      <c r="Z89" s="39">
        <v>0.66390000000000005</v>
      </c>
      <c r="AA89" s="36">
        <v>2142704</v>
      </c>
      <c r="AB89" s="36">
        <v>1270441</v>
      </c>
      <c r="AC89" s="39">
        <v>0.59289999999999998</v>
      </c>
      <c r="AD89" s="36">
        <v>2023351</v>
      </c>
      <c r="AE89" s="36">
        <v>1181574</v>
      </c>
      <c r="AF89" s="39">
        <v>0.58399999999999996</v>
      </c>
      <c r="AG89" s="36">
        <v>1478586</v>
      </c>
      <c r="AH89" s="36">
        <v>938418</v>
      </c>
      <c r="AI89" s="39">
        <v>0.63470000000000004</v>
      </c>
    </row>
    <row r="90" spans="1:35" ht="14" x14ac:dyDescent="0.2">
      <c r="A90" s="1" t="s">
        <v>209</v>
      </c>
      <c r="B90" s="1" t="s">
        <v>430</v>
      </c>
      <c r="C90" s="1" t="s">
        <v>433</v>
      </c>
      <c r="D90" s="1" t="s">
        <v>210</v>
      </c>
      <c r="E90" s="25">
        <v>1112</v>
      </c>
      <c r="F90" s="21">
        <v>313492.001185</v>
      </c>
      <c r="G90" s="20">
        <f t="shared" si="10"/>
        <v>271889.00093899999</v>
      </c>
      <c r="H90" s="24">
        <f t="shared" si="11"/>
        <v>0.86729166904182364</v>
      </c>
      <c r="I90" s="12">
        <v>899</v>
      </c>
      <c r="J90" s="12">
        <v>241421.000891</v>
      </c>
      <c r="K90" s="13">
        <f t="shared" si="12"/>
        <v>0.7701025862810803</v>
      </c>
      <c r="L90" s="4">
        <v>77</v>
      </c>
      <c r="M90" s="4">
        <v>26752.000002000001</v>
      </c>
      <c r="N90" s="17">
        <f t="shared" si="13"/>
        <v>8.5335510637838993E-2</v>
      </c>
      <c r="O90" s="9">
        <v>15</v>
      </c>
      <c r="P90" s="9">
        <v>3716.0000460000001</v>
      </c>
      <c r="Q90" s="18">
        <f t="shared" si="14"/>
        <v>1.1853572122904308E-2</v>
      </c>
      <c r="R90" s="36">
        <v>5214312</v>
      </c>
      <c r="S90" s="36">
        <v>3990501</v>
      </c>
      <c r="T90" s="39">
        <v>0.76529999999999998</v>
      </c>
      <c r="U90" s="36">
        <v>4867568</v>
      </c>
      <c r="V90" s="36">
        <v>3611633</v>
      </c>
      <c r="W90" s="39">
        <v>0.74199999999999999</v>
      </c>
      <c r="X90" s="36">
        <v>5069241</v>
      </c>
      <c r="Y90" s="36">
        <v>3807253</v>
      </c>
      <c r="Z90" s="39">
        <v>0.751</v>
      </c>
      <c r="AA90" s="36">
        <v>4220787</v>
      </c>
      <c r="AB90" s="36">
        <v>2796407</v>
      </c>
      <c r="AC90" s="39">
        <v>0.66249999999999998</v>
      </c>
      <c r="AD90" s="36">
        <v>4079503</v>
      </c>
      <c r="AE90" s="36">
        <v>2898061</v>
      </c>
      <c r="AF90" s="39">
        <v>0.71040000000000003</v>
      </c>
      <c r="AG90" s="36">
        <v>2883918</v>
      </c>
      <c r="AH90" s="36">
        <v>2212868</v>
      </c>
      <c r="AI90" s="39">
        <v>0.76729999999999998</v>
      </c>
    </row>
    <row r="91" spans="1:35" ht="14" x14ac:dyDescent="0.2">
      <c r="A91" s="1" t="s">
        <v>211</v>
      </c>
      <c r="B91" s="1" t="s">
        <v>429</v>
      </c>
      <c r="C91" s="1" t="s">
        <v>435</v>
      </c>
      <c r="D91" s="1" t="s">
        <v>212</v>
      </c>
      <c r="E91" s="25">
        <v>874</v>
      </c>
      <c r="F91" s="21">
        <v>216649.00067400001</v>
      </c>
      <c r="G91" s="20">
        <f t="shared" si="10"/>
        <v>115502.00046</v>
      </c>
      <c r="H91" s="24">
        <f t="shared" si="11"/>
        <v>0.53312962488020077</v>
      </c>
      <c r="I91" s="12">
        <v>377</v>
      </c>
      <c r="J91" s="12">
        <v>97755.000444999998</v>
      </c>
      <c r="K91" s="13">
        <f t="shared" si="12"/>
        <v>0.45121371499929358</v>
      </c>
      <c r="L91" s="4">
        <v>57</v>
      </c>
      <c r="M91" s="4">
        <v>14533.000018999999</v>
      </c>
      <c r="N91" s="17">
        <f t="shared" si="13"/>
        <v>6.7080854164051087E-2</v>
      </c>
      <c r="O91" s="9">
        <v>13</v>
      </c>
      <c r="P91" s="9">
        <v>3213.999996</v>
      </c>
      <c r="Q91" s="18">
        <f t="shared" si="14"/>
        <v>1.483505571685617E-2</v>
      </c>
      <c r="R91" s="36">
        <v>2905349</v>
      </c>
      <c r="S91" s="36">
        <v>1764307</v>
      </c>
      <c r="T91" s="39">
        <v>0.60729999999999995</v>
      </c>
      <c r="U91" s="36">
        <v>2602856</v>
      </c>
      <c r="V91" s="36">
        <v>1538433</v>
      </c>
      <c r="W91" s="39">
        <v>0.59109999999999996</v>
      </c>
      <c r="X91" s="36">
        <v>2505029</v>
      </c>
      <c r="Y91" s="36">
        <v>1560438</v>
      </c>
      <c r="Z91" s="39">
        <v>0.62290000000000001</v>
      </c>
      <c r="AA91" s="36">
        <v>2699092</v>
      </c>
      <c r="AB91" s="36">
        <v>1356734</v>
      </c>
      <c r="AC91" s="39">
        <v>0.50270000000000004</v>
      </c>
      <c r="AD91" s="36">
        <v>2327897</v>
      </c>
      <c r="AE91" s="36">
        <v>1213964</v>
      </c>
      <c r="AF91" s="39">
        <v>0.52149999999999996</v>
      </c>
      <c r="AG91" s="36">
        <v>1744785</v>
      </c>
      <c r="AH91" s="36">
        <v>990241</v>
      </c>
      <c r="AI91" s="39">
        <v>0.5675</v>
      </c>
    </row>
    <row r="92" spans="1:35" ht="14" x14ac:dyDescent="0.2">
      <c r="A92" s="1" t="s">
        <v>213</v>
      </c>
      <c r="B92" s="1" t="s">
        <v>429</v>
      </c>
      <c r="C92" s="1" t="s">
        <v>441</v>
      </c>
      <c r="D92" s="1" t="s">
        <v>214</v>
      </c>
      <c r="E92" s="25">
        <v>775</v>
      </c>
      <c r="F92" s="21">
        <v>172903.000225</v>
      </c>
      <c r="G92" s="20">
        <f t="shared" si="10"/>
        <v>91227.000112000009</v>
      </c>
      <c r="H92" s="24">
        <f t="shared" si="11"/>
        <v>0.52761953230010827</v>
      </c>
      <c r="I92" s="12">
        <v>324</v>
      </c>
      <c r="J92" s="12">
        <v>75851.000050000002</v>
      </c>
      <c r="K92" s="13">
        <f t="shared" si="12"/>
        <v>0.43869105771036082</v>
      </c>
      <c r="L92" s="4">
        <v>52</v>
      </c>
      <c r="M92" s="4">
        <v>11262.000031</v>
      </c>
      <c r="N92" s="17">
        <f t="shared" si="13"/>
        <v>6.5134786651155116E-2</v>
      </c>
      <c r="O92" s="9">
        <v>14</v>
      </c>
      <c r="P92" s="9">
        <v>4114.0000309999996</v>
      </c>
      <c r="Q92" s="18">
        <f t="shared" si="14"/>
        <v>2.3793687938592274E-2</v>
      </c>
      <c r="R92" s="36">
        <v>2491166</v>
      </c>
      <c r="S92" s="36">
        <v>1187620</v>
      </c>
      <c r="T92" s="39">
        <v>0.47670000000000001</v>
      </c>
      <c r="U92" s="36">
        <v>2178478</v>
      </c>
      <c r="V92" s="36">
        <v>1026710</v>
      </c>
      <c r="W92" s="39">
        <v>0.4713</v>
      </c>
      <c r="X92" s="36">
        <v>1813192</v>
      </c>
      <c r="Y92" s="36">
        <v>893224</v>
      </c>
      <c r="Z92" s="39">
        <v>0.49259999999999998</v>
      </c>
      <c r="AA92" s="36">
        <v>2181727</v>
      </c>
      <c r="AB92" s="36">
        <v>984785</v>
      </c>
      <c r="AC92" s="39">
        <v>0.45140000000000002</v>
      </c>
      <c r="AD92" s="36">
        <v>1856297</v>
      </c>
      <c r="AE92" s="36">
        <v>795536</v>
      </c>
      <c r="AF92" s="39">
        <v>0.42859999999999998</v>
      </c>
      <c r="AG92" s="36">
        <v>1304966</v>
      </c>
      <c r="AH92" s="36">
        <v>563076</v>
      </c>
      <c r="AI92" s="39">
        <v>0.43149999999999999</v>
      </c>
    </row>
    <row r="93" spans="1:35" ht="14" x14ac:dyDescent="0.2">
      <c r="A93" s="1" t="s">
        <v>215</v>
      </c>
      <c r="B93" s="1" t="s">
        <v>429</v>
      </c>
      <c r="C93" s="1" t="s">
        <v>434</v>
      </c>
      <c r="D93" s="1" t="s">
        <v>216</v>
      </c>
      <c r="E93" s="25">
        <v>657</v>
      </c>
      <c r="F93" s="21">
        <v>160698.000222</v>
      </c>
      <c r="G93" s="20">
        <f t="shared" si="10"/>
        <v>80572.000054000004</v>
      </c>
      <c r="H93" s="24">
        <f t="shared" si="11"/>
        <v>0.50138769581881504</v>
      </c>
      <c r="I93" s="12">
        <v>276</v>
      </c>
      <c r="J93" s="12">
        <v>70912.000071000002</v>
      </c>
      <c r="K93" s="13">
        <f t="shared" si="12"/>
        <v>0.44127493791482758</v>
      </c>
      <c r="L93" s="4">
        <v>36</v>
      </c>
      <c r="M93" s="4">
        <v>8889.9999640000005</v>
      </c>
      <c r="N93" s="17">
        <f t="shared" si="13"/>
        <v>5.5321161132800049E-2</v>
      </c>
      <c r="O93" s="9">
        <v>3</v>
      </c>
      <c r="P93" s="9">
        <v>770.00001899999995</v>
      </c>
      <c r="Q93" s="18">
        <f t="shared" si="14"/>
        <v>4.791596771187354E-3</v>
      </c>
      <c r="R93" s="36">
        <v>2454065</v>
      </c>
      <c r="S93" s="36">
        <v>1416990</v>
      </c>
      <c r="T93" s="39">
        <v>0.57740000000000002</v>
      </c>
      <c r="U93" s="36">
        <v>2223226</v>
      </c>
      <c r="V93" s="36">
        <v>1223719</v>
      </c>
      <c r="W93" s="39">
        <v>0.5504</v>
      </c>
      <c r="X93" s="36">
        <v>2190789</v>
      </c>
      <c r="Y93" s="36">
        <v>1246469</v>
      </c>
      <c r="Z93" s="39">
        <v>0.56899999999999995</v>
      </c>
      <c r="AA93" s="36">
        <v>2122446</v>
      </c>
      <c r="AB93" s="36">
        <v>1060643</v>
      </c>
      <c r="AC93" s="39">
        <v>0.49969999999999998</v>
      </c>
      <c r="AD93" s="36">
        <v>1919992</v>
      </c>
      <c r="AE93" s="36">
        <v>956861</v>
      </c>
      <c r="AF93" s="39">
        <v>0.49840000000000001</v>
      </c>
      <c r="AG93" s="36">
        <v>1371696</v>
      </c>
      <c r="AH93" s="36">
        <v>723014</v>
      </c>
      <c r="AI93" s="39">
        <v>0.52710000000000001</v>
      </c>
    </row>
    <row r="94" spans="1:35" ht="14" x14ac:dyDescent="0.2">
      <c r="A94" s="1" t="s">
        <v>217</v>
      </c>
      <c r="B94" s="1" t="s">
        <v>429</v>
      </c>
      <c r="C94" s="1" t="s">
        <v>433</v>
      </c>
      <c r="D94" s="1" t="s">
        <v>218</v>
      </c>
      <c r="E94" s="25">
        <v>913</v>
      </c>
      <c r="F94" s="21">
        <v>203130.000806</v>
      </c>
      <c r="G94" s="20">
        <f t="shared" si="10"/>
        <v>96254.000125000006</v>
      </c>
      <c r="H94" s="24">
        <f t="shared" si="11"/>
        <v>0.47385418078606578</v>
      </c>
      <c r="I94" s="12">
        <v>352</v>
      </c>
      <c r="J94" s="12">
        <v>82247.000182999996</v>
      </c>
      <c r="K94" s="13">
        <f t="shared" si="12"/>
        <v>0.40489834025821858</v>
      </c>
      <c r="L94" s="4">
        <v>52</v>
      </c>
      <c r="M94" s="4">
        <v>11018.999905000001</v>
      </c>
      <c r="N94" s="17">
        <f t="shared" si="13"/>
        <v>5.4246048645092727E-2</v>
      </c>
      <c r="O94" s="9">
        <v>14</v>
      </c>
      <c r="P94" s="9">
        <v>2988.0000369999998</v>
      </c>
      <c r="Q94" s="18">
        <f t="shared" si="14"/>
        <v>1.4709791882754432E-2</v>
      </c>
      <c r="R94" s="36">
        <v>3730521</v>
      </c>
      <c r="S94" s="36">
        <v>2529694</v>
      </c>
      <c r="T94" s="39">
        <v>0.67810000000000004</v>
      </c>
      <c r="U94" s="36">
        <v>2966703</v>
      </c>
      <c r="V94" s="36">
        <v>1947387</v>
      </c>
      <c r="W94" s="39">
        <v>0.65639999999999998</v>
      </c>
      <c r="X94" s="36">
        <v>2801775</v>
      </c>
      <c r="Y94" s="36">
        <v>1877423</v>
      </c>
      <c r="Z94" s="39">
        <v>0.67010000000000003</v>
      </c>
      <c r="AA94" s="36">
        <v>3452350</v>
      </c>
      <c r="AB94" s="36">
        <v>1931000</v>
      </c>
      <c r="AC94" s="39">
        <v>0.55930000000000002</v>
      </c>
      <c r="AD94" s="36">
        <v>3241991</v>
      </c>
      <c r="AE94" s="36">
        <v>1757593</v>
      </c>
      <c r="AF94" s="39">
        <v>0.54210000000000003</v>
      </c>
      <c r="AG94" s="36">
        <v>2354787</v>
      </c>
      <c r="AH94" s="36">
        <v>1373397</v>
      </c>
      <c r="AI94" s="39">
        <v>0.58320000000000005</v>
      </c>
    </row>
    <row r="95" spans="1:35" ht="14" x14ac:dyDescent="0.2">
      <c r="A95" s="1" t="s">
        <v>219</v>
      </c>
      <c r="B95" s="1" t="s">
        <v>429</v>
      </c>
      <c r="C95" s="1" t="s">
        <v>439</v>
      </c>
      <c r="D95" s="1" t="s">
        <v>220</v>
      </c>
      <c r="E95" s="25">
        <v>756</v>
      </c>
      <c r="F95" s="21">
        <v>168079.00107299999</v>
      </c>
      <c r="G95" s="20">
        <f t="shared" si="10"/>
        <v>88271.000652000002</v>
      </c>
      <c r="H95" s="24">
        <f t="shared" si="11"/>
        <v>0.52517566197137366</v>
      </c>
      <c r="I95" s="12">
        <v>320</v>
      </c>
      <c r="J95" s="12">
        <v>70916.000650000002</v>
      </c>
      <c r="K95" s="13">
        <f t="shared" si="12"/>
        <v>0.42192064563258441</v>
      </c>
      <c r="L95" s="4">
        <v>63</v>
      </c>
      <c r="M95" s="4">
        <v>16265.999997000001</v>
      </c>
      <c r="N95" s="17">
        <f t="shared" si="13"/>
        <v>9.6775920211087871E-2</v>
      </c>
      <c r="O95" s="9">
        <v>9</v>
      </c>
      <c r="P95" s="9">
        <v>1089.0000050000001</v>
      </c>
      <c r="Q95" s="18">
        <f t="shared" si="14"/>
        <v>6.4790961277014381E-3</v>
      </c>
      <c r="R95" s="36">
        <v>2916916</v>
      </c>
      <c r="S95" s="36">
        <v>1595897</v>
      </c>
      <c r="T95" s="39">
        <v>0.54710000000000003</v>
      </c>
      <c r="U95" s="36">
        <v>2698923</v>
      </c>
      <c r="V95" s="36">
        <v>1447033</v>
      </c>
      <c r="W95" s="39">
        <v>0.53620000000000001</v>
      </c>
      <c r="X95" s="36">
        <v>2578597</v>
      </c>
      <c r="Y95" s="36">
        <v>1535950</v>
      </c>
      <c r="Z95" s="39">
        <v>0.59570000000000001</v>
      </c>
      <c r="AA95" s="36">
        <v>2413148</v>
      </c>
      <c r="AB95" s="36">
        <v>1249879</v>
      </c>
      <c r="AC95" s="39">
        <v>0.51790000000000003</v>
      </c>
      <c r="AD95" s="36">
        <v>2074109</v>
      </c>
      <c r="AE95" s="36">
        <v>1116865</v>
      </c>
      <c r="AF95" s="39">
        <v>0.53849999999999998</v>
      </c>
      <c r="AG95" s="36">
        <v>1597456</v>
      </c>
      <c r="AH95" s="36">
        <v>941007</v>
      </c>
      <c r="AI95" s="39">
        <v>0.58909999999999996</v>
      </c>
    </row>
    <row r="96" spans="1:35" ht="14" x14ac:dyDescent="0.2">
      <c r="A96" s="1" t="s">
        <v>221</v>
      </c>
      <c r="B96" s="1" t="s">
        <v>429</v>
      </c>
      <c r="C96" s="1" t="s">
        <v>438</v>
      </c>
      <c r="D96" s="1" t="s">
        <v>222</v>
      </c>
      <c r="E96" s="25">
        <v>732</v>
      </c>
      <c r="F96" s="21">
        <v>155644.00034900001</v>
      </c>
      <c r="G96" s="20">
        <f t="shared" si="10"/>
        <v>74828.000325000015</v>
      </c>
      <c r="H96" s="24">
        <f t="shared" si="11"/>
        <v>0.48076379530989594</v>
      </c>
      <c r="I96" s="12">
        <v>269</v>
      </c>
      <c r="J96" s="12">
        <v>59564.000202000003</v>
      </c>
      <c r="K96" s="13">
        <f t="shared" si="12"/>
        <v>0.38269384022795516</v>
      </c>
      <c r="L96" s="4">
        <v>62</v>
      </c>
      <c r="M96" s="4">
        <v>13021.000124</v>
      </c>
      <c r="N96" s="17">
        <f t="shared" si="13"/>
        <v>8.3658863141547732E-2</v>
      </c>
      <c r="O96" s="9">
        <v>7</v>
      </c>
      <c r="P96" s="9">
        <v>2242.9999990000001</v>
      </c>
      <c r="Q96" s="18">
        <f t="shared" si="14"/>
        <v>1.4411091940393006E-2</v>
      </c>
      <c r="R96" s="36">
        <v>2375841</v>
      </c>
      <c r="S96" s="36">
        <v>1500486</v>
      </c>
      <c r="T96" s="39">
        <v>0.63160000000000005</v>
      </c>
      <c r="U96" s="36">
        <v>1837555</v>
      </c>
      <c r="V96" s="36">
        <v>1199029</v>
      </c>
      <c r="W96" s="39">
        <v>0.65249999999999997</v>
      </c>
      <c r="X96" s="36">
        <v>1230896</v>
      </c>
      <c r="Y96" s="36">
        <v>824578</v>
      </c>
      <c r="Z96" s="39">
        <v>0.66990000000000005</v>
      </c>
      <c r="AA96" s="36">
        <v>1836433</v>
      </c>
      <c r="AB96" s="36">
        <v>1119610</v>
      </c>
      <c r="AC96" s="39">
        <v>0.60970000000000002</v>
      </c>
      <c r="AD96" s="36">
        <v>1739438</v>
      </c>
      <c r="AE96" s="36">
        <v>1115803</v>
      </c>
      <c r="AF96" s="39">
        <v>0.64149999999999996</v>
      </c>
      <c r="AG96" s="36">
        <v>1155529</v>
      </c>
      <c r="AH96" s="36">
        <v>736980</v>
      </c>
      <c r="AI96" s="39">
        <v>0.63780000000000003</v>
      </c>
    </row>
    <row r="97" spans="1:35" ht="14" x14ac:dyDescent="0.2">
      <c r="A97" s="1" t="s">
        <v>223</v>
      </c>
      <c r="B97" s="1" t="s">
        <v>430</v>
      </c>
      <c r="C97" s="1" t="s">
        <v>433</v>
      </c>
      <c r="D97" s="1" t="s">
        <v>224</v>
      </c>
      <c r="E97" s="25">
        <v>895</v>
      </c>
      <c r="F97" s="21">
        <v>204668.000653</v>
      </c>
      <c r="G97" s="20">
        <f t="shared" si="10"/>
        <v>182942.000497</v>
      </c>
      <c r="H97" s="24">
        <f t="shared" si="11"/>
        <v>0.89384759666053082</v>
      </c>
      <c r="I97" s="12">
        <v>735</v>
      </c>
      <c r="J97" s="12">
        <v>161451.00049100001</v>
      </c>
      <c r="K97" s="13">
        <f t="shared" si="12"/>
        <v>0.78884339503921119</v>
      </c>
      <c r="L97" s="4">
        <v>75</v>
      </c>
      <c r="M97" s="4">
        <v>17802.000040999999</v>
      </c>
      <c r="N97" s="17">
        <f t="shared" si="13"/>
        <v>8.6979889304640359E-2</v>
      </c>
      <c r="O97" s="9">
        <v>19</v>
      </c>
      <c r="P97" s="9">
        <v>3688.999965</v>
      </c>
      <c r="Q97" s="18">
        <f t="shared" si="14"/>
        <v>1.8024312316679326E-2</v>
      </c>
      <c r="R97" s="36">
        <v>3286858</v>
      </c>
      <c r="S97" s="36">
        <v>2584701</v>
      </c>
      <c r="T97" s="39">
        <v>0.78639999999999999</v>
      </c>
      <c r="U97" s="36">
        <v>3052845</v>
      </c>
      <c r="V97" s="36">
        <v>2316597</v>
      </c>
      <c r="W97" s="39">
        <v>0.75880000000000003</v>
      </c>
      <c r="X97" s="36">
        <v>2695156</v>
      </c>
      <c r="Y97" s="36">
        <v>1972969</v>
      </c>
      <c r="Z97" s="39">
        <v>0.73199999999999998</v>
      </c>
      <c r="AA97" s="36">
        <v>2880581</v>
      </c>
      <c r="AB97" s="36">
        <v>1901274</v>
      </c>
      <c r="AC97" s="39">
        <v>0.66</v>
      </c>
      <c r="AD97" s="36">
        <v>2536510</v>
      </c>
      <c r="AE97" s="36">
        <v>1806742</v>
      </c>
      <c r="AF97" s="39">
        <v>0.71230000000000004</v>
      </c>
      <c r="AG97" s="36">
        <v>1795248</v>
      </c>
      <c r="AH97" s="36">
        <v>1368282</v>
      </c>
      <c r="AI97" s="39">
        <v>0.76219999999999999</v>
      </c>
    </row>
    <row r="98" spans="1:35" ht="14" x14ac:dyDescent="0.2">
      <c r="A98" s="1" t="s">
        <v>225</v>
      </c>
      <c r="B98" s="1" t="s">
        <v>429</v>
      </c>
      <c r="C98" s="1" t="s">
        <v>434</v>
      </c>
      <c r="D98" s="1" t="s">
        <v>226</v>
      </c>
      <c r="E98" s="25">
        <v>715</v>
      </c>
      <c r="F98" s="21">
        <v>212905.000898</v>
      </c>
      <c r="G98" s="20">
        <f t="shared" si="10"/>
        <v>102540.00055900001</v>
      </c>
      <c r="H98" s="24">
        <f t="shared" si="11"/>
        <v>0.48162325979428533</v>
      </c>
      <c r="I98" s="12">
        <v>304</v>
      </c>
      <c r="J98" s="12">
        <v>87111.000486000004</v>
      </c>
      <c r="K98" s="13">
        <f t="shared" si="12"/>
        <v>0.40915431821037285</v>
      </c>
      <c r="L98" s="4">
        <v>41</v>
      </c>
      <c r="M98" s="4">
        <v>12623.000048</v>
      </c>
      <c r="N98" s="17">
        <f t="shared" si="13"/>
        <v>5.9289354382274534E-2</v>
      </c>
      <c r="O98" s="9">
        <v>7</v>
      </c>
      <c r="P98" s="9">
        <v>2806.0000249999998</v>
      </c>
      <c r="Q98" s="18">
        <f t="shared" si="14"/>
        <v>1.3179587201637963E-2</v>
      </c>
      <c r="R98" s="36">
        <v>2648101</v>
      </c>
      <c r="S98" s="36">
        <v>1992237</v>
      </c>
      <c r="T98" s="39">
        <v>0.75229999999999997</v>
      </c>
      <c r="U98" s="36">
        <v>2969201</v>
      </c>
      <c r="V98" s="36">
        <v>2014157</v>
      </c>
      <c r="W98" s="39">
        <v>0.67830000000000001</v>
      </c>
      <c r="X98" s="36">
        <v>3709431</v>
      </c>
      <c r="Y98" s="36">
        <v>2423186</v>
      </c>
      <c r="Z98" s="39">
        <v>0.65329999999999999</v>
      </c>
      <c r="AA98" s="36">
        <v>2731718</v>
      </c>
      <c r="AB98" s="36">
        <v>1631668</v>
      </c>
      <c r="AC98" s="39">
        <v>0.59730000000000005</v>
      </c>
      <c r="AD98" s="36">
        <v>2646656</v>
      </c>
      <c r="AE98" s="36">
        <v>1573919</v>
      </c>
      <c r="AF98" s="39">
        <v>0.59470000000000001</v>
      </c>
      <c r="AG98" s="36">
        <v>1903302</v>
      </c>
      <c r="AH98" s="36">
        <v>1164077</v>
      </c>
      <c r="AI98" s="39">
        <v>0.61160000000000003</v>
      </c>
    </row>
    <row r="99" spans="1:35" ht="14" x14ac:dyDescent="0.2">
      <c r="A99" s="1" t="s">
        <v>227</v>
      </c>
      <c r="B99" s="1" t="s">
        <v>429</v>
      </c>
      <c r="C99" s="1" t="s">
        <v>434</v>
      </c>
      <c r="D99" s="1" t="s">
        <v>228</v>
      </c>
      <c r="E99" s="25">
        <v>510</v>
      </c>
      <c r="F99" s="21">
        <v>111292.000216</v>
      </c>
      <c r="G99" s="20">
        <f t="shared" ref="G99:G130" si="15">J99+M99+P99</f>
        <v>50440.000102000005</v>
      </c>
      <c r="H99" s="24">
        <f t="shared" ref="H99:H130" si="16">G99/F99</f>
        <v>0.45322215436962243</v>
      </c>
      <c r="I99" s="12">
        <v>192</v>
      </c>
      <c r="J99" s="12">
        <v>41985.000083999999</v>
      </c>
      <c r="K99" s="13">
        <f t="shared" ref="K99:K130" si="17">J99/F99</f>
        <v>0.37725083566216638</v>
      </c>
      <c r="L99" s="4">
        <v>25</v>
      </c>
      <c r="M99" s="4">
        <v>6631.0000069999996</v>
      </c>
      <c r="N99" s="17">
        <f t="shared" ref="N99:N130" si="18">M99/F99</f>
        <v>5.9582000450439272E-2</v>
      </c>
      <c r="O99" s="9">
        <v>9</v>
      </c>
      <c r="P99" s="9">
        <v>1824.0000110000001</v>
      </c>
      <c r="Q99" s="18">
        <f t="shared" ref="Q99:Q130" si="19">P99/F99</f>
        <v>1.6389318257016741E-2</v>
      </c>
      <c r="R99" s="36">
        <v>2726845</v>
      </c>
      <c r="S99" s="36">
        <v>1497985</v>
      </c>
      <c r="T99" s="39">
        <v>0.54930000000000001</v>
      </c>
      <c r="U99" s="36">
        <v>2337090</v>
      </c>
      <c r="V99" s="36">
        <v>1242694</v>
      </c>
      <c r="W99" s="39">
        <v>0.53169999999999995</v>
      </c>
      <c r="X99" s="36">
        <v>2037184</v>
      </c>
      <c r="Y99" s="36">
        <v>1175351</v>
      </c>
      <c r="Z99" s="39">
        <v>0.57689999999999997</v>
      </c>
      <c r="AA99" s="36">
        <v>2060626</v>
      </c>
      <c r="AB99" s="36">
        <v>1057590</v>
      </c>
      <c r="AC99" s="39">
        <v>0.51319999999999999</v>
      </c>
      <c r="AD99" s="36">
        <v>1797704</v>
      </c>
      <c r="AE99" s="36">
        <v>935666</v>
      </c>
      <c r="AF99" s="39">
        <v>0.52049999999999996</v>
      </c>
      <c r="AG99" s="36">
        <v>1237333</v>
      </c>
      <c r="AH99" s="36">
        <v>623208</v>
      </c>
      <c r="AI99" s="39">
        <v>0.50370000000000004</v>
      </c>
    </row>
    <row r="100" spans="1:35" ht="14" x14ac:dyDescent="0.2">
      <c r="A100" s="1" t="s">
        <v>229</v>
      </c>
      <c r="B100" s="1" t="s">
        <v>430</v>
      </c>
      <c r="C100" s="1" t="s">
        <v>442</v>
      </c>
      <c r="D100" s="1" t="s">
        <v>230</v>
      </c>
      <c r="E100" s="25">
        <v>1296</v>
      </c>
      <c r="F100" s="21">
        <v>282815.00094200001</v>
      </c>
      <c r="G100" s="20">
        <f t="shared" si="15"/>
        <v>252656.00078599999</v>
      </c>
      <c r="H100" s="24">
        <f t="shared" si="16"/>
        <v>0.89336138445433788</v>
      </c>
      <c r="I100" s="12">
        <v>1043</v>
      </c>
      <c r="J100" s="12">
        <v>225805.00063600001</v>
      </c>
      <c r="K100" s="13">
        <f t="shared" si="17"/>
        <v>0.79841946107486828</v>
      </c>
      <c r="L100" s="4">
        <v>104</v>
      </c>
      <c r="M100" s="4">
        <v>23951.000209000002</v>
      </c>
      <c r="N100" s="17">
        <f t="shared" si="18"/>
        <v>8.4687870619394395E-2</v>
      </c>
      <c r="O100" s="9">
        <v>22</v>
      </c>
      <c r="P100" s="9">
        <v>2899.999941</v>
      </c>
      <c r="Q100" s="18">
        <f t="shared" si="19"/>
        <v>1.0254052760075251E-2</v>
      </c>
      <c r="R100" s="36">
        <v>4041809</v>
      </c>
      <c r="S100" s="36">
        <v>3057467</v>
      </c>
      <c r="T100" s="39">
        <v>0.75649999999999995</v>
      </c>
      <c r="U100" s="36">
        <v>3615291</v>
      </c>
      <c r="V100" s="36">
        <v>2655593</v>
      </c>
      <c r="W100" s="39">
        <v>0.73450000000000004</v>
      </c>
      <c r="X100" s="36">
        <v>3165926</v>
      </c>
      <c r="Y100" s="36">
        <v>2338933</v>
      </c>
      <c r="Z100" s="39">
        <v>0.73880000000000001</v>
      </c>
      <c r="AA100" s="36">
        <v>3726646</v>
      </c>
      <c r="AB100" s="36">
        <v>2464922</v>
      </c>
      <c r="AC100" s="39">
        <v>0.66139999999999999</v>
      </c>
      <c r="AD100" s="36">
        <v>3237724</v>
      </c>
      <c r="AE100" s="36">
        <v>2323346</v>
      </c>
      <c r="AF100" s="39">
        <v>0.71760000000000002</v>
      </c>
      <c r="AG100" s="36">
        <v>2224268</v>
      </c>
      <c r="AH100" s="36">
        <v>1644963</v>
      </c>
      <c r="AI100" s="39">
        <v>0.73960000000000004</v>
      </c>
    </row>
    <row r="101" spans="1:35" ht="14" x14ac:dyDescent="0.2">
      <c r="A101" s="1" t="s">
        <v>231</v>
      </c>
      <c r="B101" s="1" t="s">
        <v>429</v>
      </c>
      <c r="C101" s="1" t="s">
        <v>433</v>
      </c>
      <c r="D101" s="1" t="s">
        <v>232</v>
      </c>
      <c r="E101" s="25">
        <v>908</v>
      </c>
      <c r="F101" s="21">
        <v>201334.000692</v>
      </c>
      <c r="G101" s="20">
        <f t="shared" si="15"/>
        <v>102366.00018999999</v>
      </c>
      <c r="H101" s="24">
        <f t="shared" si="16"/>
        <v>0.508438712975257</v>
      </c>
      <c r="I101" s="12">
        <v>366</v>
      </c>
      <c r="J101" s="12">
        <v>82099.000079999998</v>
      </c>
      <c r="K101" s="13">
        <f t="shared" si="17"/>
        <v>0.40777513881321387</v>
      </c>
      <c r="L101" s="4">
        <v>70</v>
      </c>
      <c r="M101" s="4">
        <v>19568.000106</v>
      </c>
      <c r="N101" s="17">
        <f t="shared" si="18"/>
        <v>9.7191731345641186E-2</v>
      </c>
      <c r="O101" s="9">
        <v>4</v>
      </c>
      <c r="P101" s="9">
        <v>699.00000399999999</v>
      </c>
      <c r="Q101" s="18">
        <f t="shared" si="19"/>
        <v>3.4718428164020221E-3</v>
      </c>
      <c r="R101" s="36">
        <v>3231841</v>
      </c>
      <c r="S101" s="36">
        <v>1827312</v>
      </c>
      <c r="T101" s="39">
        <v>0.56540000000000001</v>
      </c>
      <c r="U101" s="36">
        <v>3126910</v>
      </c>
      <c r="V101" s="36">
        <v>1714654</v>
      </c>
      <c r="W101" s="39">
        <v>0.5484</v>
      </c>
      <c r="X101" s="36">
        <v>2990916</v>
      </c>
      <c r="Y101" s="36">
        <v>1688922</v>
      </c>
      <c r="Z101" s="39">
        <v>0.56469999999999998</v>
      </c>
      <c r="AA101" s="36">
        <v>3019122</v>
      </c>
      <c r="AB101" s="36">
        <v>1603970</v>
      </c>
      <c r="AC101" s="39">
        <v>0.53129999999999999</v>
      </c>
      <c r="AD101" s="36">
        <v>2784819</v>
      </c>
      <c r="AE101" s="36">
        <v>1570189</v>
      </c>
      <c r="AF101" s="39">
        <v>0.56379999999999997</v>
      </c>
      <c r="AG101" s="36">
        <v>1905071</v>
      </c>
      <c r="AH101" s="36">
        <v>1140818</v>
      </c>
      <c r="AI101" s="39">
        <v>0.5988</v>
      </c>
    </row>
    <row r="102" spans="1:35" ht="14" x14ac:dyDescent="0.2">
      <c r="A102" s="1" t="s">
        <v>233</v>
      </c>
      <c r="B102" s="1" t="s">
        <v>429</v>
      </c>
      <c r="C102" s="1" t="s">
        <v>433</v>
      </c>
      <c r="D102" s="1" t="s">
        <v>234</v>
      </c>
      <c r="E102" s="25">
        <v>525</v>
      </c>
      <c r="F102" s="21">
        <v>142050.00076699999</v>
      </c>
      <c r="G102" s="20">
        <f t="shared" si="15"/>
        <v>79488.000563000009</v>
      </c>
      <c r="H102" s="24">
        <f t="shared" si="16"/>
        <v>0.55957761445831733</v>
      </c>
      <c r="I102" s="12">
        <v>239</v>
      </c>
      <c r="J102" s="12">
        <v>67758.000524000003</v>
      </c>
      <c r="K102" s="13">
        <f t="shared" si="17"/>
        <v>0.47700105707948043</v>
      </c>
      <c r="L102" s="4">
        <v>37</v>
      </c>
      <c r="M102" s="4">
        <v>10452.000023000001</v>
      </c>
      <c r="N102" s="17">
        <f t="shared" si="18"/>
        <v>7.3579725213406208E-2</v>
      </c>
      <c r="O102" s="9">
        <v>8</v>
      </c>
      <c r="P102" s="9">
        <v>1278.000016</v>
      </c>
      <c r="Q102" s="18">
        <f t="shared" si="19"/>
        <v>8.9968321654306915E-3</v>
      </c>
      <c r="R102" s="36">
        <v>3082412</v>
      </c>
      <c r="S102" s="36">
        <v>2018279</v>
      </c>
      <c r="T102" s="39">
        <v>0.65480000000000005</v>
      </c>
      <c r="U102" s="36">
        <v>3296387</v>
      </c>
      <c r="V102" s="36">
        <v>2011590</v>
      </c>
      <c r="W102" s="39">
        <v>0.61019999999999996</v>
      </c>
      <c r="X102" s="36">
        <v>3115472</v>
      </c>
      <c r="Y102" s="36">
        <v>1775951</v>
      </c>
      <c r="Z102" s="39">
        <v>0.56999999999999995</v>
      </c>
      <c r="AA102" s="36">
        <v>3110376</v>
      </c>
      <c r="AB102" s="36">
        <v>1711214</v>
      </c>
      <c r="AC102" s="39">
        <v>0.55020000000000002</v>
      </c>
      <c r="AD102" s="36">
        <v>2831230</v>
      </c>
      <c r="AE102" s="36">
        <v>1432091</v>
      </c>
      <c r="AF102" s="39">
        <v>0.50580000000000003</v>
      </c>
      <c r="AG102" s="36">
        <v>2015473</v>
      </c>
      <c r="AH102" s="36">
        <v>1077316</v>
      </c>
      <c r="AI102" s="39">
        <v>0.53449999999999998</v>
      </c>
    </row>
    <row r="103" spans="1:35" ht="14" x14ac:dyDescent="0.2">
      <c r="A103" s="1" t="s">
        <v>235</v>
      </c>
      <c r="B103" s="1" t="s">
        <v>429</v>
      </c>
      <c r="C103" s="1" t="s">
        <v>433</v>
      </c>
      <c r="D103" s="1" t="s">
        <v>236</v>
      </c>
      <c r="E103" s="25">
        <v>594</v>
      </c>
      <c r="F103" s="21">
        <v>150310.00052</v>
      </c>
      <c r="G103" s="20">
        <f t="shared" si="15"/>
        <v>81482.000174000001</v>
      </c>
      <c r="H103" s="24">
        <f t="shared" si="16"/>
        <v>0.54209300706614083</v>
      </c>
      <c r="I103" s="12">
        <v>271</v>
      </c>
      <c r="J103" s="12">
        <v>69549.000195999994</v>
      </c>
      <c r="K103" s="13">
        <f t="shared" si="17"/>
        <v>0.46270374529568253</v>
      </c>
      <c r="L103" s="4">
        <v>35</v>
      </c>
      <c r="M103" s="4">
        <v>10041.999948999999</v>
      </c>
      <c r="N103" s="17">
        <f t="shared" si="18"/>
        <v>6.6808594998732818E-2</v>
      </c>
      <c r="O103" s="9">
        <v>9</v>
      </c>
      <c r="P103" s="9">
        <v>1891.000029</v>
      </c>
      <c r="Q103" s="18">
        <f t="shared" si="19"/>
        <v>1.2580666771725457E-2</v>
      </c>
      <c r="R103" s="36">
        <v>2805679</v>
      </c>
      <c r="S103" s="36">
        <v>1957213</v>
      </c>
      <c r="T103" s="39">
        <v>0.6976</v>
      </c>
      <c r="U103" s="36">
        <v>2686280</v>
      </c>
      <c r="V103" s="36">
        <v>1774065</v>
      </c>
      <c r="W103" s="39">
        <v>0.66039999999999999</v>
      </c>
      <c r="X103" s="36">
        <v>3060919</v>
      </c>
      <c r="Y103" s="36">
        <v>2127611</v>
      </c>
      <c r="Z103" s="39">
        <v>0.69510000000000005</v>
      </c>
      <c r="AA103" s="36">
        <v>2422225</v>
      </c>
      <c r="AB103" s="36">
        <v>1417960</v>
      </c>
      <c r="AC103" s="39">
        <v>0.58540000000000003</v>
      </c>
      <c r="AD103" s="36">
        <v>2501670</v>
      </c>
      <c r="AE103" s="36">
        <v>1422826</v>
      </c>
      <c r="AF103" s="39">
        <v>0.56879999999999997</v>
      </c>
      <c r="AG103" s="36">
        <v>1806924</v>
      </c>
      <c r="AH103" s="36">
        <v>1103027</v>
      </c>
      <c r="AI103" s="39">
        <v>0.61040000000000005</v>
      </c>
    </row>
    <row r="104" spans="1:35" ht="14" x14ac:dyDescent="0.2">
      <c r="A104" s="1" t="s">
        <v>237</v>
      </c>
      <c r="B104" s="1" t="s">
        <v>429</v>
      </c>
      <c r="C104" s="1" t="s">
        <v>433</v>
      </c>
      <c r="D104" s="1" t="s">
        <v>238</v>
      </c>
      <c r="E104" s="25">
        <v>648</v>
      </c>
      <c r="F104" s="21">
        <v>174067.00040300001</v>
      </c>
      <c r="G104" s="20">
        <f t="shared" si="15"/>
        <v>90939.000176999994</v>
      </c>
      <c r="H104" s="24">
        <f t="shared" si="16"/>
        <v>0.52243676266298589</v>
      </c>
      <c r="I104" s="12">
        <v>266</v>
      </c>
      <c r="J104" s="12">
        <v>69514.000157999995</v>
      </c>
      <c r="K104" s="13">
        <f t="shared" si="17"/>
        <v>0.39935197364842934</v>
      </c>
      <c r="L104" s="4">
        <v>78</v>
      </c>
      <c r="M104" s="4">
        <v>20832.000005999998</v>
      </c>
      <c r="N104" s="17">
        <f t="shared" si="18"/>
        <v>0.11967805475920043</v>
      </c>
      <c r="O104" s="9">
        <v>4</v>
      </c>
      <c r="P104" s="9">
        <v>593.00001299999997</v>
      </c>
      <c r="Q104" s="18">
        <f t="shared" si="19"/>
        <v>3.4067342553561904E-3</v>
      </c>
      <c r="R104" s="36">
        <v>2856368</v>
      </c>
      <c r="S104" s="36">
        <v>1855774</v>
      </c>
      <c r="T104" s="39">
        <v>0.64970000000000006</v>
      </c>
      <c r="U104" s="36">
        <v>2784808</v>
      </c>
      <c r="V104" s="36">
        <v>1683418</v>
      </c>
      <c r="W104" s="39">
        <v>0.60450000000000004</v>
      </c>
      <c r="X104" s="36">
        <v>2917173</v>
      </c>
      <c r="Y104" s="36">
        <v>1782779</v>
      </c>
      <c r="Z104" s="39">
        <v>0.61109999999999998</v>
      </c>
      <c r="AA104" s="36">
        <v>2327313</v>
      </c>
      <c r="AB104" s="36">
        <v>1269166</v>
      </c>
      <c r="AC104" s="39">
        <v>0.54530000000000001</v>
      </c>
      <c r="AD104" s="36">
        <v>2171215</v>
      </c>
      <c r="AE104" s="36">
        <v>1154399</v>
      </c>
      <c r="AF104" s="39">
        <v>0.53169999999999995</v>
      </c>
      <c r="AG104" s="36">
        <v>1594834</v>
      </c>
      <c r="AH104" s="36">
        <v>912216</v>
      </c>
      <c r="AI104" s="39">
        <v>0.57199999999999995</v>
      </c>
    </row>
    <row r="105" spans="1:35" ht="14" x14ac:dyDescent="0.2">
      <c r="A105" s="1" t="s">
        <v>239</v>
      </c>
      <c r="B105" s="1" t="s">
        <v>429</v>
      </c>
      <c r="C105" s="1" t="s">
        <v>438</v>
      </c>
      <c r="D105" s="1" t="s">
        <v>240</v>
      </c>
      <c r="E105" s="25">
        <v>481</v>
      </c>
      <c r="F105" s="21">
        <v>117270.000275</v>
      </c>
      <c r="G105" s="20">
        <f t="shared" si="15"/>
        <v>58489.000127999992</v>
      </c>
      <c r="H105" s="24">
        <f t="shared" si="16"/>
        <v>0.49875500972833942</v>
      </c>
      <c r="I105" s="12">
        <v>206</v>
      </c>
      <c r="J105" s="12">
        <v>49479.000100999998</v>
      </c>
      <c r="K105" s="13">
        <f t="shared" si="17"/>
        <v>0.42192376554081151</v>
      </c>
      <c r="L105" s="4">
        <v>24</v>
      </c>
      <c r="M105" s="4">
        <v>6856.0000149999996</v>
      </c>
      <c r="N105" s="17">
        <f t="shared" si="18"/>
        <v>5.8463375108063202E-2</v>
      </c>
      <c r="O105" s="9">
        <v>13</v>
      </c>
      <c r="P105" s="9">
        <v>2154.000012</v>
      </c>
      <c r="Q105" s="18">
        <f t="shared" si="19"/>
        <v>1.8367869079464791E-2</v>
      </c>
      <c r="R105" s="36">
        <v>3199049</v>
      </c>
      <c r="S105" s="36">
        <v>1798125</v>
      </c>
      <c r="T105" s="39">
        <v>0.56210000000000004</v>
      </c>
      <c r="U105" s="36">
        <v>3106011</v>
      </c>
      <c r="V105" s="36">
        <v>1676079</v>
      </c>
      <c r="W105" s="39">
        <v>0.53959999999999997</v>
      </c>
      <c r="X105" s="36">
        <v>2960628</v>
      </c>
      <c r="Y105" s="36">
        <v>1735607</v>
      </c>
      <c r="Z105" s="39">
        <v>0.58620000000000005</v>
      </c>
      <c r="AA105" s="36">
        <v>2748130</v>
      </c>
      <c r="AB105" s="36">
        <v>1353782</v>
      </c>
      <c r="AC105" s="39">
        <v>0.49259999999999998</v>
      </c>
      <c r="AD105" s="36">
        <v>2356149</v>
      </c>
      <c r="AE105" s="36">
        <v>1233541</v>
      </c>
      <c r="AF105" s="39">
        <v>0.52349999999999997</v>
      </c>
      <c r="AG105" s="36">
        <v>1860011</v>
      </c>
      <c r="AH105" s="36">
        <v>1087791</v>
      </c>
      <c r="AI105" s="39">
        <v>0.58479999999999999</v>
      </c>
    </row>
    <row r="106" spans="1:35" ht="14" x14ac:dyDescent="0.2">
      <c r="A106" s="1" t="s">
        <v>241</v>
      </c>
      <c r="B106" s="1" t="s">
        <v>430</v>
      </c>
      <c r="C106" s="1" t="s">
        <v>433</v>
      </c>
      <c r="D106" s="1" t="s">
        <v>242</v>
      </c>
      <c r="E106" s="25">
        <v>729</v>
      </c>
      <c r="F106" s="21">
        <v>208901.00044800001</v>
      </c>
      <c r="G106" s="20">
        <f t="shared" si="15"/>
        <v>193905.000531</v>
      </c>
      <c r="H106" s="24">
        <f t="shared" si="16"/>
        <v>0.92821480086337438</v>
      </c>
      <c r="I106" s="12">
        <v>612</v>
      </c>
      <c r="J106" s="12">
        <v>172973.00054800001</v>
      </c>
      <c r="K106" s="13">
        <f t="shared" si="17"/>
        <v>0.82801422768224964</v>
      </c>
      <c r="L106" s="4">
        <v>56</v>
      </c>
      <c r="M106" s="4">
        <v>17307.999964999999</v>
      </c>
      <c r="N106" s="17">
        <f t="shared" si="18"/>
        <v>8.2852642772806323E-2</v>
      </c>
      <c r="O106" s="9">
        <v>13</v>
      </c>
      <c r="P106" s="9">
        <v>3624.0000180000002</v>
      </c>
      <c r="Q106" s="18">
        <f t="shared" si="19"/>
        <v>1.7347930408318425E-2</v>
      </c>
      <c r="R106" s="36">
        <v>3986430</v>
      </c>
      <c r="S106" s="36">
        <v>2653957</v>
      </c>
      <c r="T106" s="39">
        <v>0.66569999999999996</v>
      </c>
      <c r="U106" s="36">
        <v>3965267</v>
      </c>
      <c r="V106" s="36">
        <v>2634756</v>
      </c>
      <c r="W106" s="39">
        <v>0.66449999999999998</v>
      </c>
      <c r="X106" s="36">
        <v>4017083</v>
      </c>
      <c r="Y106" s="36">
        <v>2814886</v>
      </c>
      <c r="Z106" s="39">
        <v>0.70069999999999999</v>
      </c>
      <c r="AA106" s="36">
        <v>3377313</v>
      </c>
      <c r="AB106" s="36">
        <v>2021741</v>
      </c>
      <c r="AC106" s="39">
        <v>0.59860000000000002</v>
      </c>
      <c r="AD106" s="36">
        <v>3053446</v>
      </c>
      <c r="AE106" s="36">
        <v>1938552</v>
      </c>
      <c r="AF106" s="39">
        <v>0.63490000000000002</v>
      </c>
      <c r="AG106" s="36">
        <v>2321524</v>
      </c>
      <c r="AH106" s="36">
        <v>1564964</v>
      </c>
      <c r="AI106" s="39">
        <v>0.67410000000000003</v>
      </c>
    </row>
    <row r="107" spans="1:35" ht="14" x14ac:dyDescent="0.2">
      <c r="A107" s="1" t="s">
        <v>243</v>
      </c>
      <c r="B107" s="1" t="s">
        <v>430</v>
      </c>
      <c r="C107" s="1" t="s">
        <v>433</v>
      </c>
      <c r="D107" s="1" t="s">
        <v>244</v>
      </c>
      <c r="E107" s="25">
        <v>760</v>
      </c>
      <c r="F107" s="21">
        <v>203333.000447</v>
      </c>
      <c r="G107" s="20">
        <f t="shared" si="15"/>
        <v>162178.00027000002</v>
      </c>
      <c r="H107" s="24">
        <f t="shared" si="16"/>
        <v>0.79759802842368777</v>
      </c>
      <c r="I107" s="12">
        <v>563</v>
      </c>
      <c r="J107" s="12">
        <v>144481.00011600001</v>
      </c>
      <c r="K107" s="13">
        <f t="shared" si="17"/>
        <v>0.71056345894851369</v>
      </c>
      <c r="L107" s="4">
        <v>56</v>
      </c>
      <c r="M107" s="4">
        <v>15770.000096</v>
      </c>
      <c r="N107" s="17">
        <f t="shared" si="18"/>
        <v>7.7557504494262103E-2</v>
      </c>
      <c r="O107" s="9">
        <v>10</v>
      </c>
      <c r="P107" s="9">
        <v>1927.0000580000001</v>
      </c>
      <c r="Q107" s="18">
        <f t="shared" si="19"/>
        <v>9.4770649809118642E-3</v>
      </c>
      <c r="R107" s="36">
        <v>3822093</v>
      </c>
      <c r="S107" s="36">
        <v>3154176</v>
      </c>
      <c r="T107" s="39">
        <v>0.82520000000000004</v>
      </c>
      <c r="U107" s="36">
        <v>3785065</v>
      </c>
      <c r="V107" s="36">
        <v>2832941</v>
      </c>
      <c r="W107" s="39">
        <v>0.74850000000000005</v>
      </c>
      <c r="X107" s="36">
        <v>4287401</v>
      </c>
      <c r="Y107" s="36">
        <v>3334418</v>
      </c>
      <c r="Z107" s="39">
        <v>0.77769999999999995</v>
      </c>
      <c r="AA107" s="36">
        <v>3280667</v>
      </c>
      <c r="AB107" s="36">
        <v>2228579</v>
      </c>
      <c r="AC107" s="39">
        <v>0.67930000000000001</v>
      </c>
      <c r="AD107" s="36">
        <v>3251226</v>
      </c>
      <c r="AE107" s="36">
        <v>2325231</v>
      </c>
      <c r="AF107" s="39">
        <v>0.71519999999999995</v>
      </c>
      <c r="AG107" s="36">
        <v>2183963</v>
      </c>
      <c r="AH107" s="36">
        <v>1608333</v>
      </c>
      <c r="AI107" s="39">
        <v>0.73640000000000005</v>
      </c>
    </row>
    <row r="108" spans="1:35" ht="14" x14ac:dyDescent="0.2">
      <c r="A108" s="1" t="s">
        <v>245</v>
      </c>
      <c r="B108" s="1" t="s">
        <v>429</v>
      </c>
      <c r="C108" s="1" t="s">
        <v>433</v>
      </c>
      <c r="D108" s="1" t="s">
        <v>246</v>
      </c>
      <c r="E108" s="25">
        <v>1015</v>
      </c>
      <c r="F108" s="21">
        <v>278060.000551</v>
      </c>
      <c r="G108" s="20">
        <f t="shared" si="15"/>
        <v>143511.00057600002</v>
      </c>
      <c r="H108" s="24">
        <f t="shared" si="16"/>
        <v>0.51611522797820808</v>
      </c>
      <c r="I108" s="12">
        <v>421</v>
      </c>
      <c r="J108" s="12">
        <v>121506.000444</v>
      </c>
      <c r="K108" s="13">
        <f t="shared" si="17"/>
        <v>0.4369776314580498</v>
      </c>
      <c r="L108" s="4">
        <v>64</v>
      </c>
      <c r="M108" s="4">
        <v>15492.000110999999</v>
      </c>
      <c r="N108" s="17">
        <f t="shared" si="18"/>
        <v>5.5714594261315031E-2</v>
      </c>
      <c r="O108" s="9">
        <v>27</v>
      </c>
      <c r="P108" s="9">
        <v>6513.0000209999998</v>
      </c>
      <c r="Q108" s="18">
        <f t="shared" si="19"/>
        <v>2.3423002258843147E-2</v>
      </c>
      <c r="R108" s="36">
        <v>4345062</v>
      </c>
      <c r="S108" s="36">
        <v>2613728</v>
      </c>
      <c r="T108" s="39">
        <v>0.60150000000000003</v>
      </c>
      <c r="U108" s="36">
        <v>4252121</v>
      </c>
      <c r="V108" s="36">
        <v>2508024</v>
      </c>
      <c r="W108" s="39">
        <v>0.58979999999999999</v>
      </c>
      <c r="X108" s="36">
        <v>4767369</v>
      </c>
      <c r="Y108" s="36">
        <v>2882311</v>
      </c>
      <c r="Z108" s="39">
        <v>0.60460000000000003</v>
      </c>
      <c r="AA108" s="36">
        <v>3987428</v>
      </c>
      <c r="AB108" s="36">
        <v>1970233</v>
      </c>
      <c r="AC108" s="39">
        <v>0.49409999999999998</v>
      </c>
      <c r="AD108" s="36">
        <v>3586293</v>
      </c>
      <c r="AE108" s="36">
        <v>1802247</v>
      </c>
      <c r="AF108" s="39">
        <v>0.50249999999999995</v>
      </c>
      <c r="AG108" s="36">
        <v>2703633</v>
      </c>
      <c r="AH108" s="36">
        <v>1565796</v>
      </c>
      <c r="AI108" s="39">
        <v>0.57909999999999995</v>
      </c>
    </row>
    <row r="109" spans="1:35" ht="14" x14ac:dyDescent="0.2">
      <c r="A109" s="1" t="s">
        <v>247</v>
      </c>
      <c r="B109" s="1" t="s">
        <v>429</v>
      </c>
      <c r="C109" s="1" t="s">
        <v>435</v>
      </c>
      <c r="D109" s="1" t="s">
        <v>248</v>
      </c>
      <c r="E109" s="25">
        <v>598</v>
      </c>
      <c r="F109" s="21">
        <v>176970.000485</v>
      </c>
      <c r="G109" s="20">
        <f t="shared" si="15"/>
        <v>93248.000226999997</v>
      </c>
      <c r="H109" s="24">
        <f t="shared" si="16"/>
        <v>0.5269141660815202</v>
      </c>
      <c r="I109" s="12">
        <v>266</v>
      </c>
      <c r="J109" s="12">
        <v>79717.000224999996</v>
      </c>
      <c r="K109" s="13">
        <f t="shared" si="17"/>
        <v>0.45045487939497869</v>
      </c>
      <c r="L109" s="4">
        <v>42</v>
      </c>
      <c r="M109" s="4">
        <v>12094.999994</v>
      </c>
      <c r="N109" s="17">
        <f t="shared" si="18"/>
        <v>6.8344916996398913E-2</v>
      </c>
      <c r="O109" s="9">
        <v>6</v>
      </c>
      <c r="P109" s="9">
        <v>1436.000008</v>
      </c>
      <c r="Q109" s="18">
        <f t="shared" si="19"/>
        <v>8.1143696901425713E-3</v>
      </c>
      <c r="R109" s="36">
        <v>2871137</v>
      </c>
      <c r="S109" s="36">
        <v>1976033</v>
      </c>
      <c r="T109" s="39">
        <v>0.68820000000000003</v>
      </c>
      <c r="U109" s="36">
        <v>2885354</v>
      </c>
      <c r="V109" s="36">
        <v>1737178</v>
      </c>
      <c r="W109" s="39">
        <v>0.60209999999999997</v>
      </c>
      <c r="X109" s="36">
        <v>3157327</v>
      </c>
      <c r="Y109" s="36">
        <v>1996483</v>
      </c>
      <c r="Z109" s="39">
        <v>0.63229999999999997</v>
      </c>
      <c r="AA109" s="36">
        <v>2717250</v>
      </c>
      <c r="AB109" s="36">
        <v>1381259</v>
      </c>
      <c r="AC109" s="39">
        <v>0.50829999999999997</v>
      </c>
      <c r="AD109" s="36">
        <v>2521621</v>
      </c>
      <c r="AE109" s="36">
        <v>1262497</v>
      </c>
      <c r="AF109" s="39">
        <v>0.50070000000000003</v>
      </c>
      <c r="AG109" s="36">
        <v>1797975</v>
      </c>
      <c r="AH109" s="36">
        <v>982874</v>
      </c>
      <c r="AI109" s="39">
        <v>0.54669999999999996</v>
      </c>
    </row>
    <row r="110" spans="1:35" ht="14" x14ac:dyDescent="0.2">
      <c r="A110" s="1" t="s">
        <v>249</v>
      </c>
      <c r="B110" s="1" t="s">
        <v>429</v>
      </c>
      <c r="C110" s="1" t="s">
        <v>435</v>
      </c>
      <c r="D110" s="1" t="s">
        <v>250</v>
      </c>
      <c r="E110" s="25">
        <v>923</v>
      </c>
      <c r="F110" s="21">
        <v>229250.00059099999</v>
      </c>
      <c r="G110" s="20">
        <f t="shared" si="15"/>
        <v>126269.000288</v>
      </c>
      <c r="H110" s="24">
        <f t="shared" si="16"/>
        <v>0.55079171194103427</v>
      </c>
      <c r="I110" s="12">
        <v>412</v>
      </c>
      <c r="J110" s="12">
        <v>103334.00012300001</v>
      </c>
      <c r="K110" s="13">
        <f t="shared" si="17"/>
        <v>0.45074809097756985</v>
      </c>
      <c r="L110" s="4">
        <v>77</v>
      </c>
      <c r="M110" s="4">
        <v>19553.000106</v>
      </c>
      <c r="N110" s="17">
        <f t="shared" si="18"/>
        <v>8.5291167090917872E-2</v>
      </c>
      <c r="O110" s="9">
        <v>11</v>
      </c>
      <c r="P110" s="9">
        <v>3382.000059</v>
      </c>
      <c r="Q110" s="18">
        <f t="shared" si="19"/>
        <v>1.4752453872546565E-2</v>
      </c>
      <c r="R110" s="36">
        <v>3201783</v>
      </c>
      <c r="S110" s="36">
        <v>1813077</v>
      </c>
      <c r="T110" s="39">
        <v>0.56630000000000003</v>
      </c>
      <c r="U110" s="36">
        <v>3155587</v>
      </c>
      <c r="V110" s="36">
        <v>1791100</v>
      </c>
      <c r="W110" s="39">
        <v>0.56759999999999999</v>
      </c>
      <c r="X110" s="36">
        <v>3265435</v>
      </c>
      <c r="Y110" s="36">
        <v>1885992</v>
      </c>
      <c r="Z110" s="39">
        <v>0.5776</v>
      </c>
      <c r="AA110" s="36">
        <v>2932250</v>
      </c>
      <c r="AB110" s="36">
        <v>1391246</v>
      </c>
      <c r="AC110" s="39">
        <v>0.47449999999999998</v>
      </c>
      <c r="AD110" s="36">
        <v>2654623</v>
      </c>
      <c r="AE110" s="36">
        <v>1323632</v>
      </c>
      <c r="AF110" s="39">
        <v>0.49859999999999999</v>
      </c>
      <c r="AG110" s="36">
        <v>1806223</v>
      </c>
      <c r="AH110" s="36">
        <v>1011378</v>
      </c>
      <c r="AI110" s="39">
        <v>0.55989999999999995</v>
      </c>
    </row>
    <row r="111" spans="1:35" ht="14" x14ac:dyDescent="0.2">
      <c r="A111" s="1" t="s">
        <v>251</v>
      </c>
      <c r="B111" s="1" t="s">
        <v>429</v>
      </c>
      <c r="C111" s="1" t="s">
        <v>435</v>
      </c>
      <c r="D111" s="1" t="s">
        <v>252</v>
      </c>
      <c r="E111" s="25">
        <v>400</v>
      </c>
      <c r="F111" s="21">
        <v>82415.000450000007</v>
      </c>
      <c r="G111" s="20">
        <f t="shared" si="15"/>
        <v>43190.000119999997</v>
      </c>
      <c r="H111" s="24">
        <f t="shared" si="16"/>
        <v>0.5240550856540096</v>
      </c>
      <c r="I111" s="12">
        <v>169</v>
      </c>
      <c r="J111" s="12">
        <v>32738.000071999999</v>
      </c>
      <c r="K111" s="13">
        <f t="shared" si="17"/>
        <v>0.39723351202141499</v>
      </c>
      <c r="L111" s="4">
        <v>41</v>
      </c>
      <c r="M111" s="4">
        <v>9723.0000459999992</v>
      </c>
      <c r="N111" s="17">
        <f t="shared" si="18"/>
        <v>0.11797609649834077</v>
      </c>
      <c r="O111" s="9">
        <v>4</v>
      </c>
      <c r="P111" s="9">
        <v>729.00000199999999</v>
      </c>
      <c r="Q111" s="18">
        <f t="shared" si="19"/>
        <v>8.8454771342539006E-3</v>
      </c>
      <c r="R111" s="36">
        <v>2473242</v>
      </c>
      <c r="S111" s="36">
        <v>1556469</v>
      </c>
      <c r="T111" s="39">
        <v>0.62929999999999997</v>
      </c>
      <c r="U111" s="36">
        <v>2504244</v>
      </c>
      <c r="V111" s="36">
        <v>1473981</v>
      </c>
      <c r="W111" s="39">
        <v>0.58860000000000001</v>
      </c>
      <c r="X111" s="36">
        <v>2361835</v>
      </c>
      <c r="Y111" s="36">
        <v>1391185</v>
      </c>
      <c r="Z111" s="39">
        <v>0.58899999999999997</v>
      </c>
      <c r="AA111" s="36">
        <v>2505604</v>
      </c>
      <c r="AB111" s="36">
        <v>1330935</v>
      </c>
      <c r="AC111" s="39">
        <v>0.53120000000000001</v>
      </c>
      <c r="AD111" s="36">
        <v>2129293</v>
      </c>
      <c r="AE111" s="36">
        <v>1162418</v>
      </c>
      <c r="AF111" s="39">
        <v>0.54590000000000005</v>
      </c>
      <c r="AG111" s="36">
        <v>1496805</v>
      </c>
      <c r="AH111" s="36">
        <v>828912</v>
      </c>
      <c r="AI111" s="39">
        <v>0.55379999999999996</v>
      </c>
    </row>
    <row r="112" spans="1:35" ht="14" x14ac:dyDescent="0.2">
      <c r="A112" s="1" t="s">
        <v>253</v>
      </c>
      <c r="B112" s="1" t="s">
        <v>429</v>
      </c>
      <c r="C112" s="1" t="s">
        <v>433</v>
      </c>
      <c r="D112" s="1" t="s">
        <v>254</v>
      </c>
      <c r="E112" s="25">
        <v>719</v>
      </c>
      <c r="F112" s="21">
        <v>162413.00038700001</v>
      </c>
      <c r="G112" s="20">
        <f t="shared" si="15"/>
        <v>87895.000352000003</v>
      </c>
      <c r="H112" s="24">
        <f t="shared" si="16"/>
        <v>0.54118204911283296</v>
      </c>
      <c r="I112" s="12">
        <v>302</v>
      </c>
      <c r="J112" s="12">
        <v>74730.000283000001</v>
      </c>
      <c r="K112" s="13">
        <f t="shared" si="17"/>
        <v>0.46012326664080028</v>
      </c>
      <c r="L112" s="4">
        <v>54</v>
      </c>
      <c r="M112" s="4">
        <v>12104.000077000001</v>
      </c>
      <c r="N112" s="17">
        <f t="shared" si="18"/>
        <v>7.4526054245401638E-2</v>
      </c>
      <c r="O112" s="9">
        <v>6</v>
      </c>
      <c r="P112" s="9">
        <v>1060.999992</v>
      </c>
      <c r="Q112" s="18">
        <f t="shared" si="19"/>
        <v>6.5327282266310835E-3</v>
      </c>
      <c r="R112" s="36">
        <v>2918481</v>
      </c>
      <c r="S112" s="36">
        <v>1736159</v>
      </c>
      <c r="T112" s="39">
        <v>0.59489999999999998</v>
      </c>
      <c r="U112" s="36">
        <v>2625517</v>
      </c>
      <c r="V112" s="36">
        <v>1495700</v>
      </c>
      <c r="W112" s="39">
        <v>0.56969999999999998</v>
      </c>
      <c r="X112" s="36">
        <v>2373786</v>
      </c>
      <c r="Y112" s="36">
        <v>1352745</v>
      </c>
      <c r="Z112" s="39">
        <v>0.56989999999999996</v>
      </c>
      <c r="AA112" s="36">
        <v>2597665</v>
      </c>
      <c r="AB112" s="36">
        <v>1322030</v>
      </c>
      <c r="AC112" s="39">
        <v>0.50890000000000002</v>
      </c>
      <c r="AD112" s="36">
        <v>2295673</v>
      </c>
      <c r="AE112" s="36">
        <v>1149527</v>
      </c>
      <c r="AF112" s="39">
        <v>0.50070000000000003</v>
      </c>
      <c r="AG112" s="36">
        <v>1700605</v>
      </c>
      <c r="AH112" s="36">
        <v>1001635</v>
      </c>
      <c r="AI112" s="39">
        <v>0.58899999999999997</v>
      </c>
    </row>
    <row r="113" spans="1:35" ht="14" x14ac:dyDescent="0.2">
      <c r="A113" s="1" t="s">
        <v>255</v>
      </c>
      <c r="B113" s="1" t="s">
        <v>430</v>
      </c>
      <c r="C113" s="1" t="s">
        <v>433</v>
      </c>
      <c r="D113" s="1" t="s">
        <v>256</v>
      </c>
      <c r="E113" s="25">
        <v>1046</v>
      </c>
      <c r="F113" s="21">
        <v>298662.00066100003</v>
      </c>
      <c r="G113" s="20">
        <f t="shared" si="15"/>
        <v>189101.00047899998</v>
      </c>
      <c r="H113" s="24">
        <f t="shared" si="16"/>
        <v>0.63316056297915646</v>
      </c>
      <c r="I113" s="12">
        <v>599</v>
      </c>
      <c r="J113" s="12">
        <v>167037.00046499999</v>
      </c>
      <c r="K113" s="13">
        <f t="shared" si="17"/>
        <v>0.5592844087808726</v>
      </c>
      <c r="L113" s="4">
        <v>65</v>
      </c>
      <c r="M113" s="4">
        <v>21189.000004000001</v>
      </c>
      <c r="N113" s="17">
        <f t="shared" si="18"/>
        <v>7.0946420894202861E-2</v>
      </c>
      <c r="O113" s="9">
        <v>4</v>
      </c>
      <c r="P113" s="9">
        <v>875.00000999999997</v>
      </c>
      <c r="Q113" s="18">
        <f t="shared" si="19"/>
        <v>2.929733304081022E-3</v>
      </c>
      <c r="R113" s="36">
        <v>5247320</v>
      </c>
      <c r="S113" s="36">
        <v>3503428</v>
      </c>
      <c r="T113" s="39">
        <v>0.66769999999999996</v>
      </c>
      <c r="U113" s="36">
        <v>4739595</v>
      </c>
      <c r="V113" s="36">
        <v>3114524</v>
      </c>
      <c r="W113" s="39">
        <v>0.65710000000000002</v>
      </c>
      <c r="X113" s="36">
        <v>5390626</v>
      </c>
      <c r="Y113" s="36">
        <v>3729854</v>
      </c>
      <c r="Z113" s="39">
        <v>0.69189999999999996</v>
      </c>
      <c r="AA113" s="36">
        <v>4590805</v>
      </c>
      <c r="AB113" s="36">
        <v>2621623</v>
      </c>
      <c r="AC113" s="39">
        <v>0.57110000000000005</v>
      </c>
      <c r="AD113" s="36">
        <v>4277261</v>
      </c>
      <c r="AE113" s="36">
        <v>2641695</v>
      </c>
      <c r="AF113" s="39">
        <v>0.61760000000000004</v>
      </c>
      <c r="AG113" s="36">
        <v>3022687</v>
      </c>
      <c r="AH113" s="36">
        <v>1948208</v>
      </c>
      <c r="AI113" s="39">
        <v>0.64449999999999996</v>
      </c>
    </row>
    <row r="114" spans="1:35" ht="14" x14ac:dyDescent="0.2">
      <c r="A114" s="1" t="s">
        <v>257</v>
      </c>
      <c r="B114" s="1" t="s">
        <v>429</v>
      </c>
      <c r="C114" s="1" t="s">
        <v>435</v>
      </c>
      <c r="D114" s="1" t="s">
        <v>258</v>
      </c>
      <c r="E114" s="25">
        <v>565</v>
      </c>
      <c r="F114" s="21">
        <v>149676.00054199999</v>
      </c>
      <c r="G114" s="20">
        <f t="shared" si="15"/>
        <v>67077.000098000004</v>
      </c>
      <c r="H114" s="24">
        <f t="shared" si="16"/>
        <v>0.44814799871124156</v>
      </c>
      <c r="I114" s="12">
        <v>206</v>
      </c>
      <c r="J114" s="12">
        <v>53343.000052000003</v>
      </c>
      <c r="K114" s="13">
        <f t="shared" si="17"/>
        <v>0.35638980102913448</v>
      </c>
      <c r="L114" s="4">
        <v>48</v>
      </c>
      <c r="M114" s="4">
        <v>13143.000008000001</v>
      </c>
      <c r="N114" s="17">
        <f t="shared" si="18"/>
        <v>8.7809668620267511E-2</v>
      </c>
      <c r="O114" s="9">
        <v>7</v>
      </c>
      <c r="P114" s="9">
        <v>591.00003800000002</v>
      </c>
      <c r="Q114" s="18">
        <f t="shared" si="19"/>
        <v>3.9485290618395553E-3</v>
      </c>
      <c r="R114" s="36">
        <v>1415671</v>
      </c>
      <c r="S114" s="36">
        <v>810395</v>
      </c>
      <c r="T114" s="39">
        <v>0.57240000000000002</v>
      </c>
      <c r="U114" s="36">
        <v>2341543</v>
      </c>
      <c r="V114" s="36">
        <v>1187854</v>
      </c>
      <c r="W114" s="39">
        <v>0.50729999999999997</v>
      </c>
      <c r="X114" s="36">
        <v>2029000</v>
      </c>
      <c r="Y114" s="36">
        <v>1072346</v>
      </c>
      <c r="Z114" s="39">
        <v>0.52849999999999997</v>
      </c>
      <c r="AA114" s="36">
        <v>2018322</v>
      </c>
      <c r="AB114" s="36">
        <v>981535</v>
      </c>
      <c r="AC114" s="39">
        <v>0.48630000000000001</v>
      </c>
      <c r="AD114" s="36">
        <v>1769772</v>
      </c>
      <c r="AE114" s="36">
        <v>924272</v>
      </c>
      <c r="AF114" s="39">
        <v>0.52229999999999999</v>
      </c>
      <c r="AG114" s="36">
        <v>1179475</v>
      </c>
      <c r="AH114" s="36">
        <v>654476</v>
      </c>
      <c r="AI114" s="39">
        <v>0.55489999999999995</v>
      </c>
    </row>
    <row r="115" spans="1:35" ht="14" x14ac:dyDescent="0.2">
      <c r="A115" s="1" t="s">
        <v>259</v>
      </c>
      <c r="B115" s="1" t="s">
        <v>429</v>
      </c>
      <c r="C115" s="1" t="s">
        <v>435</v>
      </c>
      <c r="D115" s="1" t="s">
        <v>260</v>
      </c>
      <c r="E115" s="25">
        <v>632</v>
      </c>
      <c r="F115" s="21">
        <v>168629.00042900001</v>
      </c>
      <c r="G115" s="20">
        <f t="shared" si="15"/>
        <v>75601.000236000007</v>
      </c>
      <c r="H115" s="24">
        <f t="shared" si="16"/>
        <v>0.44832739353057632</v>
      </c>
      <c r="I115" s="12">
        <v>217</v>
      </c>
      <c r="J115" s="12">
        <v>58120.000081999999</v>
      </c>
      <c r="K115" s="13">
        <f t="shared" si="17"/>
        <v>0.34466194980780307</v>
      </c>
      <c r="L115" s="4">
        <v>47</v>
      </c>
      <c r="M115" s="4">
        <v>14989.000167</v>
      </c>
      <c r="N115" s="17">
        <f t="shared" si="18"/>
        <v>8.8887440054007838E-2</v>
      </c>
      <c r="O115" s="9">
        <v>9</v>
      </c>
      <c r="P115" s="9">
        <v>2491.9999870000001</v>
      </c>
      <c r="Q115" s="18">
        <f t="shared" si="19"/>
        <v>1.4778003668765376E-2</v>
      </c>
      <c r="R115" s="36">
        <v>2720438</v>
      </c>
      <c r="S115" s="36">
        <v>1778957</v>
      </c>
      <c r="T115" s="39">
        <v>0.65390000000000004</v>
      </c>
      <c r="U115" s="36">
        <v>2660819</v>
      </c>
      <c r="V115" s="36">
        <v>1632309</v>
      </c>
      <c r="W115" s="39">
        <v>0.61350000000000005</v>
      </c>
      <c r="X115" s="36">
        <v>3079556</v>
      </c>
      <c r="Y115" s="36">
        <v>2041713</v>
      </c>
      <c r="Z115" s="39">
        <v>0.66300000000000003</v>
      </c>
      <c r="AA115" s="36">
        <v>2388574</v>
      </c>
      <c r="AB115" s="36">
        <v>1302370</v>
      </c>
      <c r="AC115" s="39">
        <v>0.54520000000000002</v>
      </c>
      <c r="AD115" s="36">
        <v>2239503</v>
      </c>
      <c r="AE115" s="36">
        <v>1227989</v>
      </c>
      <c r="AF115" s="39">
        <v>0.54830000000000001</v>
      </c>
      <c r="AG115" s="36">
        <v>1558894</v>
      </c>
      <c r="AH115" s="36">
        <v>927850</v>
      </c>
      <c r="AI115" s="39">
        <v>0.59519999999999995</v>
      </c>
    </row>
    <row r="116" spans="1:35" ht="14" x14ac:dyDescent="0.2">
      <c r="A116" s="1" t="s">
        <v>261</v>
      </c>
      <c r="B116" s="1" t="s">
        <v>429</v>
      </c>
      <c r="C116" s="1" t="s">
        <v>435</v>
      </c>
      <c r="D116" s="1" t="s">
        <v>262</v>
      </c>
      <c r="E116" s="25">
        <v>421</v>
      </c>
      <c r="F116" s="21">
        <v>102875.00046700001</v>
      </c>
      <c r="G116" s="20">
        <f t="shared" si="15"/>
        <v>48890.000035000005</v>
      </c>
      <c r="H116" s="24">
        <f t="shared" si="16"/>
        <v>0.47523693621447732</v>
      </c>
      <c r="I116" s="12">
        <v>176</v>
      </c>
      <c r="J116" s="12">
        <v>45086.000065</v>
      </c>
      <c r="K116" s="13">
        <f t="shared" si="17"/>
        <v>0.43826002294369448</v>
      </c>
      <c r="L116" s="4">
        <v>13</v>
      </c>
      <c r="M116" s="4">
        <v>2338.9999809999999</v>
      </c>
      <c r="N116" s="17">
        <f t="shared" si="18"/>
        <v>2.2736330210275903E-2</v>
      </c>
      <c r="O116" s="9">
        <v>5</v>
      </c>
      <c r="P116" s="9">
        <v>1464.9999889999999</v>
      </c>
      <c r="Q116" s="18">
        <f t="shared" si="19"/>
        <v>1.4240583060506903E-2</v>
      </c>
      <c r="R116" s="36">
        <v>2629758</v>
      </c>
      <c r="S116" s="36">
        <v>1613945</v>
      </c>
      <c r="T116" s="39">
        <v>0.61370000000000002</v>
      </c>
      <c r="U116" s="36">
        <v>2395460</v>
      </c>
      <c r="V116" s="36">
        <v>1413705</v>
      </c>
      <c r="W116" s="39">
        <v>0.59019999999999995</v>
      </c>
      <c r="X116" s="36">
        <v>2558510</v>
      </c>
      <c r="Y116" s="36">
        <v>1592333</v>
      </c>
      <c r="Z116" s="39">
        <v>0.62239999999999995</v>
      </c>
      <c r="AA116" s="36">
        <v>2276161</v>
      </c>
      <c r="AB116" s="36">
        <v>1256529</v>
      </c>
      <c r="AC116" s="39">
        <v>0.55200000000000005</v>
      </c>
      <c r="AD116" s="36">
        <v>2054691</v>
      </c>
      <c r="AE116" s="36">
        <v>1173315</v>
      </c>
      <c r="AF116" s="39">
        <v>0.57099999999999995</v>
      </c>
      <c r="AG116" s="36">
        <v>1590750</v>
      </c>
      <c r="AH116" s="36">
        <v>954682</v>
      </c>
      <c r="AI116" s="39">
        <v>0.60009999999999997</v>
      </c>
    </row>
    <row r="117" spans="1:35" ht="14" x14ac:dyDescent="0.2">
      <c r="A117" s="1" t="s">
        <v>263</v>
      </c>
      <c r="B117" s="1" t="s">
        <v>429</v>
      </c>
      <c r="C117" s="1" t="s">
        <v>433</v>
      </c>
      <c r="D117" s="1" t="s">
        <v>264</v>
      </c>
      <c r="E117" s="25">
        <v>412</v>
      </c>
      <c r="F117" s="21">
        <v>107022.00038</v>
      </c>
      <c r="G117" s="20">
        <f t="shared" si="15"/>
        <v>56156.000211999999</v>
      </c>
      <c r="H117" s="24">
        <f t="shared" si="16"/>
        <v>0.52471454479086987</v>
      </c>
      <c r="I117" s="12">
        <v>164</v>
      </c>
      <c r="J117" s="12">
        <v>46519.000182999996</v>
      </c>
      <c r="K117" s="13">
        <f t="shared" si="17"/>
        <v>0.4346676385960484</v>
      </c>
      <c r="L117" s="4">
        <v>34</v>
      </c>
      <c r="M117" s="4">
        <v>8079.0000120000004</v>
      </c>
      <c r="N117" s="17">
        <f t="shared" si="18"/>
        <v>7.5489151607278163E-2</v>
      </c>
      <c r="O117" s="9">
        <v>7</v>
      </c>
      <c r="P117" s="9">
        <v>1558.0000170000001</v>
      </c>
      <c r="Q117" s="18">
        <f t="shared" si="19"/>
        <v>1.4557754587543248E-2</v>
      </c>
      <c r="R117" s="36">
        <v>2145856</v>
      </c>
      <c r="S117" s="36">
        <v>1145393</v>
      </c>
      <c r="T117" s="39">
        <v>0.53380000000000005</v>
      </c>
      <c r="U117" s="36">
        <v>2066791</v>
      </c>
      <c r="V117" s="36">
        <v>1022545</v>
      </c>
      <c r="W117" s="39">
        <v>0.49480000000000002</v>
      </c>
      <c r="X117" s="36">
        <v>2133366</v>
      </c>
      <c r="Y117" s="36">
        <v>1122340</v>
      </c>
      <c r="Z117" s="39">
        <v>0.52610000000000001</v>
      </c>
      <c r="AA117" s="36">
        <v>1754591</v>
      </c>
      <c r="AB117" s="36">
        <v>907758</v>
      </c>
      <c r="AC117" s="39">
        <v>0.51739999999999997</v>
      </c>
      <c r="AD117" s="36">
        <v>1635101</v>
      </c>
      <c r="AE117" s="36">
        <v>909474</v>
      </c>
      <c r="AF117" s="39">
        <v>0.55620000000000003</v>
      </c>
      <c r="AG117" s="36">
        <v>1192118</v>
      </c>
      <c r="AH117" s="36">
        <v>712302</v>
      </c>
      <c r="AI117" s="39">
        <v>0.59750000000000003</v>
      </c>
    </row>
    <row r="118" spans="1:35" ht="14" x14ac:dyDescent="0.2">
      <c r="A118" s="1" t="s">
        <v>265</v>
      </c>
      <c r="B118" s="1" t="s">
        <v>430</v>
      </c>
      <c r="C118" s="1" t="s">
        <v>433</v>
      </c>
      <c r="D118" s="1" t="s">
        <v>266</v>
      </c>
      <c r="E118" s="25">
        <v>726</v>
      </c>
      <c r="F118" s="21">
        <v>205834.00060699999</v>
      </c>
      <c r="G118" s="20">
        <f t="shared" si="15"/>
        <v>187757.000677</v>
      </c>
      <c r="H118" s="24">
        <f t="shared" si="16"/>
        <v>0.91217680326529482</v>
      </c>
      <c r="I118" s="12">
        <v>603</v>
      </c>
      <c r="J118" s="12">
        <v>171625.000546</v>
      </c>
      <c r="K118" s="13">
        <f t="shared" si="17"/>
        <v>0.83380296763353767</v>
      </c>
      <c r="L118" s="4">
        <v>58</v>
      </c>
      <c r="M118" s="4">
        <v>14625.000131000001</v>
      </c>
      <c r="N118" s="17">
        <f t="shared" si="18"/>
        <v>7.1052401876615101E-2</v>
      </c>
      <c r="O118" s="9">
        <v>7</v>
      </c>
      <c r="P118" s="9">
        <v>1507</v>
      </c>
      <c r="Q118" s="18">
        <f t="shared" si="19"/>
        <v>7.3214337551419581E-3</v>
      </c>
      <c r="R118" s="36">
        <v>2943038</v>
      </c>
      <c r="S118" s="36">
        <v>2412344</v>
      </c>
      <c r="T118" s="39">
        <v>0.81969999999999998</v>
      </c>
      <c r="U118" s="36">
        <v>2815576</v>
      </c>
      <c r="V118" s="36">
        <v>2267261</v>
      </c>
      <c r="W118" s="39">
        <v>0.80530000000000002</v>
      </c>
      <c r="X118" s="36">
        <v>2990969</v>
      </c>
      <c r="Y118" s="36">
        <v>2474748</v>
      </c>
      <c r="Z118" s="39">
        <v>0.82740000000000002</v>
      </c>
      <c r="AA118" s="36">
        <v>2555272</v>
      </c>
      <c r="AB118" s="36">
        <v>1831270</v>
      </c>
      <c r="AC118" s="39">
        <v>0.7167</v>
      </c>
      <c r="AD118" s="36">
        <v>2440451</v>
      </c>
      <c r="AE118" s="36">
        <v>1883121</v>
      </c>
      <c r="AF118" s="39">
        <v>0.77159999999999995</v>
      </c>
      <c r="AG118" s="36">
        <v>1778834</v>
      </c>
      <c r="AH118" s="36">
        <v>1443909</v>
      </c>
      <c r="AI118" s="39">
        <v>0.81169999999999998</v>
      </c>
    </row>
    <row r="119" spans="1:35" ht="14" x14ac:dyDescent="0.2">
      <c r="A119" s="1" t="s">
        <v>267</v>
      </c>
      <c r="B119" s="1" t="s">
        <v>429</v>
      </c>
      <c r="C119" s="1" t="s">
        <v>435</v>
      </c>
      <c r="D119" s="1" t="s">
        <v>268</v>
      </c>
      <c r="E119" s="25">
        <v>602</v>
      </c>
      <c r="F119" s="21">
        <v>160111.000371</v>
      </c>
      <c r="G119" s="20">
        <f t="shared" si="15"/>
        <v>90023.000037999998</v>
      </c>
      <c r="H119" s="24">
        <f t="shared" si="16"/>
        <v>0.56225368543950061</v>
      </c>
      <c r="I119" s="12">
        <v>270</v>
      </c>
      <c r="J119" s="12">
        <v>75037.000140000004</v>
      </c>
      <c r="K119" s="13">
        <f t="shared" si="17"/>
        <v>0.46865611960532744</v>
      </c>
      <c r="L119" s="4">
        <v>43</v>
      </c>
      <c r="M119" s="4">
        <v>12174.999904</v>
      </c>
      <c r="N119" s="17">
        <f t="shared" si="18"/>
        <v>7.6040995782855586E-2</v>
      </c>
      <c r="O119" s="9">
        <v>7</v>
      </c>
      <c r="P119" s="9">
        <v>2810.9999939999998</v>
      </c>
      <c r="Q119" s="18">
        <f t="shared" si="19"/>
        <v>1.75565700513176E-2</v>
      </c>
      <c r="R119" s="36">
        <v>3459338</v>
      </c>
      <c r="S119" s="36">
        <v>2241035</v>
      </c>
      <c r="T119" s="39">
        <v>0.64780000000000004</v>
      </c>
      <c r="U119" s="36">
        <v>3340865</v>
      </c>
      <c r="V119" s="36">
        <v>2147053</v>
      </c>
      <c r="W119" s="39">
        <v>0.64270000000000005</v>
      </c>
      <c r="X119" s="36">
        <v>3340325</v>
      </c>
      <c r="Y119" s="36">
        <v>2244392</v>
      </c>
      <c r="Z119" s="39">
        <v>0.67190000000000005</v>
      </c>
      <c r="AA119" s="36">
        <v>2972004</v>
      </c>
      <c r="AB119" s="36">
        <v>1704436</v>
      </c>
      <c r="AC119" s="39">
        <v>0.57350000000000001</v>
      </c>
      <c r="AD119" s="36">
        <v>2677172</v>
      </c>
      <c r="AE119" s="36">
        <v>1591797</v>
      </c>
      <c r="AF119" s="39">
        <v>0.59460000000000002</v>
      </c>
      <c r="AG119" s="36">
        <v>1988995</v>
      </c>
      <c r="AH119" s="36">
        <v>1295348</v>
      </c>
      <c r="AI119" s="39">
        <v>0.65129999999999999</v>
      </c>
    </row>
    <row r="120" spans="1:35" ht="14" x14ac:dyDescent="0.2">
      <c r="A120" s="1" t="s">
        <v>269</v>
      </c>
      <c r="B120" s="1" t="s">
        <v>429</v>
      </c>
      <c r="C120" s="1" t="s">
        <v>433</v>
      </c>
      <c r="D120" s="1" t="s">
        <v>270</v>
      </c>
      <c r="E120" s="25">
        <v>511</v>
      </c>
      <c r="F120" s="21">
        <v>134333.00093099999</v>
      </c>
      <c r="G120" s="20">
        <f t="shared" si="15"/>
        <v>55239.000301</v>
      </c>
      <c r="H120" s="24">
        <f t="shared" si="16"/>
        <v>0.41120945648622453</v>
      </c>
      <c r="I120" s="12">
        <v>183</v>
      </c>
      <c r="J120" s="12">
        <v>48311.000275999999</v>
      </c>
      <c r="K120" s="13">
        <f t="shared" si="17"/>
        <v>0.35963612769147396</v>
      </c>
      <c r="L120" s="4">
        <v>18</v>
      </c>
      <c r="M120" s="4">
        <v>4945.0000389999996</v>
      </c>
      <c r="N120" s="17">
        <f t="shared" si="18"/>
        <v>3.6811505770945996E-2</v>
      </c>
      <c r="O120" s="9">
        <v>10</v>
      </c>
      <c r="P120" s="9">
        <v>1982.999986</v>
      </c>
      <c r="Q120" s="18">
        <f t="shared" si="19"/>
        <v>1.4761823023804597E-2</v>
      </c>
      <c r="R120" s="36">
        <v>2133981</v>
      </c>
      <c r="S120" s="36">
        <v>1318805</v>
      </c>
      <c r="T120" s="39">
        <v>0.61799999999999999</v>
      </c>
      <c r="U120" s="36">
        <v>2127833</v>
      </c>
      <c r="V120" s="36">
        <v>1284886</v>
      </c>
      <c r="W120" s="39">
        <v>0.6038</v>
      </c>
      <c r="X120" s="36">
        <v>2514650</v>
      </c>
      <c r="Y120" s="36">
        <v>1581184</v>
      </c>
      <c r="Z120" s="39">
        <v>0.62880000000000003</v>
      </c>
      <c r="AA120" s="36">
        <v>2015266</v>
      </c>
      <c r="AB120" s="36">
        <v>1030234</v>
      </c>
      <c r="AC120" s="39">
        <v>0.51119999999999999</v>
      </c>
      <c r="AD120" s="36">
        <v>1939082</v>
      </c>
      <c r="AE120" s="36">
        <v>966265</v>
      </c>
      <c r="AF120" s="39">
        <v>0.49830000000000002</v>
      </c>
      <c r="AG120" s="36">
        <v>1530108</v>
      </c>
      <c r="AH120" s="36">
        <v>854241</v>
      </c>
      <c r="AI120" s="39">
        <v>0.55830000000000002</v>
      </c>
    </row>
    <row r="121" spans="1:35" ht="14" x14ac:dyDescent="0.2">
      <c r="A121" s="1" t="s">
        <v>271</v>
      </c>
      <c r="B121" s="1" t="s">
        <v>429</v>
      </c>
      <c r="C121" s="1" t="s">
        <v>439</v>
      </c>
      <c r="D121" s="1" t="s">
        <v>272</v>
      </c>
      <c r="E121" s="25">
        <v>771</v>
      </c>
      <c r="F121" s="21">
        <v>169008.00031</v>
      </c>
      <c r="G121" s="20">
        <f t="shared" si="15"/>
        <v>86032.000510999991</v>
      </c>
      <c r="H121" s="24">
        <f t="shared" si="16"/>
        <v>0.50904099423220961</v>
      </c>
      <c r="I121" s="12">
        <v>338</v>
      </c>
      <c r="J121" s="12">
        <v>70972.000396999996</v>
      </c>
      <c r="K121" s="13">
        <f t="shared" si="17"/>
        <v>0.4199327858256463</v>
      </c>
      <c r="L121" s="4">
        <v>55</v>
      </c>
      <c r="M121" s="4">
        <v>12835.000040999999</v>
      </c>
      <c r="N121" s="17">
        <f t="shared" si="18"/>
        <v>7.5943150723383646E-2</v>
      </c>
      <c r="O121" s="9">
        <v>16</v>
      </c>
      <c r="P121" s="9">
        <v>2225.0000730000002</v>
      </c>
      <c r="Q121" s="18">
        <f t="shared" si="19"/>
        <v>1.3165057683179686E-2</v>
      </c>
      <c r="R121" s="36">
        <v>3223394</v>
      </c>
      <c r="S121" s="36">
        <v>1802454</v>
      </c>
      <c r="T121" s="39">
        <v>0.55920000000000003</v>
      </c>
      <c r="U121" s="36">
        <v>2842762</v>
      </c>
      <c r="V121" s="36">
        <v>1535991</v>
      </c>
      <c r="W121" s="39">
        <v>0.5403</v>
      </c>
      <c r="X121" s="36">
        <v>2048673</v>
      </c>
      <c r="Y121" s="36">
        <v>1177716</v>
      </c>
      <c r="Z121" s="39">
        <v>0.57489999999999997</v>
      </c>
      <c r="AA121" s="36">
        <v>2359765</v>
      </c>
      <c r="AB121" s="36">
        <v>1266191</v>
      </c>
      <c r="AC121" s="39">
        <v>0.53659999999999997</v>
      </c>
      <c r="AD121" s="36">
        <v>2197226</v>
      </c>
      <c r="AE121" s="36">
        <v>1214655</v>
      </c>
      <c r="AF121" s="39">
        <v>0.55279999999999996</v>
      </c>
      <c r="AG121" s="36">
        <v>1486801</v>
      </c>
      <c r="AH121" s="36">
        <v>876175</v>
      </c>
      <c r="AI121" s="39">
        <v>0.58930000000000005</v>
      </c>
    </row>
    <row r="122" spans="1:35" ht="14" x14ac:dyDescent="0.2">
      <c r="A122" s="1" t="s">
        <v>273</v>
      </c>
      <c r="B122" s="1" t="s">
        <v>430</v>
      </c>
      <c r="C122" s="1" t="s">
        <v>433</v>
      </c>
      <c r="D122" s="1" t="s">
        <v>274</v>
      </c>
      <c r="E122" s="25">
        <v>1043</v>
      </c>
      <c r="F122" s="21">
        <v>250867.000955</v>
      </c>
      <c r="G122" s="20">
        <f t="shared" si="15"/>
        <v>233704.00074699998</v>
      </c>
      <c r="H122" s="24">
        <f t="shared" si="16"/>
        <v>0.93158526174162426</v>
      </c>
      <c r="I122" s="12">
        <v>886</v>
      </c>
      <c r="J122" s="12">
        <v>208892.00073599999</v>
      </c>
      <c r="K122" s="13">
        <f t="shared" si="17"/>
        <v>0.83268026460550948</v>
      </c>
      <c r="L122" s="4">
        <v>79</v>
      </c>
      <c r="M122" s="4">
        <v>19833.999975999999</v>
      </c>
      <c r="N122" s="17">
        <f t="shared" si="18"/>
        <v>7.9061813233689437E-2</v>
      </c>
      <c r="O122" s="9">
        <v>20</v>
      </c>
      <c r="P122" s="9">
        <v>4978.000035</v>
      </c>
      <c r="Q122" s="18">
        <f t="shared" si="19"/>
        <v>1.9843183902425426E-2</v>
      </c>
      <c r="R122" s="36">
        <v>4063842</v>
      </c>
      <c r="S122" s="36">
        <v>2975887</v>
      </c>
      <c r="T122" s="39">
        <v>0.73229999999999995</v>
      </c>
      <c r="U122" s="36">
        <v>3800158</v>
      </c>
      <c r="V122" s="36">
        <v>2647596</v>
      </c>
      <c r="W122" s="39">
        <v>0.69669999999999999</v>
      </c>
      <c r="X122" s="36">
        <v>3607694</v>
      </c>
      <c r="Y122" s="36">
        <v>2568984</v>
      </c>
      <c r="Z122" s="39">
        <v>0.71209999999999996</v>
      </c>
      <c r="AA122" s="36">
        <v>3660573</v>
      </c>
      <c r="AB122" s="36">
        <v>2338644</v>
      </c>
      <c r="AC122" s="39">
        <v>0.63890000000000002</v>
      </c>
      <c r="AD122" s="36">
        <v>3229043</v>
      </c>
      <c r="AE122" s="36">
        <v>2261885</v>
      </c>
      <c r="AF122" s="39">
        <v>0.70050000000000001</v>
      </c>
      <c r="AG122" s="36">
        <v>2317510</v>
      </c>
      <c r="AH122" s="36">
        <v>1745707</v>
      </c>
      <c r="AI122" s="39">
        <v>0.75329999999999997</v>
      </c>
    </row>
    <row r="123" spans="1:35" ht="14" x14ac:dyDescent="0.2">
      <c r="A123" s="1" t="s">
        <v>275</v>
      </c>
      <c r="B123" s="1" t="s">
        <v>429</v>
      </c>
      <c r="C123" s="1" t="s">
        <v>435</v>
      </c>
      <c r="D123" s="1" t="s">
        <v>276</v>
      </c>
      <c r="E123" s="25">
        <v>1096</v>
      </c>
      <c r="F123" s="21">
        <v>258121.00107599999</v>
      </c>
      <c r="G123" s="20">
        <f t="shared" si="15"/>
        <v>140984.00068900001</v>
      </c>
      <c r="H123" s="24">
        <f t="shared" si="16"/>
        <v>0.5461934523006492</v>
      </c>
      <c r="I123" s="12">
        <v>499</v>
      </c>
      <c r="J123" s="12">
        <v>122976.000633</v>
      </c>
      <c r="K123" s="13">
        <f t="shared" si="17"/>
        <v>0.47642772234868058</v>
      </c>
      <c r="L123" s="4">
        <v>66</v>
      </c>
      <c r="M123" s="4">
        <v>15016.000007000001</v>
      </c>
      <c r="N123" s="17">
        <f t="shared" si="18"/>
        <v>5.8174266891901437E-2</v>
      </c>
      <c r="O123" s="9">
        <v>15</v>
      </c>
      <c r="P123" s="9">
        <v>2992.0000490000002</v>
      </c>
      <c r="Q123" s="18">
        <f t="shared" si="19"/>
        <v>1.1591463060067125E-2</v>
      </c>
      <c r="R123" s="36">
        <v>3615394</v>
      </c>
      <c r="S123" s="36">
        <v>2123785</v>
      </c>
      <c r="T123" s="39">
        <v>0.58740000000000003</v>
      </c>
      <c r="U123" s="36">
        <v>3749327</v>
      </c>
      <c r="V123" s="36">
        <v>2150787</v>
      </c>
      <c r="W123" s="39">
        <v>0.5736</v>
      </c>
      <c r="X123" s="36">
        <v>3663760</v>
      </c>
      <c r="Y123" s="36">
        <v>2256653</v>
      </c>
      <c r="Z123" s="39">
        <v>0.6159</v>
      </c>
      <c r="AA123" s="36">
        <v>2973769</v>
      </c>
      <c r="AB123" s="36">
        <v>1492073</v>
      </c>
      <c r="AC123" s="39">
        <v>0.50170000000000003</v>
      </c>
      <c r="AD123" s="36">
        <v>2768199</v>
      </c>
      <c r="AE123" s="36">
        <v>1425958</v>
      </c>
      <c r="AF123" s="39">
        <v>0.5151</v>
      </c>
      <c r="AG123" s="36">
        <v>1997305</v>
      </c>
      <c r="AH123" s="36">
        <v>1129544</v>
      </c>
      <c r="AI123" s="39">
        <v>0.5655</v>
      </c>
    </row>
    <row r="124" spans="1:35" ht="14" x14ac:dyDescent="0.2">
      <c r="A124" s="1" t="s">
        <v>277</v>
      </c>
      <c r="B124" s="1" t="s">
        <v>429</v>
      </c>
      <c r="C124" s="1" t="s">
        <v>434</v>
      </c>
      <c r="D124" s="1" t="s">
        <v>278</v>
      </c>
      <c r="E124" s="25">
        <v>771</v>
      </c>
      <c r="F124" s="21">
        <v>228949.00069700001</v>
      </c>
      <c r="G124" s="20">
        <f t="shared" si="15"/>
        <v>134928.00048700001</v>
      </c>
      <c r="H124" s="24">
        <f t="shared" si="16"/>
        <v>0.58933649011890188</v>
      </c>
      <c r="I124" s="12">
        <v>353</v>
      </c>
      <c r="J124" s="12">
        <v>109025.00046900001</v>
      </c>
      <c r="K124" s="13">
        <f t="shared" si="17"/>
        <v>0.47619775643086526</v>
      </c>
      <c r="L124" s="4">
        <v>66</v>
      </c>
      <c r="M124" s="4">
        <v>21637.000045000001</v>
      </c>
      <c r="N124" s="17">
        <f t="shared" si="18"/>
        <v>9.4505763201103668E-2</v>
      </c>
      <c r="O124" s="9">
        <v>13</v>
      </c>
      <c r="P124" s="9">
        <v>4265.999973</v>
      </c>
      <c r="Q124" s="18">
        <f t="shared" si="19"/>
        <v>1.8632970486932982E-2</v>
      </c>
      <c r="R124" s="36">
        <v>4463496</v>
      </c>
      <c r="S124" s="36">
        <v>2658184</v>
      </c>
      <c r="T124" s="39">
        <v>0.59550000000000003</v>
      </c>
      <c r="U124" s="36">
        <v>4308733</v>
      </c>
      <c r="V124" s="36">
        <v>2479827</v>
      </c>
      <c r="W124" s="39">
        <v>0.57550000000000001</v>
      </c>
      <c r="X124" s="36">
        <v>4633643</v>
      </c>
      <c r="Y124" s="36">
        <v>2746311</v>
      </c>
      <c r="Z124" s="39">
        <v>0.5927</v>
      </c>
      <c r="AA124" s="36">
        <v>3785292</v>
      </c>
      <c r="AB124" s="36">
        <v>1942360</v>
      </c>
      <c r="AC124" s="39">
        <v>0.5131</v>
      </c>
      <c r="AD124" s="36">
        <v>3931373</v>
      </c>
      <c r="AE124" s="36">
        <v>1961572</v>
      </c>
      <c r="AF124" s="39">
        <v>0.499</v>
      </c>
      <c r="AG124" s="36">
        <v>2764297</v>
      </c>
      <c r="AH124" s="36">
        <v>1484189</v>
      </c>
      <c r="AI124" s="39">
        <v>0.53690000000000004</v>
      </c>
    </row>
    <row r="125" spans="1:35" ht="14" x14ac:dyDescent="0.2">
      <c r="A125" s="1" t="s">
        <v>279</v>
      </c>
      <c r="B125" s="1" t="s">
        <v>429</v>
      </c>
      <c r="C125" s="1" t="s">
        <v>434</v>
      </c>
      <c r="D125" s="1" t="s">
        <v>280</v>
      </c>
      <c r="E125" s="25">
        <v>809</v>
      </c>
      <c r="F125" s="21">
        <v>220517.00076</v>
      </c>
      <c r="G125" s="20">
        <f t="shared" si="15"/>
        <v>115534.000392</v>
      </c>
      <c r="H125" s="24">
        <f t="shared" si="16"/>
        <v>0.5239233256112602</v>
      </c>
      <c r="I125" s="12">
        <v>355</v>
      </c>
      <c r="J125" s="12">
        <v>102892.000392</v>
      </c>
      <c r="K125" s="13">
        <f t="shared" si="17"/>
        <v>0.4665944123917351</v>
      </c>
      <c r="L125" s="4">
        <v>39</v>
      </c>
      <c r="M125" s="4">
        <v>10902.999997000001</v>
      </c>
      <c r="N125" s="17">
        <f t="shared" si="18"/>
        <v>4.9442899909863627E-2</v>
      </c>
      <c r="O125" s="9">
        <v>12</v>
      </c>
      <c r="P125" s="9">
        <v>1739.0000030000001</v>
      </c>
      <c r="Q125" s="18">
        <f t="shared" si="19"/>
        <v>7.8860133096615229E-3</v>
      </c>
      <c r="R125" s="36">
        <v>2284343</v>
      </c>
      <c r="S125" s="36">
        <v>1643051</v>
      </c>
      <c r="T125" s="39">
        <v>0.71930000000000005</v>
      </c>
      <c r="U125" s="36">
        <v>2747701</v>
      </c>
      <c r="V125" s="36">
        <v>1734534</v>
      </c>
      <c r="W125" s="39">
        <v>0.63129999999999997</v>
      </c>
      <c r="X125" s="36">
        <v>3314464</v>
      </c>
      <c r="Y125" s="36">
        <v>2084036</v>
      </c>
      <c r="Z125" s="39">
        <v>0.62880000000000003</v>
      </c>
      <c r="AA125" s="36">
        <v>2488308</v>
      </c>
      <c r="AB125" s="36">
        <v>1386833</v>
      </c>
      <c r="AC125" s="39">
        <v>0.55730000000000002</v>
      </c>
      <c r="AD125" s="36">
        <v>2362366</v>
      </c>
      <c r="AE125" s="36">
        <v>1241387</v>
      </c>
      <c r="AF125" s="39">
        <v>0.52549999999999997</v>
      </c>
      <c r="AG125" s="36">
        <v>1789752</v>
      </c>
      <c r="AH125" s="36">
        <v>1027379</v>
      </c>
      <c r="AI125" s="39">
        <v>0.57399999999999995</v>
      </c>
    </row>
    <row r="126" spans="1:35" ht="14" x14ac:dyDescent="0.2">
      <c r="A126" s="1" t="s">
        <v>281</v>
      </c>
      <c r="B126" s="1" t="s">
        <v>430</v>
      </c>
      <c r="C126" s="1" t="s">
        <v>442</v>
      </c>
      <c r="D126" s="1" t="s">
        <v>282</v>
      </c>
      <c r="E126" s="25">
        <v>1407</v>
      </c>
      <c r="F126" s="21">
        <v>290207.00070899999</v>
      </c>
      <c r="G126" s="20">
        <f t="shared" si="15"/>
        <v>268796.00064700004</v>
      </c>
      <c r="H126" s="24">
        <f t="shared" si="16"/>
        <v>0.92622162797695751</v>
      </c>
      <c r="I126" s="12">
        <v>1189</v>
      </c>
      <c r="J126" s="12">
        <v>242769.00049100001</v>
      </c>
      <c r="K126" s="13">
        <f t="shared" si="17"/>
        <v>0.83653736780262034</v>
      </c>
      <c r="L126" s="4">
        <v>93</v>
      </c>
      <c r="M126" s="4">
        <v>20777.000109000001</v>
      </c>
      <c r="N126" s="17">
        <f t="shared" si="18"/>
        <v>7.1593724680107829E-2</v>
      </c>
      <c r="O126" s="9">
        <v>24</v>
      </c>
      <c r="P126" s="9">
        <v>5250.0000470000004</v>
      </c>
      <c r="Q126" s="18">
        <f t="shared" si="19"/>
        <v>1.8090535494229329E-2</v>
      </c>
      <c r="R126" s="36">
        <v>4138746</v>
      </c>
      <c r="S126" s="36">
        <v>3268186</v>
      </c>
      <c r="T126" s="39">
        <v>0.78969999999999996</v>
      </c>
      <c r="U126" s="36">
        <v>3970495</v>
      </c>
      <c r="V126" s="36">
        <v>2990838</v>
      </c>
      <c r="W126" s="39">
        <v>0.75329999999999997</v>
      </c>
      <c r="X126" s="36">
        <v>3638567</v>
      </c>
      <c r="Y126" s="36">
        <v>2619570</v>
      </c>
      <c r="Z126" s="39">
        <v>0.71989999999999998</v>
      </c>
      <c r="AA126" s="36">
        <v>2485419</v>
      </c>
      <c r="AB126" s="36">
        <v>1673092</v>
      </c>
      <c r="AC126" s="39">
        <v>0.67320000000000002</v>
      </c>
      <c r="AD126" s="36">
        <v>3245239</v>
      </c>
      <c r="AE126" s="36">
        <v>2417801</v>
      </c>
      <c r="AF126" s="39">
        <v>0.745</v>
      </c>
      <c r="AG126" s="36">
        <v>2348644</v>
      </c>
      <c r="AH126" s="36">
        <v>1783985</v>
      </c>
      <c r="AI126" s="39">
        <v>0.75960000000000005</v>
      </c>
    </row>
    <row r="127" spans="1:35" ht="14" x14ac:dyDescent="0.2">
      <c r="A127" s="1" t="s">
        <v>283</v>
      </c>
      <c r="B127" s="1" t="s">
        <v>429</v>
      </c>
      <c r="C127" s="1" t="s">
        <v>433</v>
      </c>
      <c r="D127" s="1" t="s">
        <v>284</v>
      </c>
      <c r="E127" s="25">
        <v>1573</v>
      </c>
      <c r="F127" s="21">
        <v>314354.00102800003</v>
      </c>
      <c r="G127" s="20">
        <f t="shared" si="15"/>
        <v>160791.00061700001</v>
      </c>
      <c r="H127" s="24">
        <f t="shared" si="16"/>
        <v>0.51149659330303254</v>
      </c>
      <c r="I127" s="12">
        <v>649</v>
      </c>
      <c r="J127" s="12">
        <v>132932.000505</v>
      </c>
      <c r="K127" s="13">
        <f t="shared" si="17"/>
        <v>0.42287357587396995</v>
      </c>
      <c r="L127" s="4">
        <v>102</v>
      </c>
      <c r="M127" s="4">
        <v>24917.000119</v>
      </c>
      <c r="N127" s="17">
        <f t="shared" si="18"/>
        <v>7.9264141819466144E-2</v>
      </c>
      <c r="O127" s="9">
        <v>13</v>
      </c>
      <c r="P127" s="9">
        <v>2941.9999929999999</v>
      </c>
      <c r="Q127" s="18">
        <f t="shared" si="19"/>
        <v>9.358875609596428E-3</v>
      </c>
      <c r="R127" s="36">
        <v>3692143</v>
      </c>
      <c r="S127" s="36">
        <v>1834600</v>
      </c>
      <c r="T127" s="39">
        <v>0.49690000000000001</v>
      </c>
      <c r="U127" s="36">
        <v>3353710</v>
      </c>
      <c r="V127" s="36">
        <v>1683534</v>
      </c>
      <c r="W127" s="39">
        <v>0.502</v>
      </c>
      <c r="X127" s="36">
        <v>2882993</v>
      </c>
      <c r="Y127" s="36">
        <v>1416086</v>
      </c>
      <c r="Z127" s="39">
        <v>0.49120000000000003</v>
      </c>
      <c r="AA127" s="36">
        <v>3132261</v>
      </c>
      <c r="AB127" s="36">
        <v>1346234</v>
      </c>
      <c r="AC127" s="39">
        <v>0.42980000000000002</v>
      </c>
      <c r="AD127" s="36">
        <v>2135259</v>
      </c>
      <c r="AE127" s="36">
        <v>1046590</v>
      </c>
      <c r="AF127" s="39">
        <v>0.49009999999999998</v>
      </c>
      <c r="AG127" s="36">
        <v>1870127</v>
      </c>
      <c r="AH127" s="36">
        <v>978538</v>
      </c>
      <c r="AI127" s="39">
        <v>0.5232</v>
      </c>
    </row>
    <row r="128" spans="1:35" ht="14" x14ac:dyDescent="0.2">
      <c r="A128" s="1" t="s">
        <v>285</v>
      </c>
      <c r="B128" s="1" t="s">
        <v>430</v>
      </c>
      <c r="C128" s="1" t="s">
        <v>443</v>
      </c>
      <c r="D128" s="1" t="s">
        <v>286</v>
      </c>
      <c r="E128" s="25">
        <v>1827</v>
      </c>
      <c r="F128" s="21">
        <v>362285.00098200003</v>
      </c>
      <c r="G128" s="20">
        <f t="shared" si="15"/>
        <v>321922.00099900004</v>
      </c>
      <c r="H128" s="24">
        <f t="shared" si="16"/>
        <v>0.88858771444141182</v>
      </c>
      <c r="I128" s="12">
        <v>1468</v>
      </c>
      <c r="J128" s="12">
        <v>282204.00098800001</v>
      </c>
      <c r="K128" s="13">
        <f t="shared" si="17"/>
        <v>0.77895579508692159</v>
      </c>
      <c r="L128" s="4">
        <v>176</v>
      </c>
      <c r="M128" s="4">
        <v>33734.999988000003</v>
      </c>
      <c r="N128" s="17">
        <f t="shared" si="18"/>
        <v>9.3117296870029995E-2</v>
      </c>
      <c r="O128" s="9">
        <v>22</v>
      </c>
      <c r="P128" s="9">
        <v>5983.0000229999996</v>
      </c>
      <c r="Q128" s="18">
        <f t="shared" si="19"/>
        <v>1.6514622484460135E-2</v>
      </c>
      <c r="R128" s="36">
        <v>5369125</v>
      </c>
      <c r="S128" s="36">
        <v>3630939</v>
      </c>
      <c r="T128" s="39">
        <v>0.67630000000000001</v>
      </c>
      <c r="U128" s="36">
        <v>4933314</v>
      </c>
      <c r="V128" s="36">
        <v>3346440</v>
      </c>
      <c r="W128" s="39">
        <v>0.67830000000000001</v>
      </c>
      <c r="X128" s="36">
        <v>4204999</v>
      </c>
      <c r="Y128" s="36">
        <v>2778487</v>
      </c>
      <c r="Z128" s="39">
        <v>0.66080000000000005</v>
      </c>
      <c r="AA128" s="36">
        <v>4517654</v>
      </c>
      <c r="AB128" s="36">
        <v>2893586</v>
      </c>
      <c r="AC128" s="39">
        <v>0.64049999999999996</v>
      </c>
      <c r="AD128" s="36">
        <v>3743941</v>
      </c>
      <c r="AE128" s="36">
        <v>2590360</v>
      </c>
      <c r="AF128" s="39">
        <v>0.69189999999999996</v>
      </c>
      <c r="AG128" s="36">
        <v>2564969</v>
      </c>
      <c r="AH128" s="36">
        <v>1865904</v>
      </c>
      <c r="AI128" s="39">
        <v>0.72750000000000004</v>
      </c>
    </row>
    <row r="129" spans="1:35" ht="14" x14ac:dyDescent="0.2">
      <c r="A129" s="1" t="s">
        <v>287</v>
      </c>
      <c r="B129" s="1" t="s">
        <v>429</v>
      </c>
      <c r="C129" s="1" t="s">
        <v>435</v>
      </c>
      <c r="D129" s="1" t="s">
        <v>288</v>
      </c>
      <c r="E129" s="25">
        <v>835</v>
      </c>
      <c r="F129" s="21">
        <v>194806.00094999999</v>
      </c>
      <c r="G129" s="20">
        <f t="shared" si="15"/>
        <v>109237.000421</v>
      </c>
      <c r="H129" s="24">
        <f t="shared" si="16"/>
        <v>0.56074761500307879</v>
      </c>
      <c r="I129" s="12">
        <v>380</v>
      </c>
      <c r="J129" s="12">
        <v>90472.000507999997</v>
      </c>
      <c r="K129" s="13">
        <f t="shared" si="17"/>
        <v>0.46442101406938208</v>
      </c>
      <c r="L129" s="4">
        <v>65</v>
      </c>
      <c r="M129" s="4">
        <v>17311.999918000001</v>
      </c>
      <c r="N129" s="17">
        <f t="shared" si="18"/>
        <v>8.8867898491707134E-2</v>
      </c>
      <c r="O129" s="9">
        <v>8</v>
      </c>
      <c r="P129" s="9">
        <v>1452.9999949999999</v>
      </c>
      <c r="Q129" s="18">
        <f t="shared" si="19"/>
        <v>7.4587024419896343E-3</v>
      </c>
      <c r="R129" s="36">
        <v>3598725</v>
      </c>
      <c r="S129" s="36">
        <v>2009086</v>
      </c>
      <c r="T129" s="39">
        <v>0.55830000000000002</v>
      </c>
      <c r="U129" s="36">
        <v>3569668</v>
      </c>
      <c r="V129" s="36">
        <v>1955179</v>
      </c>
      <c r="W129" s="39">
        <v>0.54769999999999996</v>
      </c>
      <c r="X129" s="36">
        <v>3647042</v>
      </c>
      <c r="Y129" s="36">
        <v>2086605</v>
      </c>
      <c r="Z129" s="39">
        <v>0.57210000000000005</v>
      </c>
      <c r="AA129" s="36">
        <v>3030341</v>
      </c>
      <c r="AB129" s="36">
        <v>1583171</v>
      </c>
      <c r="AC129" s="39">
        <v>0.52239999999999998</v>
      </c>
      <c r="AD129" s="36">
        <v>2854215</v>
      </c>
      <c r="AE129" s="36">
        <v>1483363</v>
      </c>
      <c r="AF129" s="39">
        <v>0.51970000000000005</v>
      </c>
      <c r="AG129" s="36">
        <v>1924389</v>
      </c>
      <c r="AH129" s="36">
        <v>1092419</v>
      </c>
      <c r="AI129" s="39">
        <v>0.56769999999999998</v>
      </c>
    </row>
    <row r="130" spans="1:35" ht="14" x14ac:dyDescent="0.2">
      <c r="A130" s="1" t="s">
        <v>289</v>
      </c>
      <c r="B130" s="1" t="s">
        <v>429</v>
      </c>
      <c r="C130" s="1" t="s">
        <v>435</v>
      </c>
      <c r="D130" s="1" t="s">
        <v>290</v>
      </c>
      <c r="E130" s="25">
        <v>587</v>
      </c>
      <c r="F130" s="21">
        <v>156835.00051099999</v>
      </c>
      <c r="G130" s="20">
        <f t="shared" si="15"/>
        <v>82750.00033499999</v>
      </c>
      <c r="H130" s="24">
        <f t="shared" si="16"/>
        <v>0.52762457401335061</v>
      </c>
      <c r="I130" s="12">
        <v>259</v>
      </c>
      <c r="J130" s="12">
        <v>66289.000251999998</v>
      </c>
      <c r="K130" s="13">
        <f t="shared" si="17"/>
        <v>0.42266713447901999</v>
      </c>
      <c r="L130" s="4">
        <v>53</v>
      </c>
      <c r="M130" s="4">
        <v>14480.000106</v>
      </c>
      <c r="N130" s="17">
        <f t="shared" si="18"/>
        <v>9.2326330594709377E-2</v>
      </c>
      <c r="O130" s="9">
        <v>9</v>
      </c>
      <c r="P130" s="9">
        <v>1980.9999769999999</v>
      </c>
      <c r="Q130" s="18">
        <f t="shared" si="19"/>
        <v>1.263110893962128E-2</v>
      </c>
      <c r="R130" s="36">
        <v>4618307</v>
      </c>
      <c r="S130" s="36">
        <v>2619874</v>
      </c>
      <c r="T130" s="39">
        <v>0.56730000000000003</v>
      </c>
      <c r="U130" s="36">
        <v>4098916</v>
      </c>
      <c r="V130" s="36">
        <v>2110356</v>
      </c>
      <c r="W130" s="39">
        <v>0.51490000000000002</v>
      </c>
      <c r="X130" s="36">
        <v>4659667</v>
      </c>
      <c r="Y130" s="36">
        <v>2640232</v>
      </c>
      <c r="Z130" s="39">
        <v>0.56659999999999999</v>
      </c>
      <c r="AA130" s="36">
        <v>3938978</v>
      </c>
      <c r="AB130" s="36">
        <v>1911834</v>
      </c>
      <c r="AC130" s="39">
        <v>0.4854</v>
      </c>
      <c r="AD130" s="36">
        <v>3633453</v>
      </c>
      <c r="AE130" s="36">
        <v>1840602</v>
      </c>
      <c r="AF130" s="39">
        <v>0.50660000000000005</v>
      </c>
      <c r="AG130" s="36">
        <v>2379688</v>
      </c>
      <c r="AH130" s="36">
        <v>1247651</v>
      </c>
      <c r="AI130" s="39">
        <v>0.52429999999999999</v>
      </c>
    </row>
    <row r="131" spans="1:35" ht="14" x14ac:dyDescent="0.2">
      <c r="A131" s="1" t="s">
        <v>291</v>
      </c>
      <c r="B131" s="1" t="s">
        <v>429</v>
      </c>
      <c r="C131" s="1" t="s">
        <v>433</v>
      </c>
      <c r="D131" s="1" t="s">
        <v>292</v>
      </c>
      <c r="E131" s="25">
        <v>818</v>
      </c>
      <c r="F131" s="21">
        <v>202102.000466</v>
      </c>
      <c r="G131" s="20">
        <f t="shared" ref="G131:G162" si="20">J131+M131+P131</f>
        <v>121869.00028099999</v>
      </c>
      <c r="H131" s="24">
        <f t="shared" ref="H131:H162" si="21">G131/F131</f>
        <v>0.60300739230684774</v>
      </c>
      <c r="I131" s="12">
        <v>378</v>
      </c>
      <c r="J131" s="12">
        <v>91505.000113999995</v>
      </c>
      <c r="K131" s="13">
        <f t="shared" ref="K131:K162" si="22">J131/F131</f>
        <v>0.45276642439466624</v>
      </c>
      <c r="L131" s="4">
        <v>96</v>
      </c>
      <c r="M131" s="4">
        <v>28805.000198000002</v>
      </c>
      <c r="N131" s="17">
        <f t="shared" ref="N131:N162" si="23">M131/F131</f>
        <v>0.14252704145224887</v>
      </c>
      <c r="O131" s="9">
        <v>7</v>
      </c>
      <c r="P131" s="9">
        <v>1558.999969</v>
      </c>
      <c r="Q131" s="18">
        <f t="shared" ref="Q131:Q162" si="24">P131/F131</f>
        <v>7.7139264599326591E-3</v>
      </c>
      <c r="R131" s="36">
        <v>5039328</v>
      </c>
      <c r="S131" s="36">
        <v>2993551</v>
      </c>
      <c r="T131" s="39">
        <v>0.59399999999999997</v>
      </c>
      <c r="U131" s="36">
        <v>4896692</v>
      </c>
      <c r="V131" s="36">
        <v>2830836</v>
      </c>
      <c r="W131" s="39">
        <v>0.57809999999999995</v>
      </c>
      <c r="X131" s="36">
        <v>4656277</v>
      </c>
      <c r="Y131" s="36">
        <v>2832211</v>
      </c>
      <c r="Z131" s="39">
        <v>0.60829999999999995</v>
      </c>
      <c r="AA131" s="36">
        <v>4143679</v>
      </c>
      <c r="AB131" s="36">
        <v>2397826</v>
      </c>
      <c r="AC131" s="39">
        <v>0.57869999999999999</v>
      </c>
      <c r="AD131" s="36">
        <v>3918435</v>
      </c>
      <c r="AE131" s="36">
        <v>2358902</v>
      </c>
      <c r="AF131" s="39">
        <v>0.60199999999999998</v>
      </c>
      <c r="AG131" s="36">
        <v>2707674</v>
      </c>
      <c r="AH131" s="36">
        <v>1659561</v>
      </c>
      <c r="AI131" s="39">
        <v>0.6129</v>
      </c>
    </row>
    <row r="132" spans="1:35" ht="14" x14ac:dyDescent="0.2">
      <c r="A132" s="1" t="s">
        <v>293</v>
      </c>
      <c r="B132" s="1" t="s">
        <v>430</v>
      </c>
      <c r="C132" s="1" t="s">
        <v>444</v>
      </c>
      <c r="D132" s="1" t="s">
        <v>294</v>
      </c>
      <c r="E132" s="25">
        <v>1267</v>
      </c>
      <c r="F132" s="21">
        <v>286920.00120200001</v>
      </c>
      <c r="G132" s="20">
        <f t="shared" si="20"/>
        <v>246392.00087600001</v>
      </c>
      <c r="H132" s="24">
        <f t="shared" si="21"/>
        <v>0.85874808254490731</v>
      </c>
      <c r="I132" s="12">
        <v>1024</v>
      </c>
      <c r="J132" s="12">
        <v>220385.000856</v>
      </c>
      <c r="K132" s="13">
        <f t="shared" si="22"/>
        <v>0.76810609205610092</v>
      </c>
      <c r="L132" s="4">
        <v>88</v>
      </c>
      <c r="M132" s="4">
        <v>19475.999985999999</v>
      </c>
      <c r="N132" s="17">
        <f t="shared" si="23"/>
        <v>6.7879547972984733E-2</v>
      </c>
      <c r="O132" s="9">
        <v>27</v>
      </c>
      <c r="P132" s="9">
        <v>6531.0000339999997</v>
      </c>
      <c r="Q132" s="18">
        <f t="shared" si="24"/>
        <v>2.2762442515821636E-2</v>
      </c>
      <c r="R132" s="36">
        <v>3586596</v>
      </c>
      <c r="S132" s="36">
        <v>2825272</v>
      </c>
      <c r="T132" s="39">
        <v>0.78769999999999996</v>
      </c>
      <c r="U132" s="36">
        <v>1624169</v>
      </c>
      <c r="V132" s="36">
        <v>1292151</v>
      </c>
      <c r="W132" s="39">
        <v>0.79559999999999997</v>
      </c>
      <c r="X132" s="36">
        <v>3382263</v>
      </c>
      <c r="Y132" s="36">
        <v>2643111</v>
      </c>
      <c r="Z132" s="39">
        <v>0.78149999999999997</v>
      </c>
      <c r="AA132" s="36">
        <v>3199441</v>
      </c>
      <c r="AB132" s="36">
        <v>2257134</v>
      </c>
      <c r="AC132" s="39">
        <v>0.70550000000000002</v>
      </c>
      <c r="AD132" s="36">
        <v>2913459</v>
      </c>
      <c r="AE132" s="36">
        <v>2181467</v>
      </c>
      <c r="AF132" s="39">
        <v>0.74880000000000002</v>
      </c>
      <c r="AG132" s="36">
        <v>2037030</v>
      </c>
      <c r="AH132" s="36">
        <v>1598439</v>
      </c>
      <c r="AI132" s="39">
        <v>0.78469999999999995</v>
      </c>
    </row>
    <row r="133" spans="1:35" ht="14" x14ac:dyDescent="0.2">
      <c r="A133" s="1" t="s">
        <v>295</v>
      </c>
      <c r="B133" s="1" t="s">
        <v>430</v>
      </c>
      <c r="C133" s="1" t="s">
        <v>433</v>
      </c>
      <c r="D133" s="1" t="s">
        <v>296</v>
      </c>
      <c r="E133" s="25">
        <v>1018</v>
      </c>
      <c r="F133" s="21">
        <v>285779.00069399999</v>
      </c>
      <c r="G133" s="20">
        <f t="shared" si="20"/>
        <v>261344.00047199999</v>
      </c>
      <c r="H133" s="24">
        <f t="shared" si="21"/>
        <v>0.91449686589056289</v>
      </c>
      <c r="I133" s="12">
        <v>814</v>
      </c>
      <c r="J133" s="12">
        <v>227782.000374</v>
      </c>
      <c r="K133" s="13">
        <f t="shared" si="22"/>
        <v>0.79705646608338199</v>
      </c>
      <c r="L133" s="4">
        <v>119</v>
      </c>
      <c r="M133" s="4">
        <v>31390.000145000002</v>
      </c>
      <c r="N133" s="17">
        <f t="shared" si="23"/>
        <v>0.10984012145318921</v>
      </c>
      <c r="O133" s="9">
        <v>10</v>
      </c>
      <c r="P133" s="9">
        <v>2171.999953</v>
      </c>
      <c r="Q133" s="18">
        <f t="shared" si="24"/>
        <v>7.600278353991745E-3</v>
      </c>
      <c r="R133" s="36">
        <v>6049268</v>
      </c>
      <c r="S133" s="36">
        <v>3746157</v>
      </c>
      <c r="T133" s="39">
        <v>0.61929999999999996</v>
      </c>
      <c r="U133" s="36">
        <v>5437225</v>
      </c>
      <c r="V133" s="36">
        <v>3289656</v>
      </c>
      <c r="W133" s="39">
        <v>0.60499999999999998</v>
      </c>
      <c r="X133" s="36">
        <v>5560003</v>
      </c>
      <c r="Y133" s="36">
        <v>3634260</v>
      </c>
      <c r="Z133" s="39">
        <v>0.65359999999999996</v>
      </c>
      <c r="AA133" s="36">
        <v>5019806</v>
      </c>
      <c r="AB133" s="36">
        <v>2935450</v>
      </c>
      <c r="AC133" s="39">
        <v>0.58479999999999999</v>
      </c>
      <c r="AD133" s="36">
        <v>4636333</v>
      </c>
      <c r="AE133" s="36">
        <v>2861807</v>
      </c>
      <c r="AF133" s="39">
        <v>0.61729999999999996</v>
      </c>
      <c r="AG133" s="36">
        <v>3278327</v>
      </c>
      <c r="AH133" s="36">
        <v>2175691</v>
      </c>
      <c r="AI133" s="39">
        <v>0.66369999999999996</v>
      </c>
    </row>
    <row r="134" spans="1:35" ht="14" x14ac:dyDescent="0.2">
      <c r="A134" s="1" t="s">
        <v>297</v>
      </c>
      <c r="B134" s="1" t="s">
        <v>429</v>
      </c>
      <c r="C134" s="1" t="s">
        <v>433</v>
      </c>
      <c r="D134" s="1" t="s">
        <v>298</v>
      </c>
      <c r="E134" s="25">
        <v>896</v>
      </c>
      <c r="F134" s="21">
        <v>218542.00068900001</v>
      </c>
      <c r="G134" s="20">
        <f t="shared" si="20"/>
        <v>125433.00018</v>
      </c>
      <c r="H134" s="24">
        <f t="shared" si="21"/>
        <v>0.57395374703510482</v>
      </c>
      <c r="I134" s="12">
        <v>431</v>
      </c>
      <c r="J134" s="12">
        <v>107958.00017</v>
      </c>
      <c r="K134" s="13">
        <f t="shared" si="22"/>
        <v>0.49399200075792987</v>
      </c>
      <c r="L134" s="4">
        <v>60</v>
      </c>
      <c r="M134" s="4">
        <v>16305.999996</v>
      </c>
      <c r="N134" s="17">
        <f t="shared" si="23"/>
        <v>7.4612660013141083E-2</v>
      </c>
      <c r="O134" s="9">
        <v>10</v>
      </c>
      <c r="P134" s="9">
        <v>1169.000014</v>
      </c>
      <c r="Q134" s="18">
        <f t="shared" si="24"/>
        <v>5.349086264033822E-3</v>
      </c>
      <c r="R134" s="36">
        <v>5331774</v>
      </c>
      <c r="S134" s="36">
        <v>2996918</v>
      </c>
      <c r="T134" s="39">
        <v>0.56210000000000004</v>
      </c>
      <c r="U134" s="36">
        <v>5092147</v>
      </c>
      <c r="V134" s="36">
        <v>2751853</v>
      </c>
      <c r="W134" s="39">
        <v>0.54039999999999999</v>
      </c>
      <c r="X134" s="36">
        <v>4782945</v>
      </c>
      <c r="Y134" s="36">
        <v>2718220</v>
      </c>
      <c r="Z134" s="39">
        <v>0.56830000000000003</v>
      </c>
      <c r="AA134" s="36">
        <v>4546973</v>
      </c>
      <c r="AB134" s="36">
        <v>2233112</v>
      </c>
      <c r="AC134" s="39">
        <v>0.49109999999999998</v>
      </c>
      <c r="AD134" s="36">
        <v>4424094</v>
      </c>
      <c r="AE134" s="36">
        <v>2170167</v>
      </c>
      <c r="AF134" s="39">
        <v>0.49049999999999999</v>
      </c>
      <c r="AG134" s="36">
        <v>3035068</v>
      </c>
      <c r="AH134" s="36">
        <v>1520611</v>
      </c>
      <c r="AI134" s="39">
        <v>0.501</v>
      </c>
    </row>
    <row r="135" spans="1:35" ht="14" x14ac:dyDescent="0.2">
      <c r="A135" s="1" t="s">
        <v>299</v>
      </c>
      <c r="B135" s="1" t="s">
        <v>429</v>
      </c>
      <c r="C135" s="1" t="s">
        <v>435</v>
      </c>
      <c r="D135" s="1" t="s">
        <v>300</v>
      </c>
      <c r="E135" s="25">
        <v>1106</v>
      </c>
      <c r="F135" s="21">
        <v>256625.00079600001</v>
      </c>
      <c r="G135" s="20">
        <f t="shared" si="20"/>
        <v>124084.000529</v>
      </c>
      <c r="H135" s="24">
        <f t="shared" si="21"/>
        <v>0.4835226503423905</v>
      </c>
      <c r="I135" s="12">
        <v>473</v>
      </c>
      <c r="J135" s="12">
        <v>107383.000363</v>
      </c>
      <c r="K135" s="13">
        <f t="shared" si="22"/>
        <v>0.41844325389155057</v>
      </c>
      <c r="L135" s="4">
        <v>69</v>
      </c>
      <c r="M135" s="4">
        <v>14891.00013</v>
      </c>
      <c r="N135" s="17">
        <f t="shared" si="23"/>
        <v>5.8026303297851196E-2</v>
      </c>
      <c r="O135" s="9">
        <v>9</v>
      </c>
      <c r="P135" s="9">
        <v>1810.0000359999999</v>
      </c>
      <c r="Q135" s="18">
        <f t="shared" si="24"/>
        <v>7.0530931529887491E-3</v>
      </c>
      <c r="R135" s="36">
        <v>2596859</v>
      </c>
      <c r="S135" s="36">
        <v>1862280</v>
      </c>
      <c r="T135" s="39">
        <v>0.71709999999999996</v>
      </c>
      <c r="U135" s="36">
        <v>2440407</v>
      </c>
      <c r="V135" s="36">
        <v>1741380</v>
      </c>
      <c r="W135" s="39">
        <v>0.71360000000000001</v>
      </c>
      <c r="X135" s="36">
        <v>2483269</v>
      </c>
      <c r="Y135" s="36">
        <v>1783213</v>
      </c>
      <c r="Z135" s="39">
        <v>0.71809999999999996</v>
      </c>
      <c r="AA135" s="36">
        <v>2311416</v>
      </c>
      <c r="AB135" s="36">
        <v>1453544</v>
      </c>
      <c r="AC135" s="39">
        <v>0.62890000000000001</v>
      </c>
      <c r="AD135" s="36">
        <v>2169924</v>
      </c>
      <c r="AE135" s="36">
        <v>1287050</v>
      </c>
      <c r="AF135" s="39">
        <v>0.59309999999999996</v>
      </c>
      <c r="AG135" s="36">
        <v>1516030</v>
      </c>
      <c r="AH135" s="36">
        <v>938131</v>
      </c>
      <c r="AI135" s="39">
        <v>0.61880000000000002</v>
      </c>
    </row>
    <row r="136" spans="1:35" ht="14" x14ac:dyDescent="0.2">
      <c r="A136" s="1" t="s">
        <v>301</v>
      </c>
      <c r="B136" s="1" t="s">
        <v>429</v>
      </c>
      <c r="C136" s="1" t="s">
        <v>439</v>
      </c>
      <c r="D136" s="1" t="s">
        <v>302</v>
      </c>
      <c r="E136" s="25">
        <v>1233</v>
      </c>
      <c r="F136" s="21">
        <v>311830.00128700002</v>
      </c>
      <c r="G136" s="20">
        <f t="shared" si="20"/>
        <v>101961.00015200001</v>
      </c>
      <c r="H136" s="24">
        <f t="shared" si="21"/>
        <v>0.3269762361901728</v>
      </c>
      <c r="I136" s="12">
        <v>358</v>
      </c>
      <c r="J136" s="12">
        <v>86461.000039000006</v>
      </c>
      <c r="K136" s="13">
        <f t="shared" si="22"/>
        <v>0.27726966514496343</v>
      </c>
      <c r="L136" s="4">
        <v>52</v>
      </c>
      <c r="M136" s="4">
        <v>12992.00008</v>
      </c>
      <c r="N136" s="17">
        <f t="shared" si="23"/>
        <v>4.166372711534741E-2</v>
      </c>
      <c r="O136" s="9">
        <v>14</v>
      </c>
      <c r="P136" s="9">
        <v>2508.0000329999998</v>
      </c>
      <c r="Q136" s="18">
        <f t="shared" si="24"/>
        <v>8.0428439298619748E-3</v>
      </c>
      <c r="R136" s="36">
        <v>3832256</v>
      </c>
      <c r="S136" s="36">
        <v>1879454</v>
      </c>
      <c r="T136" s="39">
        <v>0.4904</v>
      </c>
      <c r="U136" s="36">
        <v>3358699</v>
      </c>
      <c r="V136" s="36">
        <v>1580478</v>
      </c>
      <c r="W136" s="39">
        <v>0.47060000000000002</v>
      </c>
      <c r="X136" s="36">
        <v>3449585</v>
      </c>
      <c r="Y136" s="36">
        <v>1677633</v>
      </c>
      <c r="Z136" s="39">
        <v>0.48630000000000001</v>
      </c>
      <c r="AA136" s="36">
        <v>3389066</v>
      </c>
      <c r="AB136" s="36">
        <v>1290442</v>
      </c>
      <c r="AC136" s="39">
        <v>0.38080000000000003</v>
      </c>
      <c r="AD136" s="36">
        <v>3457018</v>
      </c>
      <c r="AE136" s="36">
        <v>1328483</v>
      </c>
      <c r="AF136" s="39">
        <v>0.38429999999999997</v>
      </c>
      <c r="AG136" s="36">
        <v>2213328</v>
      </c>
      <c r="AH136" s="36">
        <v>993746</v>
      </c>
      <c r="AI136" s="39">
        <v>0.44900000000000001</v>
      </c>
    </row>
    <row r="137" spans="1:35" ht="14" x14ac:dyDescent="0.2">
      <c r="A137" s="1" t="s">
        <v>303</v>
      </c>
      <c r="B137" s="1" t="s">
        <v>429</v>
      </c>
      <c r="C137" s="1" t="s">
        <v>435</v>
      </c>
      <c r="D137" s="1" t="s">
        <v>304</v>
      </c>
      <c r="E137" s="25">
        <v>984</v>
      </c>
      <c r="F137" s="21">
        <v>237047.00082700001</v>
      </c>
      <c r="G137" s="20">
        <f t="shared" si="20"/>
        <v>136357.00038799999</v>
      </c>
      <c r="H137" s="24">
        <f t="shared" si="21"/>
        <v>0.57523191566348941</v>
      </c>
      <c r="I137" s="12">
        <v>435</v>
      </c>
      <c r="J137" s="12">
        <v>111068.000289</v>
      </c>
      <c r="K137" s="13">
        <f t="shared" si="22"/>
        <v>0.46854843090826059</v>
      </c>
      <c r="L137" s="4">
        <v>78</v>
      </c>
      <c r="M137" s="4">
        <v>21540.000008999999</v>
      </c>
      <c r="N137" s="17">
        <f t="shared" si="23"/>
        <v>9.0868055422984123E-2</v>
      </c>
      <c r="O137" s="9">
        <v>14</v>
      </c>
      <c r="P137" s="9">
        <v>3749.00009</v>
      </c>
      <c r="Q137" s="18">
        <f t="shared" si="24"/>
        <v>1.5815429332244828E-2</v>
      </c>
      <c r="R137" s="36">
        <v>3246868</v>
      </c>
      <c r="S137" s="36">
        <v>1956474</v>
      </c>
      <c r="T137" s="39">
        <v>0.60260000000000002</v>
      </c>
      <c r="U137" s="36">
        <v>3145562</v>
      </c>
      <c r="V137" s="36">
        <v>1825648</v>
      </c>
      <c r="W137" s="39">
        <v>0.58040000000000003</v>
      </c>
      <c r="X137" s="36">
        <v>3162670</v>
      </c>
      <c r="Y137" s="36">
        <v>1903907</v>
      </c>
      <c r="Z137" s="39">
        <v>0.60199999999999998</v>
      </c>
      <c r="AA137" s="36">
        <v>2924926</v>
      </c>
      <c r="AB137" s="36">
        <v>1514870</v>
      </c>
      <c r="AC137" s="39">
        <v>0.51790000000000003</v>
      </c>
      <c r="AD137" s="36">
        <v>2633157</v>
      </c>
      <c r="AE137" s="36">
        <v>1361484</v>
      </c>
      <c r="AF137" s="39">
        <v>0.5171</v>
      </c>
      <c r="AG137" s="36">
        <v>1950264</v>
      </c>
      <c r="AH137" s="36">
        <v>1054705</v>
      </c>
      <c r="AI137" s="39">
        <v>0.54079999999999995</v>
      </c>
    </row>
    <row r="138" spans="1:35" ht="14" x14ac:dyDescent="0.2">
      <c r="A138" s="1" t="s">
        <v>305</v>
      </c>
      <c r="B138" s="1" t="s">
        <v>429</v>
      </c>
      <c r="C138" s="1" t="s">
        <v>438</v>
      </c>
      <c r="D138" s="1" t="s">
        <v>306</v>
      </c>
      <c r="E138" s="25">
        <v>941</v>
      </c>
      <c r="F138" s="21">
        <v>220435.00083899999</v>
      </c>
      <c r="G138" s="20">
        <f t="shared" si="20"/>
        <v>113965.00021300001</v>
      </c>
      <c r="H138" s="24">
        <f t="shared" si="21"/>
        <v>0.51700047532940152</v>
      </c>
      <c r="I138" s="12">
        <v>381</v>
      </c>
      <c r="J138" s="12">
        <v>88685.000316000005</v>
      </c>
      <c r="K138" s="13">
        <f t="shared" si="22"/>
        <v>0.4023181435727316</v>
      </c>
      <c r="L138" s="4">
        <v>81</v>
      </c>
      <c r="M138" s="4">
        <v>23416.999926</v>
      </c>
      <c r="N138" s="17">
        <f t="shared" si="23"/>
        <v>0.10623086096523832</v>
      </c>
      <c r="O138" s="9">
        <v>13</v>
      </c>
      <c r="P138" s="9">
        <v>1862.999971</v>
      </c>
      <c r="Q138" s="18">
        <f t="shared" si="24"/>
        <v>8.45147079143156E-3</v>
      </c>
      <c r="R138" s="36">
        <v>5153111</v>
      </c>
      <c r="S138" s="36">
        <v>2639522</v>
      </c>
      <c r="T138" s="39">
        <v>0.51219999999999999</v>
      </c>
      <c r="U138" s="36">
        <v>4894101</v>
      </c>
      <c r="V138" s="36">
        <v>2364856</v>
      </c>
      <c r="W138" s="39">
        <v>0.48320000000000002</v>
      </c>
      <c r="X138" s="36">
        <v>5092241</v>
      </c>
      <c r="Y138" s="36">
        <v>2608662</v>
      </c>
      <c r="Z138" s="39">
        <v>0.51229999999999998</v>
      </c>
      <c r="AA138" s="36">
        <v>4257085</v>
      </c>
      <c r="AB138" s="36">
        <v>1969646</v>
      </c>
      <c r="AC138" s="39">
        <v>0.4627</v>
      </c>
      <c r="AD138" s="36">
        <v>4025997</v>
      </c>
      <c r="AE138" s="36">
        <v>1856049</v>
      </c>
      <c r="AF138" s="39">
        <v>0.46100000000000002</v>
      </c>
      <c r="AG138" s="36">
        <v>2742631</v>
      </c>
      <c r="AH138" s="36">
        <v>1383878</v>
      </c>
      <c r="AI138" s="39">
        <v>0.50460000000000005</v>
      </c>
    </row>
    <row r="139" spans="1:35" ht="14" x14ac:dyDescent="0.2">
      <c r="A139" s="1" t="s">
        <v>307</v>
      </c>
      <c r="B139" s="1" t="s">
        <v>429</v>
      </c>
      <c r="C139" s="1" t="s">
        <v>438</v>
      </c>
      <c r="D139" s="1" t="s">
        <v>308</v>
      </c>
      <c r="E139" s="25">
        <v>958</v>
      </c>
      <c r="F139" s="21">
        <v>290879.00069399999</v>
      </c>
      <c r="G139" s="20">
        <f t="shared" si="20"/>
        <v>157243.00017700001</v>
      </c>
      <c r="H139" s="24">
        <f t="shared" si="21"/>
        <v>0.54057872793098982</v>
      </c>
      <c r="I139" s="12">
        <v>396</v>
      </c>
      <c r="J139" s="12">
        <v>125071.000077</v>
      </c>
      <c r="K139" s="13">
        <f t="shared" si="22"/>
        <v>0.429976037385293</v>
      </c>
      <c r="L139" s="4">
        <v>87</v>
      </c>
      <c r="M139" s="4">
        <v>27699.000109000001</v>
      </c>
      <c r="N139" s="17">
        <f t="shared" si="23"/>
        <v>9.5225162500262098E-2</v>
      </c>
      <c r="O139" s="9">
        <v>18</v>
      </c>
      <c r="P139" s="9">
        <v>4472.9999909999997</v>
      </c>
      <c r="Q139" s="18">
        <f t="shared" si="24"/>
        <v>1.5377528045434683E-2</v>
      </c>
      <c r="R139" s="36">
        <v>4283663</v>
      </c>
      <c r="S139" s="36">
        <v>2453524</v>
      </c>
      <c r="T139" s="39">
        <v>0.57279999999999998</v>
      </c>
      <c r="U139" s="36">
        <v>4258725</v>
      </c>
      <c r="V139" s="36">
        <v>2331142</v>
      </c>
      <c r="W139" s="39">
        <v>0.5474</v>
      </c>
      <c r="X139" s="36">
        <v>4302741</v>
      </c>
      <c r="Y139" s="36">
        <v>2354602</v>
      </c>
      <c r="Z139" s="39">
        <v>0.54720000000000002</v>
      </c>
      <c r="AA139" s="36">
        <v>4246079</v>
      </c>
      <c r="AB139" s="36">
        <v>1918907</v>
      </c>
      <c r="AC139" s="39">
        <v>0.45190000000000002</v>
      </c>
      <c r="AD139" s="36">
        <v>4081146</v>
      </c>
      <c r="AE139" s="36">
        <v>1779401</v>
      </c>
      <c r="AF139" s="39">
        <v>0.436</v>
      </c>
      <c r="AG139" s="36">
        <v>2881207</v>
      </c>
      <c r="AH139" s="36">
        <v>1322807</v>
      </c>
      <c r="AI139" s="39">
        <v>0.45910000000000001</v>
      </c>
    </row>
    <row r="140" spans="1:35" ht="14" x14ac:dyDescent="0.2">
      <c r="A140" s="1" t="s">
        <v>309</v>
      </c>
      <c r="B140" s="1" t="s">
        <v>429</v>
      </c>
      <c r="C140" s="1" t="s">
        <v>435</v>
      </c>
      <c r="D140" s="1" t="s">
        <v>310</v>
      </c>
      <c r="E140" s="25">
        <v>822</v>
      </c>
      <c r="F140" s="21">
        <v>188162.000539</v>
      </c>
      <c r="G140" s="20">
        <f t="shared" si="20"/>
        <v>109705.00047600002</v>
      </c>
      <c r="H140" s="24">
        <f t="shared" si="21"/>
        <v>0.58303483254718935</v>
      </c>
      <c r="I140" s="12">
        <v>383</v>
      </c>
      <c r="J140" s="12">
        <v>91135.000316000005</v>
      </c>
      <c r="K140" s="13">
        <f t="shared" si="22"/>
        <v>0.48434327895610685</v>
      </c>
      <c r="L140" s="4">
        <v>73</v>
      </c>
      <c r="M140" s="4">
        <v>16052.000110000001</v>
      </c>
      <c r="N140" s="17">
        <f t="shared" si="23"/>
        <v>8.5309467714087844E-2</v>
      </c>
      <c r="O140" s="9">
        <v>10</v>
      </c>
      <c r="P140" s="9">
        <v>2518.0000500000001</v>
      </c>
      <c r="Q140" s="18">
        <f t="shared" si="24"/>
        <v>1.3382085876994588E-2</v>
      </c>
      <c r="R140" s="36">
        <v>3526307</v>
      </c>
      <c r="S140" s="36">
        <v>2025030</v>
      </c>
      <c r="T140" s="39">
        <v>0.57430000000000003</v>
      </c>
      <c r="U140" s="36">
        <v>3499841</v>
      </c>
      <c r="V140" s="36">
        <v>1963904</v>
      </c>
      <c r="W140" s="39">
        <v>0.56110000000000004</v>
      </c>
      <c r="X140" s="36">
        <v>3603423</v>
      </c>
      <c r="Y140" s="36">
        <v>2162350</v>
      </c>
      <c r="Z140" s="39">
        <v>0.60009999999999997</v>
      </c>
      <c r="AA140" s="36">
        <v>3172843</v>
      </c>
      <c r="AB140" s="36">
        <v>1655807</v>
      </c>
      <c r="AC140" s="39">
        <v>0.52190000000000003</v>
      </c>
      <c r="AD140" s="36">
        <v>2782784</v>
      </c>
      <c r="AE140" s="36">
        <v>1465268</v>
      </c>
      <c r="AF140" s="39">
        <v>0.52649999999999997</v>
      </c>
      <c r="AG140" s="36">
        <v>1984765</v>
      </c>
      <c r="AH140" s="36">
        <v>1117226</v>
      </c>
      <c r="AI140" s="39">
        <v>0.56289999999999996</v>
      </c>
    </row>
    <row r="141" spans="1:35" ht="14" x14ac:dyDescent="0.2">
      <c r="A141" s="1" t="s">
        <v>311</v>
      </c>
      <c r="B141" s="1" t="s">
        <v>430</v>
      </c>
      <c r="C141" s="1" t="s">
        <v>433</v>
      </c>
      <c r="D141" s="1" t="s">
        <v>312</v>
      </c>
      <c r="E141" s="25">
        <v>1483</v>
      </c>
      <c r="F141" s="21">
        <v>300206.00101299997</v>
      </c>
      <c r="G141" s="20">
        <f t="shared" si="20"/>
        <v>228887.000994</v>
      </c>
      <c r="H141" s="24">
        <f t="shared" si="21"/>
        <v>0.76243312998959134</v>
      </c>
      <c r="I141" s="12">
        <v>1056</v>
      </c>
      <c r="J141" s="12">
        <v>205090.000921</v>
      </c>
      <c r="K141" s="13">
        <f t="shared" si="22"/>
        <v>0.68316422799329346</v>
      </c>
      <c r="L141" s="4">
        <v>114</v>
      </c>
      <c r="M141" s="4">
        <v>22014.000081999999</v>
      </c>
      <c r="N141" s="17">
        <f t="shared" si="23"/>
        <v>7.3329647001449227E-2</v>
      </c>
      <c r="O141" s="9">
        <v>9</v>
      </c>
      <c r="P141" s="9">
        <v>1782.9999909999999</v>
      </c>
      <c r="Q141" s="18">
        <f t="shared" si="24"/>
        <v>5.9392549948486528E-3</v>
      </c>
      <c r="R141" s="36">
        <v>3604089</v>
      </c>
      <c r="S141" s="36">
        <v>2623022</v>
      </c>
      <c r="T141" s="39">
        <v>0.7278</v>
      </c>
      <c r="U141" s="36">
        <v>3421997</v>
      </c>
      <c r="V141" s="36">
        <v>2424131</v>
      </c>
      <c r="W141" s="39">
        <v>0.70840000000000003</v>
      </c>
      <c r="X141" s="36">
        <v>3110997</v>
      </c>
      <c r="Y141" s="36">
        <v>2142228</v>
      </c>
      <c r="Z141" s="39">
        <v>0.68859999999999999</v>
      </c>
      <c r="AA141" s="36">
        <v>3250641</v>
      </c>
      <c r="AB141" s="36">
        <v>2007907</v>
      </c>
      <c r="AC141" s="39">
        <v>0.61770000000000003</v>
      </c>
      <c r="AD141" s="36">
        <v>2973517</v>
      </c>
      <c r="AE141" s="36">
        <v>2010973</v>
      </c>
      <c r="AF141" s="39">
        <v>0.67630000000000001</v>
      </c>
      <c r="AG141" s="36">
        <v>1949448</v>
      </c>
      <c r="AH141" s="36">
        <v>1404875</v>
      </c>
      <c r="AI141" s="39">
        <v>0.72070000000000001</v>
      </c>
    </row>
    <row r="142" spans="1:35" ht="14" x14ac:dyDescent="0.2">
      <c r="A142" s="1" t="s">
        <v>313</v>
      </c>
      <c r="B142" s="1" t="s">
        <v>430</v>
      </c>
      <c r="C142" s="1" t="s">
        <v>433</v>
      </c>
      <c r="D142" s="1" t="s">
        <v>314</v>
      </c>
      <c r="E142" s="25">
        <v>1520</v>
      </c>
      <c r="F142" s="21">
        <v>356753.00090099999</v>
      </c>
      <c r="G142" s="20">
        <f t="shared" si="20"/>
        <v>335567.00098299998</v>
      </c>
      <c r="H142" s="24">
        <f t="shared" si="21"/>
        <v>0.94061437503120204</v>
      </c>
      <c r="I142" s="12">
        <v>1309</v>
      </c>
      <c r="J142" s="12">
        <v>305222.00099899998</v>
      </c>
      <c r="K142" s="13">
        <f t="shared" si="22"/>
        <v>0.85555552504994903</v>
      </c>
      <c r="L142" s="4">
        <v>104</v>
      </c>
      <c r="M142" s="4">
        <v>27127.999939000001</v>
      </c>
      <c r="N142" s="17">
        <f t="shared" si="23"/>
        <v>7.6041406436628975E-2</v>
      </c>
      <c r="O142" s="9">
        <v>17</v>
      </c>
      <c r="P142" s="9">
        <v>3217.0000449999998</v>
      </c>
      <c r="Q142" s="18">
        <f t="shared" si="24"/>
        <v>9.0174435446241045E-3</v>
      </c>
      <c r="R142" s="36">
        <v>4422035</v>
      </c>
      <c r="S142" s="36">
        <v>3476007</v>
      </c>
      <c r="T142" s="39">
        <v>0.78610000000000002</v>
      </c>
      <c r="U142" s="36">
        <v>3880317</v>
      </c>
      <c r="V142" s="36">
        <v>3107182</v>
      </c>
      <c r="W142" s="39">
        <v>0.80079999999999996</v>
      </c>
      <c r="X142" s="36">
        <v>4281804</v>
      </c>
      <c r="Y142" s="36">
        <v>3449185</v>
      </c>
      <c r="Z142" s="39">
        <v>0.80549999999999999</v>
      </c>
      <c r="AA142" s="36">
        <v>4354512</v>
      </c>
      <c r="AB142" s="36">
        <v>2750302</v>
      </c>
      <c r="AC142" s="39">
        <v>0.63160000000000005</v>
      </c>
      <c r="AD142" s="36">
        <v>3900453</v>
      </c>
      <c r="AE142" s="36">
        <v>2663588</v>
      </c>
      <c r="AF142" s="39">
        <v>0.68289999999999995</v>
      </c>
      <c r="AG142" s="36">
        <v>2899844</v>
      </c>
      <c r="AH142" s="36">
        <v>2102585</v>
      </c>
      <c r="AI142" s="39">
        <v>0.72509999999999997</v>
      </c>
    </row>
    <row r="143" spans="1:35" ht="14" x14ac:dyDescent="0.2">
      <c r="A143" s="1" t="s">
        <v>315</v>
      </c>
      <c r="B143" s="1" t="s">
        <v>429</v>
      </c>
      <c r="C143" s="1" t="s">
        <v>433</v>
      </c>
      <c r="D143" s="1" t="s">
        <v>316</v>
      </c>
      <c r="E143" s="25">
        <v>1011</v>
      </c>
      <c r="F143" s="21">
        <v>226502.000718</v>
      </c>
      <c r="G143" s="20">
        <f t="shared" si="20"/>
        <v>108795.00057300001</v>
      </c>
      <c r="H143" s="24">
        <f t="shared" si="21"/>
        <v>0.4803268855379878</v>
      </c>
      <c r="I143" s="12">
        <v>359</v>
      </c>
      <c r="J143" s="12">
        <v>89921.000537</v>
      </c>
      <c r="K143" s="13">
        <f t="shared" si="22"/>
        <v>0.39699870311059032</v>
      </c>
      <c r="L143" s="4">
        <v>62</v>
      </c>
      <c r="M143" s="4">
        <v>17329.000017999999</v>
      </c>
      <c r="N143" s="17">
        <f t="shared" si="23"/>
        <v>7.6507050547314978E-2</v>
      </c>
      <c r="O143" s="9">
        <v>17</v>
      </c>
      <c r="P143" s="9">
        <v>1545.000018</v>
      </c>
      <c r="Q143" s="18">
        <f t="shared" si="24"/>
        <v>6.8211318800824152E-3</v>
      </c>
      <c r="R143" s="36">
        <v>4318619</v>
      </c>
      <c r="S143" s="36">
        <v>2421063</v>
      </c>
      <c r="T143" s="39">
        <v>0.56059999999999999</v>
      </c>
      <c r="U143" s="36">
        <v>4177275</v>
      </c>
      <c r="V143" s="36">
        <v>2318629</v>
      </c>
      <c r="W143" s="39">
        <v>0.55510000000000004</v>
      </c>
      <c r="X143" s="36">
        <v>4244519</v>
      </c>
      <c r="Y143" s="36">
        <v>2524420</v>
      </c>
      <c r="Z143" s="39">
        <v>0.59470000000000001</v>
      </c>
      <c r="AA143" s="36">
        <v>3882929</v>
      </c>
      <c r="AB143" s="36">
        <v>1965185</v>
      </c>
      <c r="AC143" s="39">
        <v>0.50609999999999999</v>
      </c>
      <c r="AD143" s="36">
        <v>3858560</v>
      </c>
      <c r="AE143" s="36">
        <v>2001297</v>
      </c>
      <c r="AF143" s="39">
        <v>0.51870000000000005</v>
      </c>
      <c r="AG143" s="36">
        <v>2500907</v>
      </c>
      <c r="AH143" s="36">
        <v>1424821</v>
      </c>
      <c r="AI143" s="39">
        <v>0.56969999999999998</v>
      </c>
    </row>
    <row r="144" spans="1:35" ht="14" x14ac:dyDescent="0.2">
      <c r="A144" s="1" t="s">
        <v>317</v>
      </c>
      <c r="B144" s="1" t="s">
        <v>429</v>
      </c>
      <c r="C144" s="1" t="s">
        <v>435</v>
      </c>
      <c r="D144" s="1" t="s">
        <v>318</v>
      </c>
      <c r="E144" s="25">
        <v>935</v>
      </c>
      <c r="F144" s="21">
        <v>251457.00068200001</v>
      </c>
      <c r="G144" s="20">
        <f t="shared" si="20"/>
        <v>142505.00043900002</v>
      </c>
      <c r="H144" s="24">
        <f t="shared" si="21"/>
        <v>0.56671717252849951</v>
      </c>
      <c r="I144" s="12">
        <v>373</v>
      </c>
      <c r="J144" s="12">
        <v>112890.000422</v>
      </c>
      <c r="K144" s="13">
        <f t="shared" si="22"/>
        <v>0.44894355741069242</v>
      </c>
      <c r="L144" s="4">
        <v>99</v>
      </c>
      <c r="M144" s="4">
        <v>27342</v>
      </c>
      <c r="N144" s="17">
        <f t="shared" si="23"/>
        <v>0.10873429622497369</v>
      </c>
      <c r="O144" s="9">
        <v>10</v>
      </c>
      <c r="P144" s="9">
        <v>2273.0000169999998</v>
      </c>
      <c r="Q144" s="18">
        <f t="shared" si="24"/>
        <v>9.0393188928333049E-3</v>
      </c>
      <c r="R144" s="36">
        <v>4896056</v>
      </c>
      <c r="S144" s="36">
        <v>3380394</v>
      </c>
      <c r="T144" s="39">
        <v>0.69040000000000001</v>
      </c>
      <c r="U144" s="36">
        <v>4795067</v>
      </c>
      <c r="V144" s="36">
        <v>3168177</v>
      </c>
      <c r="W144" s="39">
        <v>0.66069999999999995</v>
      </c>
      <c r="X144" s="36">
        <v>5042839</v>
      </c>
      <c r="Y144" s="36">
        <v>3509283</v>
      </c>
      <c r="Z144" s="39">
        <v>0.69589999999999996</v>
      </c>
      <c r="AA144" s="36">
        <v>5559306</v>
      </c>
      <c r="AB144" s="36">
        <v>2764489</v>
      </c>
      <c r="AC144" s="39">
        <v>0.49730000000000002</v>
      </c>
      <c r="AD144" s="36">
        <v>5645452</v>
      </c>
      <c r="AE144" s="36">
        <v>2555695</v>
      </c>
      <c r="AF144" s="39">
        <v>0.45269999999999999</v>
      </c>
      <c r="AG144" s="36">
        <v>3669311</v>
      </c>
      <c r="AH144" s="36">
        <v>1911100</v>
      </c>
      <c r="AI144" s="39">
        <v>0.52080000000000004</v>
      </c>
    </row>
    <row r="145" spans="1:35" ht="14" x14ac:dyDescent="0.2">
      <c r="A145" s="1" t="s">
        <v>319</v>
      </c>
      <c r="B145" s="1" t="s">
        <v>429</v>
      </c>
      <c r="C145" s="1" t="s">
        <v>433</v>
      </c>
      <c r="D145" s="1" t="s">
        <v>320</v>
      </c>
      <c r="E145" s="25">
        <v>988</v>
      </c>
      <c r="F145" s="21">
        <v>225833.00083800001</v>
      </c>
      <c r="G145" s="20">
        <f t="shared" si="20"/>
        <v>96324.000252999991</v>
      </c>
      <c r="H145" s="24">
        <f t="shared" si="21"/>
        <v>0.4265275663679351</v>
      </c>
      <c r="I145" s="12">
        <v>343</v>
      </c>
      <c r="J145" s="12">
        <v>82868.000119999997</v>
      </c>
      <c r="K145" s="13">
        <f t="shared" si="22"/>
        <v>0.36694371421581951</v>
      </c>
      <c r="L145" s="4">
        <v>48</v>
      </c>
      <c r="M145" s="4">
        <v>10606.000109000001</v>
      </c>
      <c r="N145" s="17">
        <f t="shared" si="23"/>
        <v>4.6963907266184504E-2</v>
      </c>
      <c r="O145" s="9">
        <v>15</v>
      </c>
      <c r="P145" s="9">
        <v>2850.0000239999999</v>
      </c>
      <c r="Q145" s="18">
        <f t="shared" si="24"/>
        <v>1.2619944885931135E-2</v>
      </c>
      <c r="R145" s="36">
        <v>3010337</v>
      </c>
      <c r="S145" s="36">
        <v>1377490</v>
      </c>
      <c r="T145" s="39">
        <v>0.45760000000000001</v>
      </c>
      <c r="U145" s="36">
        <v>2825744</v>
      </c>
      <c r="V145" s="36">
        <v>1226949</v>
      </c>
      <c r="W145" s="39">
        <v>0.43419999999999997</v>
      </c>
      <c r="X145" s="36">
        <v>2966183</v>
      </c>
      <c r="Y145" s="36">
        <v>1596434</v>
      </c>
      <c r="Z145" s="39">
        <v>0.53820000000000001</v>
      </c>
      <c r="AA145" s="36">
        <v>2702244</v>
      </c>
      <c r="AB145" s="36">
        <v>1224885</v>
      </c>
      <c r="AC145" s="39">
        <v>0.45329999999999998</v>
      </c>
      <c r="AD145" s="36">
        <v>2356410</v>
      </c>
      <c r="AE145" s="36">
        <v>1018264</v>
      </c>
      <c r="AF145" s="39">
        <v>0.43209999999999998</v>
      </c>
      <c r="AG145" s="36">
        <v>1673508</v>
      </c>
      <c r="AH145" s="36">
        <v>837342</v>
      </c>
      <c r="AI145" s="39">
        <v>0.50039999999999996</v>
      </c>
    </row>
    <row r="146" spans="1:35" ht="14" x14ac:dyDescent="0.2">
      <c r="A146" s="1" t="s">
        <v>321</v>
      </c>
      <c r="B146" s="1" t="s">
        <v>430</v>
      </c>
      <c r="C146" s="1" t="s">
        <v>433</v>
      </c>
      <c r="D146" s="1" t="s">
        <v>322</v>
      </c>
      <c r="E146" s="25">
        <v>1003</v>
      </c>
      <c r="F146" s="21">
        <v>207601.00083100001</v>
      </c>
      <c r="G146" s="20">
        <f t="shared" si="20"/>
        <v>190589.00083100001</v>
      </c>
      <c r="H146" s="24">
        <f t="shared" si="21"/>
        <v>0.91805434496026916</v>
      </c>
      <c r="I146" s="12">
        <v>829</v>
      </c>
      <c r="J146" s="12">
        <v>171075.000688</v>
      </c>
      <c r="K146" s="13">
        <f t="shared" si="22"/>
        <v>0.82405672421235376</v>
      </c>
      <c r="L146" s="4">
        <v>89</v>
      </c>
      <c r="M146" s="4">
        <v>17958.000114999999</v>
      </c>
      <c r="N146" s="17">
        <f t="shared" si="23"/>
        <v>8.6502473702518012E-2</v>
      </c>
      <c r="O146" s="9">
        <v>10</v>
      </c>
      <c r="P146" s="9">
        <v>1556.0000279999999</v>
      </c>
      <c r="Q146" s="18">
        <f t="shared" si="24"/>
        <v>7.4951470453973375E-3</v>
      </c>
      <c r="R146" s="36">
        <v>4151912</v>
      </c>
      <c r="S146" s="36">
        <v>2834898</v>
      </c>
      <c r="T146" s="39">
        <v>0.68279999999999996</v>
      </c>
      <c r="U146" s="36">
        <v>3706912</v>
      </c>
      <c r="V146" s="36">
        <v>2398101</v>
      </c>
      <c r="W146" s="39">
        <v>0.64690000000000003</v>
      </c>
      <c r="X146" s="36">
        <v>3173802</v>
      </c>
      <c r="Y146" s="36">
        <v>2102944</v>
      </c>
      <c r="Z146" s="39">
        <v>0.66259999999999997</v>
      </c>
      <c r="AA146" s="36">
        <v>3538255</v>
      </c>
      <c r="AB146" s="36">
        <v>2288123</v>
      </c>
      <c r="AC146" s="39">
        <v>0.64670000000000005</v>
      </c>
      <c r="AD146" s="36">
        <v>3201301</v>
      </c>
      <c r="AE146" s="36">
        <v>2205119</v>
      </c>
      <c r="AF146" s="39">
        <v>0.68879999999999997</v>
      </c>
      <c r="AG146" s="36">
        <v>2093972</v>
      </c>
      <c r="AH146" s="36">
        <v>1443791</v>
      </c>
      <c r="AI146" s="39">
        <v>0.6895</v>
      </c>
    </row>
    <row r="147" spans="1:35" ht="14" x14ac:dyDescent="0.2">
      <c r="A147" s="1" t="s">
        <v>323</v>
      </c>
      <c r="B147" s="1" t="s">
        <v>429</v>
      </c>
      <c r="C147" s="1" t="s">
        <v>433</v>
      </c>
      <c r="D147" s="1" t="s">
        <v>324</v>
      </c>
      <c r="E147" s="25">
        <v>640</v>
      </c>
      <c r="F147" s="21">
        <v>163446.000616</v>
      </c>
      <c r="G147" s="20">
        <f t="shared" si="20"/>
        <v>95784.000610000003</v>
      </c>
      <c r="H147" s="24">
        <f t="shared" si="21"/>
        <v>0.58602841457733135</v>
      </c>
      <c r="I147" s="12">
        <v>315</v>
      </c>
      <c r="J147" s="12">
        <v>80553.000528999997</v>
      </c>
      <c r="K147" s="13">
        <f t="shared" si="22"/>
        <v>0.49284167385809091</v>
      </c>
      <c r="L147" s="4">
        <v>47</v>
      </c>
      <c r="M147" s="4">
        <v>14376.00006</v>
      </c>
      <c r="N147" s="17">
        <f t="shared" si="23"/>
        <v>8.7955655114345513E-2</v>
      </c>
      <c r="O147" s="9">
        <v>5</v>
      </c>
      <c r="P147" s="9">
        <v>855.00002099999995</v>
      </c>
      <c r="Q147" s="18">
        <f t="shared" si="24"/>
        <v>5.2310856048948962E-3</v>
      </c>
      <c r="R147" s="36">
        <v>3820057</v>
      </c>
      <c r="S147" s="36">
        <v>2038863</v>
      </c>
      <c r="T147" s="39">
        <v>0.53369999999999995</v>
      </c>
      <c r="U147" s="36">
        <v>3736844</v>
      </c>
      <c r="V147" s="36">
        <v>1936867</v>
      </c>
      <c r="W147" s="39">
        <v>0.51829999999999998</v>
      </c>
      <c r="X147" s="36">
        <v>4431379</v>
      </c>
      <c r="Y147" s="36">
        <v>2477687</v>
      </c>
      <c r="Z147" s="39">
        <v>0.55910000000000004</v>
      </c>
      <c r="AA147" s="36">
        <v>3414082</v>
      </c>
      <c r="AB147" s="36">
        <v>1601304</v>
      </c>
      <c r="AC147" s="39">
        <v>0.46899999999999997</v>
      </c>
      <c r="AD147" s="36">
        <v>3539347</v>
      </c>
      <c r="AE147" s="36">
        <v>1669127</v>
      </c>
      <c r="AF147" s="39">
        <v>0.47160000000000002</v>
      </c>
      <c r="AG147" s="36">
        <v>2211410</v>
      </c>
      <c r="AH147" s="36">
        <v>1108865</v>
      </c>
      <c r="AI147" s="39">
        <v>0.50139999999999996</v>
      </c>
    </row>
    <row r="148" spans="1:35" ht="14" x14ac:dyDescent="0.2">
      <c r="A148" s="1" t="s">
        <v>325</v>
      </c>
      <c r="B148" s="1" t="s">
        <v>429</v>
      </c>
      <c r="C148" s="1" t="s">
        <v>433</v>
      </c>
      <c r="D148" s="1" t="s">
        <v>326</v>
      </c>
      <c r="E148" s="25">
        <v>967</v>
      </c>
      <c r="F148" s="21">
        <v>267992.00089999998</v>
      </c>
      <c r="G148" s="20">
        <f t="shared" si="20"/>
        <v>133513.000493</v>
      </c>
      <c r="H148" s="24">
        <f t="shared" si="21"/>
        <v>0.49819770756075582</v>
      </c>
      <c r="I148" s="12">
        <v>391</v>
      </c>
      <c r="J148" s="12">
        <v>108470.000332</v>
      </c>
      <c r="K148" s="13">
        <f t="shared" si="22"/>
        <v>0.40475088796577585</v>
      </c>
      <c r="L148" s="4">
        <v>77</v>
      </c>
      <c r="M148" s="4">
        <v>21406.000102000002</v>
      </c>
      <c r="N148" s="17">
        <f t="shared" si="23"/>
        <v>7.9875518784560867E-2</v>
      </c>
      <c r="O148" s="9">
        <v>13</v>
      </c>
      <c r="P148" s="9">
        <v>3637.000059</v>
      </c>
      <c r="Q148" s="18">
        <f t="shared" si="24"/>
        <v>1.3571300810419077E-2</v>
      </c>
      <c r="R148" s="36">
        <v>5205247</v>
      </c>
      <c r="S148" s="36">
        <v>3044109</v>
      </c>
      <c r="T148" s="39">
        <v>0.58479999999999999</v>
      </c>
      <c r="U148" s="36">
        <v>5100775</v>
      </c>
      <c r="V148" s="36">
        <v>2797083</v>
      </c>
      <c r="W148" s="39">
        <v>0.5484</v>
      </c>
      <c r="X148" s="36">
        <v>6231294</v>
      </c>
      <c r="Y148" s="36">
        <v>3384077</v>
      </c>
      <c r="Z148" s="39">
        <v>0.54310000000000003</v>
      </c>
      <c r="AA148" s="36">
        <v>5607272</v>
      </c>
      <c r="AB148" s="36">
        <v>2513439</v>
      </c>
      <c r="AC148" s="39">
        <v>0.44819999999999999</v>
      </c>
      <c r="AD148" s="36">
        <v>5699977</v>
      </c>
      <c r="AE148" s="36">
        <v>2451448</v>
      </c>
      <c r="AF148" s="39">
        <v>0.43009999999999998</v>
      </c>
      <c r="AG148" s="36">
        <v>3297359</v>
      </c>
      <c r="AH148" s="36">
        <v>1537155</v>
      </c>
      <c r="AI148" s="39">
        <v>0.4662</v>
      </c>
    </row>
    <row r="149" spans="1:35" ht="14" x14ac:dyDescent="0.2">
      <c r="A149" s="1" t="s">
        <v>327</v>
      </c>
      <c r="B149" s="1" t="s">
        <v>429</v>
      </c>
      <c r="C149" s="1" t="s">
        <v>438</v>
      </c>
      <c r="D149" s="1" t="s">
        <v>328</v>
      </c>
      <c r="E149" s="25">
        <v>998</v>
      </c>
      <c r="F149" s="21">
        <v>281253.00102199998</v>
      </c>
      <c r="G149" s="20">
        <f t="shared" si="20"/>
        <v>131954.00022700001</v>
      </c>
      <c r="H149" s="24">
        <f t="shared" si="21"/>
        <v>0.4691647724558089</v>
      </c>
      <c r="I149" s="12">
        <v>398</v>
      </c>
      <c r="J149" s="12">
        <v>116994.000181</v>
      </c>
      <c r="K149" s="13">
        <f t="shared" si="22"/>
        <v>0.41597422874022444</v>
      </c>
      <c r="L149" s="4">
        <v>42</v>
      </c>
      <c r="M149" s="4">
        <v>11612.000051999999</v>
      </c>
      <c r="N149" s="17">
        <f t="shared" si="23"/>
        <v>4.1286670754818698E-2</v>
      </c>
      <c r="O149" s="9">
        <v>13</v>
      </c>
      <c r="P149" s="9">
        <v>3347.9999939999998</v>
      </c>
      <c r="Q149" s="18">
        <f t="shared" si="24"/>
        <v>1.1903872960765723E-2</v>
      </c>
      <c r="R149" s="36">
        <v>2612974</v>
      </c>
      <c r="S149" s="36">
        <v>1743874</v>
      </c>
      <c r="T149" s="39">
        <v>0.66739999999999999</v>
      </c>
      <c r="U149" s="36">
        <v>2605277</v>
      </c>
      <c r="V149" s="36">
        <v>1557936</v>
      </c>
      <c r="W149" s="39">
        <v>0.59799999999999998</v>
      </c>
      <c r="X149" s="36">
        <v>3325889</v>
      </c>
      <c r="Y149" s="36">
        <v>2011405</v>
      </c>
      <c r="Z149" s="39">
        <v>0.6048</v>
      </c>
      <c r="AA149" s="36">
        <v>2664323</v>
      </c>
      <c r="AB149" s="36">
        <v>1330810</v>
      </c>
      <c r="AC149" s="39">
        <v>0.4995</v>
      </c>
      <c r="AD149" s="36">
        <v>2618378</v>
      </c>
      <c r="AE149" s="36">
        <v>1227032</v>
      </c>
      <c r="AF149" s="39">
        <v>0.46860000000000002</v>
      </c>
      <c r="AG149" s="36">
        <v>1770011</v>
      </c>
      <c r="AH149" s="36">
        <v>916421</v>
      </c>
      <c r="AI149" s="39">
        <v>0.51770000000000005</v>
      </c>
    </row>
    <row r="150" spans="1:35" ht="14" x14ac:dyDescent="0.2">
      <c r="A150" s="1" t="s">
        <v>329</v>
      </c>
      <c r="B150" s="1" t="s">
        <v>430</v>
      </c>
      <c r="C150" s="1" t="s">
        <v>433</v>
      </c>
      <c r="D150" s="1" t="s">
        <v>330</v>
      </c>
      <c r="E150" s="25">
        <v>1043</v>
      </c>
      <c r="F150" s="21">
        <v>280204.00109600002</v>
      </c>
      <c r="G150" s="20">
        <f t="shared" si="20"/>
        <v>237812.000894</v>
      </c>
      <c r="H150" s="24">
        <f t="shared" si="21"/>
        <v>0.84871022527806017</v>
      </c>
      <c r="I150" s="12">
        <v>817</v>
      </c>
      <c r="J150" s="12">
        <v>210017.000803</v>
      </c>
      <c r="K150" s="13">
        <f t="shared" si="22"/>
        <v>0.74951463926828998</v>
      </c>
      <c r="L150" s="4">
        <v>75</v>
      </c>
      <c r="M150" s="4">
        <v>22096.000136999999</v>
      </c>
      <c r="N150" s="17">
        <f t="shared" si="23"/>
        <v>7.8856833059388551E-2</v>
      </c>
      <c r="O150" s="9">
        <v>26</v>
      </c>
      <c r="P150" s="9">
        <v>5698.9999539999999</v>
      </c>
      <c r="Q150" s="18">
        <f t="shared" si="24"/>
        <v>2.0338752950381601E-2</v>
      </c>
      <c r="R150" s="36">
        <v>4272447</v>
      </c>
      <c r="S150" s="36">
        <v>2984413</v>
      </c>
      <c r="T150" s="39">
        <v>0.69850000000000001</v>
      </c>
      <c r="U150" s="36">
        <v>3886953</v>
      </c>
      <c r="V150" s="36">
        <v>2692894</v>
      </c>
      <c r="W150" s="39">
        <v>0.69279999999999997</v>
      </c>
      <c r="X150" s="36">
        <v>4045748</v>
      </c>
      <c r="Y150" s="36">
        <v>2982667</v>
      </c>
      <c r="Z150" s="39">
        <v>0.73719999999999997</v>
      </c>
      <c r="AA150" s="36">
        <v>3516480</v>
      </c>
      <c r="AB150" s="36">
        <v>2123435</v>
      </c>
      <c r="AC150" s="39">
        <v>0.60389999999999999</v>
      </c>
      <c r="AD150" s="36">
        <v>3224310</v>
      </c>
      <c r="AE150" s="36">
        <v>2146134</v>
      </c>
      <c r="AF150" s="39">
        <v>0.66559999999999997</v>
      </c>
      <c r="AG150" s="36">
        <v>2405818</v>
      </c>
      <c r="AH150" s="36">
        <v>1785786</v>
      </c>
      <c r="AI150" s="39">
        <v>0.74229999999999996</v>
      </c>
    </row>
    <row r="151" spans="1:35" ht="14" x14ac:dyDescent="0.2">
      <c r="A151" s="1" t="s">
        <v>331</v>
      </c>
      <c r="B151" s="1" t="s">
        <v>430</v>
      </c>
      <c r="C151" s="1" t="s">
        <v>433</v>
      </c>
      <c r="D151" s="1" t="s">
        <v>332</v>
      </c>
      <c r="E151" s="25">
        <v>1078</v>
      </c>
      <c r="F151" s="21">
        <v>283083.00091599999</v>
      </c>
      <c r="G151" s="20">
        <f t="shared" si="20"/>
        <v>253232.000696</v>
      </c>
      <c r="H151" s="24">
        <f t="shared" si="21"/>
        <v>0.89455036111879516</v>
      </c>
      <c r="I151" s="12">
        <v>882</v>
      </c>
      <c r="J151" s="12">
        <v>226803.00060999999</v>
      </c>
      <c r="K151" s="13">
        <f t="shared" si="22"/>
        <v>0.80118905012350028</v>
      </c>
      <c r="L151" s="4">
        <v>84</v>
      </c>
      <c r="M151" s="4">
        <v>23006.000109000001</v>
      </c>
      <c r="N151" s="17">
        <f t="shared" si="23"/>
        <v>8.1269451131142395E-2</v>
      </c>
      <c r="O151" s="9">
        <v>15</v>
      </c>
      <c r="P151" s="9">
        <v>3422.9999769999999</v>
      </c>
      <c r="Q151" s="18">
        <f t="shared" si="24"/>
        <v>1.2091859864152409E-2</v>
      </c>
      <c r="R151" s="36">
        <v>5786965</v>
      </c>
      <c r="S151" s="36">
        <v>3543481</v>
      </c>
      <c r="T151" s="39">
        <v>0.61229999999999996</v>
      </c>
      <c r="U151" s="36">
        <v>5632865</v>
      </c>
      <c r="V151" s="36">
        <v>3338212</v>
      </c>
      <c r="W151" s="39">
        <v>0.59260000000000002</v>
      </c>
      <c r="X151" s="36">
        <v>6147947</v>
      </c>
      <c r="Y151" s="36">
        <v>4196827</v>
      </c>
      <c r="Z151" s="39">
        <v>0.68259999999999998</v>
      </c>
      <c r="AA151" s="36">
        <v>4977458</v>
      </c>
      <c r="AB151" s="36">
        <v>2903634</v>
      </c>
      <c r="AC151" s="39">
        <v>0.58340000000000003</v>
      </c>
      <c r="AD151" s="36">
        <v>4611025</v>
      </c>
      <c r="AE151" s="36">
        <v>2880661</v>
      </c>
      <c r="AF151" s="39">
        <v>0.62470000000000003</v>
      </c>
      <c r="AG151" s="36">
        <v>2580909</v>
      </c>
      <c r="AH151" s="36">
        <v>1811406</v>
      </c>
      <c r="AI151" s="39">
        <v>0.70179999999999998</v>
      </c>
    </row>
    <row r="152" spans="1:35" ht="14" x14ac:dyDescent="0.2">
      <c r="A152" s="1" t="s">
        <v>333</v>
      </c>
      <c r="B152" s="1" t="s">
        <v>429</v>
      </c>
      <c r="C152" s="1" t="s">
        <v>438</v>
      </c>
      <c r="D152" s="1" t="s">
        <v>334</v>
      </c>
      <c r="E152" s="25">
        <v>813</v>
      </c>
      <c r="F152" s="21">
        <v>183516.00070199999</v>
      </c>
      <c r="G152" s="20">
        <f t="shared" si="20"/>
        <v>103963.000296</v>
      </c>
      <c r="H152" s="24">
        <f t="shared" si="21"/>
        <v>0.56650646209765065</v>
      </c>
      <c r="I152" s="12">
        <v>379</v>
      </c>
      <c r="J152" s="12">
        <v>81532.000081999999</v>
      </c>
      <c r="K152" s="13">
        <f t="shared" si="22"/>
        <v>0.44427733696308391</v>
      </c>
      <c r="L152" s="4">
        <v>79</v>
      </c>
      <c r="M152" s="4">
        <v>19148.000164000001</v>
      </c>
      <c r="N152" s="17">
        <f t="shared" si="23"/>
        <v>0.10433967659906247</v>
      </c>
      <c r="O152" s="9">
        <v>20</v>
      </c>
      <c r="P152" s="9">
        <v>3283.0000500000001</v>
      </c>
      <c r="Q152" s="18">
        <f t="shared" si="24"/>
        <v>1.7889448535504303E-2</v>
      </c>
      <c r="R152" s="36">
        <v>2573762</v>
      </c>
      <c r="S152" s="36">
        <v>1764889</v>
      </c>
      <c r="T152" s="39">
        <v>0.68569999999999998</v>
      </c>
      <c r="U152" s="36">
        <v>2535828</v>
      </c>
      <c r="V152" s="36">
        <v>1704319</v>
      </c>
      <c r="W152" s="39">
        <v>0.67210000000000003</v>
      </c>
      <c r="X152" s="36">
        <v>2408828</v>
      </c>
      <c r="Y152" s="36">
        <v>1705075</v>
      </c>
      <c r="Z152" s="39">
        <v>0.70779999999999998</v>
      </c>
      <c r="AA152" s="36">
        <v>2105978</v>
      </c>
      <c r="AB152" s="36">
        <v>1248178</v>
      </c>
      <c r="AC152" s="39">
        <v>0.5927</v>
      </c>
      <c r="AD152" s="36">
        <v>2073782</v>
      </c>
      <c r="AE152" s="36">
        <v>1150976</v>
      </c>
      <c r="AF152" s="39">
        <v>0.55500000000000005</v>
      </c>
      <c r="AG152" s="36">
        <v>1452387</v>
      </c>
      <c r="AH152" s="36">
        <v>860950</v>
      </c>
      <c r="AI152" s="39">
        <v>0.59279999999999999</v>
      </c>
    </row>
    <row r="153" spans="1:35" ht="14" x14ac:dyDescent="0.2">
      <c r="A153" s="1" t="s">
        <v>335</v>
      </c>
      <c r="B153" s="1" t="s">
        <v>429</v>
      </c>
      <c r="C153" s="1" t="s">
        <v>435</v>
      </c>
      <c r="D153" s="1" t="s">
        <v>336</v>
      </c>
      <c r="E153" s="25">
        <v>972</v>
      </c>
      <c r="F153" s="21">
        <v>242502.00063200001</v>
      </c>
      <c r="G153" s="20">
        <f t="shared" si="20"/>
        <v>148811.00050100003</v>
      </c>
      <c r="H153" s="24">
        <f t="shared" si="21"/>
        <v>0.61364854769517008</v>
      </c>
      <c r="I153" s="12">
        <v>491</v>
      </c>
      <c r="J153" s="12">
        <v>119608.000415</v>
      </c>
      <c r="K153" s="13">
        <f t="shared" si="22"/>
        <v>0.49322479857189599</v>
      </c>
      <c r="L153" s="4">
        <v>91</v>
      </c>
      <c r="M153" s="4">
        <v>27015.000023000001</v>
      </c>
      <c r="N153" s="17">
        <f t="shared" si="23"/>
        <v>0.11140114288787094</v>
      </c>
      <c r="O153" s="9">
        <v>10</v>
      </c>
      <c r="P153" s="9">
        <v>2188.000063</v>
      </c>
      <c r="Q153" s="18">
        <f t="shared" si="24"/>
        <v>9.0226062354030589E-3</v>
      </c>
      <c r="R153" s="36">
        <v>4136287</v>
      </c>
      <c r="S153" s="36">
        <v>2450705</v>
      </c>
      <c r="T153" s="39">
        <v>0.59250000000000003</v>
      </c>
      <c r="U153" s="36">
        <v>4160750</v>
      </c>
      <c r="V153" s="36">
        <v>2374413</v>
      </c>
      <c r="W153" s="39">
        <v>0.57069999999999999</v>
      </c>
      <c r="X153" s="36">
        <v>4863000</v>
      </c>
      <c r="Y153" s="36">
        <v>2919175</v>
      </c>
      <c r="Z153" s="39">
        <v>0.60029999999999994</v>
      </c>
      <c r="AA153" s="36">
        <v>4059467</v>
      </c>
      <c r="AB153" s="36">
        <v>2045207</v>
      </c>
      <c r="AC153" s="39">
        <v>0.50380000000000003</v>
      </c>
      <c r="AD153" s="36">
        <v>3670416</v>
      </c>
      <c r="AE153" s="36">
        <v>1852971</v>
      </c>
      <c r="AF153" s="39">
        <v>0.50480000000000003</v>
      </c>
      <c r="AG153" s="36">
        <v>2458306</v>
      </c>
      <c r="AH153" s="36">
        <v>1399869</v>
      </c>
      <c r="AI153" s="39">
        <v>0.56940000000000002</v>
      </c>
    </row>
    <row r="154" spans="1:35" ht="14" x14ac:dyDescent="0.2">
      <c r="A154" s="1" t="s">
        <v>337</v>
      </c>
      <c r="B154" s="1" t="s">
        <v>429</v>
      </c>
      <c r="C154" s="1" t="s">
        <v>435</v>
      </c>
      <c r="D154" s="1" t="s">
        <v>338</v>
      </c>
      <c r="E154" s="25">
        <v>945</v>
      </c>
      <c r="F154" s="21">
        <v>222618.00086900001</v>
      </c>
      <c r="G154" s="20">
        <f t="shared" si="20"/>
        <v>123594.00044</v>
      </c>
      <c r="H154" s="24">
        <f t="shared" si="21"/>
        <v>0.55518421671897566</v>
      </c>
      <c r="I154" s="12">
        <v>421</v>
      </c>
      <c r="J154" s="12">
        <v>101700.00039</v>
      </c>
      <c r="K154" s="13">
        <f t="shared" si="22"/>
        <v>0.4568363743857603</v>
      </c>
      <c r="L154" s="4">
        <v>78</v>
      </c>
      <c r="M154" s="4">
        <v>18830.999997999999</v>
      </c>
      <c r="N154" s="17">
        <f t="shared" si="23"/>
        <v>8.4588846923843941E-2</v>
      </c>
      <c r="O154" s="9">
        <v>14</v>
      </c>
      <c r="P154" s="9">
        <v>3063.0000519999999</v>
      </c>
      <c r="Q154" s="18">
        <f t="shared" si="24"/>
        <v>1.3758995409371358E-2</v>
      </c>
      <c r="R154" s="36">
        <v>4093804</v>
      </c>
      <c r="S154" s="36">
        <v>2124131</v>
      </c>
      <c r="T154" s="39">
        <v>0.51890000000000003</v>
      </c>
      <c r="U154" s="36">
        <v>4194289</v>
      </c>
      <c r="V154" s="36">
        <v>2091421</v>
      </c>
      <c r="W154" s="39">
        <v>0.49859999999999999</v>
      </c>
      <c r="X154" s="36">
        <v>4388788</v>
      </c>
      <c r="Y154" s="36">
        <v>2285271</v>
      </c>
      <c r="Z154" s="39">
        <v>0.52070000000000005</v>
      </c>
      <c r="AA154" s="36">
        <v>3619328</v>
      </c>
      <c r="AB154" s="36">
        <v>1740530</v>
      </c>
      <c r="AC154" s="39">
        <v>0.48089999999999999</v>
      </c>
      <c r="AD154" s="36">
        <v>3462516</v>
      </c>
      <c r="AE154" s="36">
        <v>1621738</v>
      </c>
      <c r="AF154" s="39">
        <v>0.46839999999999998</v>
      </c>
      <c r="AG154" s="36">
        <v>2317352</v>
      </c>
      <c r="AH154" s="36">
        <v>1194709</v>
      </c>
      <c r="AI154" s="39">
        <v>0.51549999999999996</v>
      </c>
    </row>
    <row r="155" spans="1:35" ht="14" x14ac:dyDescent="0.2">
      <c r="A155" s="1" t="s">
        <v>339</v>
      </c>
      <c r="B155" s="1" t="s">
        <v>429</v>
      </c>
      <c r="C155" s="1" t="s">
        <v>435</v>
      </c>
      <c r="D155" s="1" t="s">
        <v>340</v>
      </c>
      <c r="E155" s="25">
        <v>742</v>
      </c>
      <c r="F155" s="21">
        <v>205952.00081600001</v>
      </c>
      <c r="G155" s="20">
        <f t="shared" si="20"/>
        <v>110940.00026299999</v>
      </c>
      <c r="H155" s="24">
        <f t="shared" si="21"/>
        <v>0.53866920361757065</v>
      </c>
      <c r="I155" s="12">
        <v>327</v>
      </c>
      <c r="J155" s="12">
        <v>93525.000249999997</v>
      </c>
      <c r="K155" s="13">
        <f t="shared" si="22"/>
        <v>0.45411066597773114</v>
      </c>
      <c r="L155" s="4">
        <v>63</v>
      </c>
      <c r="M155" s="4">
        <v>14621.999963</v>
      </c>
      <c r="N155" s="17">
        <f t="shared" si="23"/>
        <v>7.0997125082865639E-2</v>
      </c>
      <c r="O155" s="9">
        <v>15</v>
      </c>
      <c r="P155" s="9">
        <v>2793.0000500000001</v>
      </c>
      <c r="Q155" s="18">
        <f t="shared" si="24"/>
        <v>1.3561412556973892E-2</v>
      </c>
      <c r="R155" s="36">
        <v>4020157</v>
      </c>
      <c r="S155" s="36">
        <v>2361892</v>
      </c>
      <c r="T155" s="39">
        <v>0.58750000000000002</v>
      </c>
      <c r="U155" s="36">
        <v>3681681</v>
      </c>
      <c r="V155" s="36">
        <v>2081440</v>
      </c>
      <c r="W155" s="39">
        <v>0.56540000000000001</v>
      </c>
      <c r="X155" s="36">
        <v>4048369</v>
      </c>
      <c r="Y155" s="36">
        <v>2400363</v>
      </c>
      <c r="Z155" s="39">
        <v>0.59289999999999998</v>
      </c>
      <c r="AA155" s="36">
        <v>3259492</v>
      </c>
      <c r="AB155" s="36">
        <v>1724592</v>
      </c>
      <c r="AC155" s="39">
        <v>0.52910000000000001</v>
      </c>
      <c r="AD155" s="36">
        <v>3134454</v>
      </c>
      <c r="AE155" s="36">
        <v>1673608</v>
      </c>
      <c r="AF155" s="39">
        <v>0.53390000000000004</v>
      </c>
      <c r="AG155" s="36">
        <v>2121480</v>
      </c>
      <c r="AH155" s="36">
        <v>1212451</v>
      </c>
      <c r="AI155" s="39">
        <v>0.57150000000000001</v>
      </c>
    </row>
    <row r="156" spans="1:35" ht="14" x14ac:dyDescent="0.2">
      <c r="A156" s="1" t="s">
        <v>341</v>
      </c>
      <c r="B156" s="1" t="s">
        <v>429</v>
      </c>
      <c r="C156" s="1" t="s">
        <v>435</v>
      </c>
      <c r="D156" s="1" t="s">
        <v>342</v>
      </c>
      <c r="E156" s="25">
        <v>977</v>
      </c>
      <c r="F156" s="21">
        <v>205311.00038300001</v>
      </c>
      <c r="G156" s="20">
        <f t="shared" si="20"/>
        <v>114568.00009999999</v>
      </c>
      <c r="H156" s="24">
        <f t="shared" si="21"/>
        <v>0.55802173232938157</v>
      </c>
      <c r="I156" s="12">
        <v>421</v>
      </c>
      <c r="J156" s="12">
        <v>92886.000004999994</v>
      </c>
      <c r="K156" s="13">
        <f t="shared" si="22"/>
        <v>0.45241608989155296</v>
      </c>
      <c r="L156" s="4">
        <v>75</v>
      </c>
      <c r="M156" s="4">
        <v>19610.000114999999</v>
      </c>
      <c r="N156" s="17">
        <f t="shared" si="23"/>
        <v>9.5513635793592525E-2</v>
      </c>
      <c r="O156" s="9">
        <v>9</v>
      </c>
      <c r="P156" s="9">
        <v>2071.9999800000001</v>
      </c>
      <c r="Q156" s="18">
        <f t="shared" si="24"/>
        <v>1.0092006644236116E-2</v>
      </c>
      <c r="R156" s="36">
        <v>3792378</v>
      </c>
      <c r="S156" s="36">
        <v>2082060</v>
      </c>
      <c r="T156" s="39">
        <v>0.54900000000000004</v>
      </c>
      <c r="U156" s="36">
        <v>3632521</v>
      </c>
      <c r="V156" s="36">
        <v>1958963</v>
      </c>
      <c r="W156" s="39">
        <v>0.5393</v>
      </c>
      <c r="X156" s="36">
        <v>3337918</v>
      </c>
      <c r="Y156" s="36">
        <v>1846446</v>
      </c>
      <c r="Z156" s="39">
        <v>0.55320000000000003</v>
      </c>
      <c r="AA156" s="36">
        <v>3102159</v>
      </c>
      <c r="AB156" s="36">
        <v>1541220</v>
      </c>
      <c r="AC156" s="39">
        <v>0.49680000000000002</v>
      </c>
      <c r="AD156" s="36">
        <v>2956798</v>
      </c>
      <c r="AE156" s="36">
        <v>1478772</v>
      </c>
      <c r="AF156" s="39">
        <v>0.50009999999999999</v>
      </c>
      <c r="AG156" s="36">
        <v>2017690</v>
      </c>
      <c r="AH156" s="36">
        <v>1084779</v>
      </c>
      <c r="AI156" s="39">
        <v>0.53759999999999997</v>
      </c>
    </row>
    <row r="157" spans="1:35" ht="14" x14ac:dyDescent="0.2">
      <c r="A157" s="1" t="s">
        <v>343</v>
      </c>
      <c r="B157" s="1" t="s">
        <v>429</v>
      </c>
      <c r="C157" s="1" t="s">
        <v>435</v>
      </c>
      <c r="D157" s="1" t="s">
        <v>344</v>
      </c>
      <c r="E157" s="25">
        <v>1449</v>
      </c>
      <c r="F157" s="21">
        <v>323934.00063899998</v>
      </c>
      <c r="G157" s="20">
        <f t="shared" si="20"/>
        <v>154342.00046499999</v>
      </c>
      <c r="H157" s="24">
        <f t="shared" si="21"/>
        <v>0.47646125494866626</v>
      </c>
      <c r="I157" s="12">
        <v>548</v>
      </c>
      <c r="J157" s="12">
        <v>128467.000287</v>
      </c>
      <c r="K157" s="13">
        <f t="shared" si="22"/>
        <v>0.39658387212698548</v>
      </c>
      <c r="L157" s="4">
        <v>114</v>
      </c>
      <c r="M157" s="4">
        <v>24730.000177999998</v>
      </c>
      <c r="N157" s="17">
        <f t="shared" si="23"/>
        <v>7.6342712185868133E-2</v>
      </c>
      <c r="O157" s="9">
        <v>8</v>
      </c>
      <c r="P157" s="9">
        <v>1145</v>
      </c>
      <c r="Q157" s="18">
        <f t="shared" si="24"/>
        <v>3.5346706358126826E-3</v>
      </c>
      <c r="R157" s="36">
        <v>3354141</v>
      </c>
      <c r="S157" s="36">
        <v>1874461</v>
      </c>
      <c r="T157" s="39">
        <v>0.55879999999999996</v>
      </c>
      <c r="U157" s="36">
        <v>4491786</v>
      </c>
      <c r="V157" s="36">
        <v>2410027</v>
      </c>
      <c r="W157" s="39">
        <v>0.53649999999999998</v>
      </c>
      <c r="X157" s="36">
        <v>4347984</v>
      </c>
      <c r="Y157" s="36">
        <v>2406541</v>
      </c>
      <c r="Z157" s="39">
        <v>0.55349999999999999</v>
      </c>
      <c r="AA157" s="36">
        <v>4181733</v>
      </c>
      <c r="AB157" s="36">
        <v>1994186</v>
      </c>
      <c r="AC157" s="39">
        <v>0.47689999999999999</v>
      </c>
      <c r="AD157" s="36">
        <v>3913271</v>
      </c>
      <c r="AE157" s="36">
        <v>1819430</v>
      </c>
      <c r="AF157" s="39">
        <v>0.46489999999999998</v>
      </c>
      <c r="AG157" s="36">
        <v>2671029</v>
      </c>
      <c r="AH157" s="36">
        <v>1377717</v>
      </c>
      <c r="AI157" s="39">
        <v>0.51580000000000004</v>
      </c>
    </row>
    <row r="158" spans="1:35" ht="14" x14ac:dyDescent="0.2">
      <c r="A158" s="1" t="s">
        <v>345</v>
      </c>
      <c r="B158" s="1" t="s">
        <v>429</v>
      </c>
      <c r="C158" s="1" t="s">
        <v>433</v>
      </c>
      <c r="D158" s="1" t="s">
        <v>346</v>
      </c>
      <c r="E158" s="25">
        <v>721</v>
      </c>
      <c r="F158" s="21">
        <v>207152.00069300001</v>
      </c>
      <c r="G158" s="20">
        <f t="shared" si="20"/>
        <v>117405.000325</v>
      </c>
      <c r="H158" s="24">
        <f t="shared" si="21"/>
        <v>0.56675774277939328</v>
      </c>
      <c r="I158" s="12">
        <v>348</v>
      </c>
      <c r="J158" s="12">
        <v>100872.000269</v>
      </c>
      <c r="K158" s="13">
        <f t="shared" si="22"/>
        <v>0.48694678270808811</v>
      </c>
      <c r="L158" s="4">
        <v>53</v>
      </c>
      <c r="M158" s="4">
        <v>15026.000013999999</v>
      </c>
      <c r="N158" s="17">
        <f t="shared" si="23"/>
        <v>7.253610857598515E-2</v>
      </c>
      <c r="O158" s="9">
        <v>5</v>
      </c>
      <c r="P158" s="9">
        <v>1507.0000419999999</v>
      </c>
      <c r="Q158" s="18">
        <f t="shared" si="24"/>
        <v>7.2748514953199957E-3</v>
      </c>
      <c r="R158" s="36">
        <v>4791533</v>
      </c>
      <c r="S158" s="36">
        <v>2649729</v>
      </c>
      <c r="T158" s="39">
        <v>0.55300000000000005</v>
      </c>
      <c r="U158" s="36">
        <v>4548843</v>
      </c>
      <c r="V158" s="36">
        <v>2286049</v>
      </c>
      <c r="W158" s="39">
        <v>0.50260000000000005</v>
      </c>
      <c r="X158" s="36">
        <v>5060535</v>
      </c>
      <c r="Y158" s="36">
        <v>2651493</v>
      </c>
      <c r="Z158" s="39">
        <v>0.52400000000000002</v>
      </c>
      <c r="AA158" s="36">
        <v>4077303</v>
      </c>
      <c r="AB158" s="36">
        <v>1858156</v>
      </c>
      <c r="AC158" s="39">
        <v>0.45569999999999999</v>
      </c>
      <c r="AD158" s="36">
        <v>3937182</v>
      </c>
      <c r="AE158" s="36">
        <v>1828773</v>
      </c>
      <c r="AF158" s="39">
        <v>0.46450000000000002</v>
      </c>
      <c r="AG158" s="36">
        <v>2802768</v>
      </c>
      <c r="AH158" s="36">
        <v>1426522</v>
      </c>
      <c r="AI158" s="39">
        <v>0.50900000000000001</v>
      </c>
    </row>
    <row r="159" spans="1:35" ht="14" x14ac:dyDescent="0.2">
      <c r="A159" s="1" t="s">
        <v>347</v>
      </c>
      <c r="B159" s="1" t="s">
        <v>430</v>
      </c>
      <c r="C159" s="1" t="s">
        <v>433</v>
      </c>
      <c r="D159" s="1" t="s">
        <v>348</v>
      </c>
      <c r="E159" s="25">
        <v>1366</v>
      </c>
      <c r="F159" s="21">
        <v>304544.00115999999</v>
      </c>
      <c r="G159" s="20">
        <f t="shared" si="20"/>
        <v>288925.00116700004</v>
      </c>
      <c r="H159" s="24">
        <f t="shared" si="21"/>
        <v>0.94871348661110511</v>
      </c>
      <c r="I159" s="12">
        <v>1136</v>
      </c>
      <c r="J159" s="12">
        <v>251036.00092300001</v>
      </c>
      <c r="K159" s="13">
        <f t="shared" si="22"/>
        <v>0.82430125028505097</v>
      </c>
      <c r="L159" s="4">
        <v>147</v>
      </c>
      <c r="M159" s="4">
        <v>34433.000228999997</v>
      </c>
      <c r="N159" s="17">
        <f t="shared" si="23"/>
        <v>0.11306412241858523</v>
      </c>
      <c r="O159" s="9">
        <v>16</v>
      </c>
      <c r="P159" s="9">
        <v>3456.0000150000001</v>
      </c>
      <c r="Q159" s="18">
        <f t="shared" si="24"/>
        <v>1.1348113907468833E-2</v>
      </c>
      <c r="R159" s="36">
        <v>4832309</v>
      </c>
      <c r="S159" s="36">
        <v>3601999</v>
      </c>
      <c r="T159" s="39">
        <v>0.74539999999999995</v>
      </c>
      <c r="U159" s="36">
        <v>4344389</v>
      </c>
      <c r="V159" s="36">
        <v>3226707</v>
      </c>
      <c r="W159" s="39">
        <v>0.74270000000000003</v>
      </c>
      <c r="X159" s="36">
        <v>4172528</v>
      </c>
      <c r="Y159" s="36">
        <v>2935119</v>
      </c>
      <c r="Z159" s="39">
        <v>0.70340000000000003</v>
      </c>
      <c r="AA159" s="36">
        <v>4550126</v>
      </c>
      <c r="AB159" s="36">
        <v>2792691</v>
      </c>
      <c r="AC159" s="39">
        <v>0.61380000000000001</v>
      </c>
      <c r="AD159" s="36">
        <v>3922076</v>
      </c>
      <c r="AE159" s="36">
        <v>2607771</v>
      </c>
      <c r="AF159" s="39">
        <v>0.66490000000000005</v>
      </c>
      <c r="AG159" s="36">
        <v>2777028</v>
      </c>
      <c r="AH159" s="36">
        <v>1911180</v>
      </c>
      <c r="AI159" s="39">
        <v>0.68820000000000003</v>
      </c>
    </row>
    <row r="160" spans="1:35" ht="14" x14ac:dyDescent="0.2">
      <c r="A160" s="1" t="s">
        <v>349</v>
      </c>
      <c r="B160" s="1" t="s">
        <v>430</v>
      </c>
      <c r="C160" s="1" t="s">
        <v>433</v>
      </c>
      <c r="D160" s="1" t="s">
        <v>350</v>
      </c>
      <c r="E160" s="25">
        <v>1124</v>
      </c>
      <c r="F160" s="21">
        <v>289540.00034999999</v>
      </c>
      <c r="G160" s="20">
        <f t="shared" si="20"/>
        <v>267420.00021600001</v>
      </c>
      <c r="H160" s="24">
        <f t="shared" si="21"/>
        <v>0.92360295604316844</v>
      </c>
      <c r="I160" s="12">
        <v>965</v>
      </c>
      <c r="J160" s="12">
        <v>240761.000226</v>
      </c>
      <c r="K160" s="13">
        <f t="shared" si="22"/>
        <v>0.83152932214880415</v>
      </c>
      <c r="L160" s="4">
        <v>86</v>
      </c>
      <c r="M160" s="4">
        <v>24274.999995999999</v>
      </c>
      <c r="N160" s="17">
        <f t="shared" si="23"/>
        <v>8.3839883838696005E-2</v>
      </c>
      <c r="O160" s="9">
        <v>10</v>
      </c>
      <c r="P160" s="9">
        <v>2383.9999939999998</v>
      </c>
      <c r="Q160" s="18">
        <f t="shared" si="24"/>
        <v>8.2337500556682579E-3</v>
      </c>
      <c r="R160" s="36">
        <v>3765016</v>
      </c>
      <c r="S160" s="36">
        <v>2872241</v>
      </c>
      <c r="T160" s="39">
        <v>0.76290000000000002</v>
      </c>
      <c r="U160" s="36">
        <v>3507970</v>
      </c>
      <c r="V160" s="36">
        <v>2700288</v>
      </c>
      <c r="W160" s="39">
        <v>0.76980000000000004</v>
      </c>
      <c r="X160" s="36">
        <v>3998334</v>
      </c>
      <c r="Y160" s="36">
        <v>3110507</v>
      </c>
      <c r="Z160" s="39">
        <v>0.77800000000000002</v>
      </c>
      <c r="AA160" s="36">
        <v>3039899</v>
      </c>
      <c r="AB160" s="36">
        <v>2015896</v>
      </c>
      <c r="AC160" s="39">
        <v>0.66310000000000002</v>
      </c>
      <c r="AD160" s="36">
        <v>3143005</v>
      </c>
      <c r="AE160" s="36">
        <v>2235935</v>
      </c>
      <c r="AF160" s="39">
        <v>0.71140000000000003</v>
      </c>
      <c r="AG160" s="36">
        <v>2216713</v>
      </c>
      <c r="AH160" s="36">
        <v>1682415</v>
      </c>
      <c r="AI160" s="39">
        <v>0.75900000000000001</v>
      </c>
    </row>
    <row r="161" spans="1:35" ht="14" x14ac:dyDescent="0.2">
      <c r="A161" s="1" t="s">
        <v>351</v>
      </c>
      <c r="B161" s="1" t="s">
        <v>429</v>
      </c>
      <c r="C161" s="1" t="s">
        <v>438</v>
      </c>
      <c r="D161" s="1" t="s">
        <v>352</v>
      </c>
      <c r="E161" s="25">
        <v>490</v>
      </c>
      <c r="F161" s="21">
        <v>125140.000958</v>
      </c>
      <c r="G161" s="20">
        <f t="shared" si="20"/>
        <v>74096.000603000008</v>
      </c>
      <c r="H161" s="24">
        <f t="shared" si="21"/>
        <v>0.59210484286210296</v>
      </c>
      <c r="I161" s="12">
        <v>253</v>
      </c>
      <c r="J161" s="12">
        <v>62692.000505000004</v>
      </c>
      <c r="K161" s="13">
        <f t="shared" si="22"/>
        <v>0.50097490830322866</v>
      </c>
      <c r="L161" s="4">
        <v>34</v>
      </c>
      <c r="M161" s="4">
        <v>8701.0000569999993</v>
      </c>
      <c r="N161" s="17">
        <f t="shared" si="23"/>
        <v>6.9530126181797491E-2</v>
      </c>
      <c r="O161" s="9">
        <v>9</v>
      </c>
      <c r="P161" s="9">
        <v>2703.0000409999998</v>
      </c>
      <c r="Q161" s="18">
        <f t="shared" si="24"/>
        <v>2.1599808377076739E-2</v>
      </c>
      <c r="R161" s="36">
        <v>2960379</v>
      </c>
      <c r="S161" s="36">
        <v>1798907</v>
      </c>
      <c r="T161" s="39">
        <v>0.60770000000000002</v>
      </c>
      <c r="U161" s="36">
        <v>2810358</v>
      </c>
      <c r="V161" s="36">
        <v>1655479</v>
      </c>
      <c r="W161" s="39">
        <v>0.58909999999999996</v>
      </c>
      <c r="X161" s="36">
        <v>3232005</v>
      </c>
      <c r="Y161" s="36">
        <v>1889248</v>
      </c>
      <c r="Z161" s="39">
        <v>0.58450000000000002</v>
      </c>
      <c r="AA161" s="36">
        <v>2388511</v>
      </c>
      <c r="AB161" s="36">
        <v>1292935</v>
      </c>
      <c r="AC161" s="39">
        <v>0.5413</v>
      </c>
      <c r="AD161" s="36">
        <v>2269739</v>
      </c>
      <c r="AE161" s="36">
        <v>1199787</v>
      </c>
      <c r="AF161" s="39">
        <v>0.52859999999999996</v>
      </c>
      <c r="AG161" s="36">
        <v>1674939</v>
      </c>
      <c r="AH161" s="36">
        <v>969785</v>
      </c>
      <c r="AI161" s="39">
        <v>0.57899999999999996</v>
      </c>
    </row>
    <row r="162" spans="1:35" ht="14" x14ac:dyDescent="0.2">
      <c r="A162" s="1" t="s">
        <v>353</v>
      </c>
      <c r="B162" s="1" t="s">
        <v>430</v>
      </c>
      <c r="C162" s="1" t="s">
        <v>433</v>
      </c>
      <c r="D162" s="1" t="s">
        <v>354</v>
      </c>
      <c r="E162" s="25">
        <v>1068</v>
      </c>
      <c r="F162" s="21">
        <v>242182.000695</v>
      </c>
      <c r="G162" s="20">
        <f t="shared" si="20"/>
        <v>228578.00060600002</v>
      </c>
      <c r="H162" s="24">
        <f t="shared" si="21"/>
        <v>0.94382736929268074</v>
      </c>
      <c r="I162" s="12">
        <v>863</v>
      </c>
      <c r="J162" s="12">
        <v>199968.00070100001</v>
      </c>
      <c r="K162" s="13">
        <f t="shared" si="22"/>
        <v>0.82569307432898953</v>
      </c>
      <c r="L162" s="4">
        <v>105</v>
      </c>
      <c r="M162" s="4">
        <v>22745.999876000002</v>
      </c>
      <c r="N162" s="17">
        <f t="shared" si="23"/>
        <v>9.3921099878293335E-2</v>
      </c>
      <c r="O162" s="9">
        <v>26</v>
      </c>
      <c r="P162" s="9">
        <v>5864.0000289999998</v>
      </c>
      <c r="Q162" s="18">
        <f t="shared" si="24"/>
        <v>2.421319508539788E-2</v>
      </c>
      <c r="R162" s="36">
        <v>4971837</v>
      </c>
      <c r="S162" s="36">
        <v>3207356</v>
      </c>
      <c r="T162" s="39">
        <v>0.64510000000000001</v>
      </c>
      <c r="U162" s="36">
        <v>5189991</v>
      </c>
      <c r="V162" s="36">
        <v>3255320</v>
      </c>
      <c r="W162" s="39">
        <v>0.62719999999999998</v>
      </c>
      <c r="X162" s="36">
        <v>5033795</v>
      </c>
      <c r="Y162" s="36">
        <v>3245321</v>
      </c>
      <c r="Z162" s="39">
        <v>0.64470000000000005</v>
      </c>
      <c r="AA162" s="36">
        <v>4450113</v>
      </c>
      <c r="AB162" s="36">
        <v>2688803</v>
      </c>
      <c r="AC162" s="39">
        <v>0.60419999999999996</v>
      </c>
      <c r="AD162" s="36">
        <v>4681305</v>
      </c>
      <c r="AE162" s="36">
        <v>3039399</v>
      </c>
      <c r="AF162" s="39">
        <v>0.64929999999999999</v>
      </c>
      <c r="AG162" s="36">
        <v>2784837</v>
      </c>
      <c r="AH162" s="36">
        <v>1927152</v>
      </c>
      <c r="AI162" s="39">
        <v>0.69199999999999995</v>
      </c>
    </row>
    <row r="163" spans="1:35" ht="14" x14ac:dyDescent="0.2">
      <c r="A163" s="1" t="s">
        <v>355</v>
      </c>
      <c r="B163" s="1" t="s">
        <v>429</v>
      </c>
      <c r="C163" s="1" t="s">
        <v>433</v>
      </c>
      <c r="D163" s="1" t="s">
        <v>356</v>
      </c>
      <c r="E163" s="25">
        <v>739</v>
      </c>
      <c r="F163" s="21">
        <v>197451.00042299999</v>
      </c>
      <c r="G163" s="20">
        <f t="shared" ref="G163:G199" si="25">J163+M163+P163</f>
        <v>114437.00006600001</v>
      </c>
      <c r="H163" s="24">
        <f t="shared" ref="H163:H194" si="26">G163/F163</f>
        <v>0.57957163965156522</v>
      </c>
      <c r="I163" s="12">
        <v>336</v>
      </c>
      <c r="J163" s="12">
        <v>93268.000207000005</v>
      </c>
      <c r="K163" s="13">
        <f t="shared" ref="K163:K194" si="27">J163/F163</f>
        <v>0.47236023118237758</v>
      </c>
      <c r="L163" s="4">
        <v>64</v>
      </c>
      <c r="M163" s="4">
        <v>19051.999865999998</v>
      </c>
      <c r="N163" s="17">
        <f t="shared" ref="N163:N194" si="28">M163/F163</f>
        <v>9.6489761131545698E-2</v>
      </c>
      <c r="O163" s="9">
        <v>10</v>
      </c>
      <c r="P163" s="9">
        <v>2116.9999929999999</v>
      </c>
      <c r="Q163" s="18">
        <f t="shared" ref="Q163:Q194" si="29">P163/F163</f>
        <v>1.0721647337641962E-2</v>
      </c>
      <c r="R163" s="36">
        <v>3479525</v>
      </c>
      <c r="S163" s="36">
        <v>2245501</v>
      </c>
      <c r="T163" s="39">
        <v>0.64529999999999998</v>
      </c>
      <c r="U163" s="36">
        <v>3496513</v>
      </c>
      <c r="V163" s="36">
        <v>2146178</v>
      </c>
      <c r="W163" s="39">
        <v>0.61380000000000001</v>
      </c>
      <c r="X163" s="36">
        <v>4538207</v>
      </c>
      <c r="Y163" s="36">
        <v>2942197</v>
      </c>
      <c r="Z163" s="39">
        <v>0.64829999999999999</v>
      </c>
      <c r="AA163" s="36">
        <v>3248337</v>
      </c>
      <c r="AB163" s="36">
        <v>1872388</v>
      </c>
      <c r="AC163" s="39">
        <v>0.57640000000000002</v>
      </c>
      <c r="AD163" s="36">
        <v>3168261</v>
      </c>
      <c r="AE163" s="36">
        <v>1853487</v>
      </c>
      <c r="AF163" s="39">
        <v>0.58499999999999996</v>
      </c>
      <c r="AG163" s="36">
        <v>2288444</v>
      </c>
      <c r="AH163" s="36">
        <v>1446989</v>
      </c>
      <c r="AI163" s="39">
        <v>0.63229999999999997</v>
      </c>
    </row>
    <row r="164" spans="1:35" ht="14" x14ac:dyDescent="0.2">
      <c r="A164" s="1" t="s">
        <v>357</v>
      </c>
      <c r="B164" s="1" t="s">
        <v>429</v>
      </c>
      <c r="C164" s="1" t="s">
        <v>435</v>
      </c>
      <c r="D164" s="1" t="s">
        <v>358</v>
      </c>
      <c r="E164" s="25">
        <v>735</v>
      </c>
      <c r="F164" s="21">
        <v>211942.000723</v>
      </c>
      <c r="G164" s="20">
        <f t="shared" si="25"/>
        <v>97820.000285000002</v>
      </c>
      <c r="H164" s="24">
        <f t="shared" si="26"/>
        <v>0.4615413648606958</v>
      </c>
      <c r="I164" s="12">
        <v>281</v>
      </c>
      <c r="J164" s="12">
        <v>81155.000195000001</v>
      </c>
      <c r="K164" s="13">
        <f t="shared" si="27"/>
        <v>0.38291136215641586</v>
      </c>
      <c r="L164" s="4">
        <v>58</v>
      </c>
      <c r="M164" s="4">
        <v>15513.000103</v>
      </c>
      <c r="N164" s="17">
        <f t="shared" si="28"/>
        <v>7.3194553463118858E-2</v>
      </c>
      <c r="O164" s="9">
        <v>8</v>
      </c>
      <c r="P164" s="9">
        <v>1151.9999869999999</v>
      </c>
      <c r="Q164" s="18">
        <f t="shared" si="29"/>
        <v>5.4354492411611199E-3</v>
      </c>
      <c r="R164" s="36">
        <v>3527532</v>
      </c>
      <c r="S164" s="36">
        <v>1971022</v>
      </c>
      <c r="T164" s="39">
        <v>0.55879999999999996</v>
      </c>
      <c r="U164" s="36">
        <v>3433386</v>
      </c>
      <c r="V164" s="36">
        <v>1887597</v>
      </c>
      <c r="W164" s="39">
        <v>0.54979999999999996</v>
      </c>
      <c r="X164" s="36">
        <v>4086249</v>
      </c>
      <c r="Y164" s="36">
        <v>2348367</v>
      </c>
      <c r="Z164" s="39">
        <v>0.57469999999999999</v>
      </c>
      <c r="AA164" s="36">
        <v>3306191</v>
      </c>
      <c r="AB164" s="36">
        <v>1640936</v>
      </c>
      <c r="AC164" s="39">
        <v>0.49630000000000002</v>
      </c>
      <c r="AD164" s="36">
        <v>2838628</v>
      </c>
      <c r="AE164" s="36">
        <v>1396457</v>
      </c>
      <c r="AF164" s="39">
        <v>0.4919</v>
      </c>
      <c r="AG164" s="36">
        <v>2208727</v>
      </c>
      <c r="AH164" s="36">
        <v>1159831</v>
      </c>
      <c r="AI164" s="39">
        <v>0.52510000000000001</v>
      </c>
    </row>
    <row r="165" spans="1:35" ht="14" x14ac:dyDescent="0.2">
      <c r="A165" s="1" t="s">
        <v>359</v>
      </c>
      <c r="B165" s="1" t="s">
        <v>429</v>
      </c>
      <c r="C165" s="1" t="s">
        <v>435</v>
      </c>
      <c r="D165" s="1" t="s">
        <v>360</v>
      </c>
      <c r="E165" s="25">
        <v>1054</v>
      </c>
      <c r="F165" s="21">
        <v>247290.00090300001</v>
      </c>
      <c r="G165" s="20">
        <f t="shared" si="25"/>
        <v>140350.000528</v>
      </c>
      <c r="H165" s="24">
        <f t="shared" si="26"/>
        <v>0.5675522666322953</v>
      </c>
      <c r="I165" s="12">
        <v>508</v>
      </c>
      <c r="J165" s="12">
        <v>122917.00046</v>
      </c>
      <c r="K165" s="13">
        <f t="shared" si="27"/>
        <v>0.49705608803897589</v>
      </c>
      <c r="L165" s="4">
        <v>53</v>
      </c>
      <c r="M165" s="4">
        <v>14722.000040000001</v>
      </c>
      <c r="N165" s="17">
        <f t="shared" si="28"/>
        <v>5.9533341365366144E-2</v>
      </c>
      <c r="O165" s="9">
        <v>14</v>
      </c>
      <c r="P165" s="9">
        <v>2711.0000279999999</v>
      </c>
      <c r="Q165" s="18">
        <f t="shared" si="29"/>
        <v>1.0962837227953244E-2</v>
      </c>
      <c r="R165" s="36">
        <v>4030190</v>
      </c>
      <c r="S165" s="36">
        <v>2542426</v>
      </c>
      <c r="T165" s="39">
        <v>0.63080000000000003</v>
      </c>
      <c r="U165" s="36">
        <v>3781205</v>
      </c>
      <c r="V165" s="36">
        <v>2266512</v>
      </c>
      <c r="W165" s="39">
        <v>0.59940000000000004</v>
      </c>
      <c r="X165" s="36">
        <v>3957061</v>
      </c>
      <c r="Y165" s="36">
        <v>2589292</v>
      </c>
      <c r="Z165" s="39">
        <v>0.65429999999999999</v>
      </c>
      <c r="AA165" s="36">
        <v>3589677</v>
      </c>
      <c r="AB165" s="36">
        <v>2013412</v>
      </c>
      <c r="AC165" s="39">
        <v>0.56089999999999995</v>
      </c>
      <c r="AD165" s="36">
        <v>3236688</v>
      </c>
      <c r="AE165" s="36">
        <v>1849832</v>
      </c>
      <c r="AF165" s="39">
        <v>0.57150000000000001</v>
      </c>
      <c r="AG165" s="36">
        <v>2406922</v>
      </c>
      <c r="AH165" s="36">
        <v>1484551</v>
      </c>
      <c r="AI165" s="39">
        <v>0.61680000000000001</v>
      </c>
    </row>
    <row r="166" spans="1:35" ht="14" x14ac:dyDescent="0.2">
      <c r="A166" s="1" t="s">
        <v>361</v>
      </c>
      <c r="B166" s="1" t="s">
        <v>429</v>
      </c>
      <c r="C166" s="1" t="s">
        <v>435</v>
      </c>
      <c r="D166" s="1" t="s">
        <v>362</v>
      </c>
      <c r="E166" s="25">
        <v>965</v>
      </c>
      <c r="F166" s="21">
        <v>206715.000486</v>
      </c>
      <c r="G166" s="20">
        <f t="shared" si="25"/>
        <v>104797.00002699999</v>
      </c>
      <c r="H166" s="24">
        <f t="shared" si="26"/>
        <v>0.50696369291350718</v>
      </c>
      <c r="I166" s="12">
        <v>405</v>
      </c>
      <c r="J166" s="12">
        <v>87699.000203999996</v>
      </c>
      <c r="K166" s="13">
        <f t="shared" si="27"/>
        <v>0.4242507800489278</v>
      </c>
      <c r="L166" s="4">
        <v>69</v>
      </c>
      <c r="M166" s="4">
        <v>15646.999877</v>
      </c>
      <c r="N166" s="17">
        <f t="shared" si="28"/>
        <v>7.5693587016969821E-2</v>
      </c>
      <c r="O166" s="9">
        <v>10</v>
      </c>
      <c r="P166" s="9">
        <v>1450.9999459999999</v>
      </c>
      <c r="Q166" s="18">
        <f t="shared" si="29"/>
        <v>7.0193258476095467E-3</v>
      </c>
      <c r="R166" s="36">
        <v>3079309</v>
      </c>
      <c r="S166" s="36">
        <v>1859026</v>
      </c>
      <c r="T166" s="39">
        <v>0.60370000000000001</v>
      </c>
      <c r="U166" s="36">
        <v>3058586</v>
      </c>
      <c r="V166" s="36">
        <v>1804925</v>
      </c>
      <c r="W166" s="39">
        <v>0.59009999999999996</v>
      </c>
      <c r="X166" s="36">
        <v>3019748</v>
      </c>
      <c r="Y166" s="36">
        <v>1916586</v>
      </c>
      <c r="Z166" s="39">
        <v>0.63470000000000004</v>
      </c>
      <c r="AA166" s="36">
        <v>2659737</v>
      </c>
      <c r="AB166" s="36">
        <v>1388184</v>
      </c>
      <c r="AC166" s="39">
        <v>0.52190000000000003</v>
      </c>
      <c r="AD166" s="36">
        <v>2353910</v>
      </c>
      <c r="AE166" s="36">
        <v>1259177</v>
      </c>
      <c r="AF166" s="39">
        <v>0.53490000000000004</v>
      </c>
      <c r="AG166" s="36">
        <v>1752792</v>
      </c>
      <c r="AH166" s="36">
        <v>1034089</v>
      </c>
      <c r="AI166" s="39">
        <v>0.59</v>
      </c>
    </row>
    <row r="167" spans="1:35" ht="14" x14ac:dyDescent="0.2">
      <c r="A167" s="1" t="s">
        <v>363</v>
      </c>
      <c r="B167" s="1" t="s">
        <v>430</v>
      </c>
      <c r="C167" s="1" t="s">
        <v>433</v>
      </c>
      <c r="D167" s="1" t="s">
        <v>364</v>
      </c>
      <c r="E167" s="25">
        <v>1249</v>
      </c>
      <c r="F167" s="21">
        <v>292440.00149</v>
      </c>
      <c r="G167" s="20">
        <f t="shared" si="25"/>
        <v>273674.00144100003</v>
      </c>
      <c r="H167" s="24">
        <f t="shared" si="26"/>
        <v>0.93582957203738881</v>
      </c>
      <c r="I167" s="12">
        <v>1058</v>
      </c>
      <c r="J167" s="12">
        <v>245699.00135100001</v>
      </c>
      <c r="K167" s="13">
        <f t="shared" si="27"/>
        <v>0.84016892387890962</v>
      </c>
      <c r="L167" s="4">
        <v>98</v>
      </c>
      <c r="M167" s="4">
        <v>25989.000113999999</v>
      </c>
      <c r="N167" s="17">
        <f t="shared" si="28"/>
        <v>8.8869511631734469E-2</v>
      </c>
      <c r="O167" s="9">
        <v>9</v>
      </c>
      <c r="P167" s="9">
        <v>1985.9999760000001</v>
      </c>
      <c r="Q167" s="18">
        <f t="shared" si="29"/>
        <v>6.7911365267446545E-3</v>
      </c>
      <c r="R167" s="36">
        <v>5248204</v>
      </c>
      <c r="S167" s="36">
        <v>4107297</v>
      </c>
      <c r="T167" s="39">
        <v>0.78259999999999996</v>
      </c>
      <c r="U167" s="36">
        <v>5273483</v>
      </c>
      <c r="V167" s="36">
        <v>3940276</v>
      </c>
      <c r="W167" s="39">
        <v>0.74719999999999998</v>
      </c>
      <c r="X167" s="36">
        <v>5358192</v>
      </c>
      <c r="Y167" s="36">
        <v>4087270</v>
      </c>
      <c r="Z167" s="39">
        <v>0.76280000000000003</v>
      </c>
      <c r="AA167" s="36">
        <v>4524013</v>
      </c>
      <c r="AB167" s="36">
        <v>3214157</v>
      </c>
      <c r="AC167" s="39">
        <v>0.71050000000000002</v>
      </c>
      <c r="AD167" s="36">
        <v>4383329</v>
      </c>
      <c r="AE167" s="36">
        <v>3284917</v>
      </c>
      <c r="AF167" s="39">
        <v>0.74939999999999996</v>
      </c>
      <c r="AG167" s="36">
        <v>3143593</v>
      </c>
      <c r="AH167" s="36">
        <v>2498162</v>
      </c>
      <c r="AI167" s="39">
        <v>0.79469999999999996</v>
      </c>
    </row>
    <row r="168" spans="1:35" ht="14" x14ac:dyDescent="0.2">
      <c r="A168" s="1" t="s">
        <v>365</v>
      </c>
      <c r="B168" s="1" t="s">
        <v>429</v>
      </c>
      <c r="C168" s="1" t="s">
        <v>438</v>
      </c>
      <c r="D168" s="1" t="s">
        <v>366</v>
      </c>
      <c r="E168" s="25">
        <v>1022</v>
      </c>
      <c r="F168" s="21">
        <v>233427.000715</v>
      </c>
      <c r="G168" s="20">
        <f t="shared" si="25"/>
        <v>124750.000397</v>
      </c>
      <c r="H168" s="24">
        <f t="shared" si="26"/>
        <v>0.53442832240864913</v>
      </c>
      <c r="I168" s="12">
        <v>446</v>
      </c>
      <c r="J168" s="12">
        <v>103942.000375</v>
      </c>
      <c r="K168" s="13">
        <f t="shared" si="27"/>
        <v>0.44528696361868947</v>
      </c>
      <c r="L168" s="4">
        <v>72</v>
      </c>
      <c r="M168" s="4">
        <v>18501.000016999998</v>
      </c>
      <c r="N168" s="17">
        <f t="shared" si="28"/>
        <v>7.9258183330678952E-2</v>
      </c>
      <c r="O168" s="9">
        <v>7</v>
      </c>
      <c r="P168" s="9">
        <v>2307.0000049999999</v>
      </c>
      <c r="Q168" s="18">
        <f t="shared" si="29"/>
        <v>9.8831754592807568E-3</v>
      </c>
      <c r="R168" s="36">
        <v>2969149</v>
      </c>
      <c r="S168" s="36">
        <v>1735327</v>
      </c>
      <c r="T168" s="39">
        <v>0.58450000000000002</v>
      </c>
      <c r="U168" s="36">
        <v>2985096</v>
      </c>
      <c r="V168" s="36">
        <v>1700553</v>
      </c>
      <c r="W168" s="39">
        <v>0.56969999999999998</v>
      </c>
      <c r="X168" s="36">
        <v>3133178</v>
      </c>
      <c r="Y168" s="36">
        <v>1823692</v>
      </c>
      <c r="Z168" s="39">
        <v>0.58209999999999995</v>
      </c>
      <c r="AA168" s="36">
        <v>2774869</v>
      </c>
      <c r="AB168" s="36">
        <v>1349229</v>
      </c>
      <c r="AC168" s="39">
        <v>0.48620000000000002</v>
      </c>
      <c r="AD168" s="36">
        <v>2456404</v>
      </c>
      <c r="AE168" s="36">
        <v>1178151</v>
      </c>
      <c r="AF168" s="39">
        <v>0.47960000000000003</v>
      </c>
      <c r="AG168" s="36">
        <v>1635947</v>
      </c>
      <c r="AH168" s="36">
        <v>862382</v>
      </c>
      <c r="AI168" s="39">
        <v>0.52710000000000001</v>
      </c>
    </row>
    <row r="169" spans="1:35" ht="14" x14ac:dyDescent="0.2">
      <c r="A169" s="1" t="s">
        <v>367</v>
      </c>
      <c r="B169" s="1" t="s">
        <v>429</v>
      </c>
      <c r="C169" s="1" t="s">
        <v>435</v>
      </c>
      <c r="D169" s="1" t="s">
        <v>368</v>
      </c>
      <c r="E169" s="25">
        <v>840</v>
      </c>
      <c r="F169" s="21">
        <v>205890.00035399999</v>
      </c>
      <c r="G169" s="20">
        <f t="shared" si="25"/>
        <v>109441.999889</v>
      </c>
      <c r="H169" s="24">
        <f t="shared" si="26"/>
        <v>0.53155568362149352</v>
      </c>
      <c r="I169" s="12">
        <v>381</v>
      </c>
      <c r="J169" s="12">
        <v>93965.999981000001</v>
      </c>
      <c r="K169" s="13">
        <f t="shared" si="27"/>
        <v>0.45638933323346537</v>
      </c>
      <c r="L169" s="4">
        <v>53</v>
      </c>
      <c r="M169" s="4">
        <v>14760.999892</v>
      </c>
      <c r="N169" s="17">
        <f t="shared" si="28"/>
        <v>7.169362216047627E-2</v>
      </c>
      <c r="O169" s="9">
        <v>5</v>
      </c>
      <c r="P169" s="9">
        <v>715.00001599999996</v>
      </c>
      <c r="Q169" s="18">
        <f t="shared" si="29"/>
        <v>3.4727282275518684E-3</v>
      </c>
      <c r="R169" s="36">
        <v>2765121</v>
      </c>
      <c r="S169" s="36">
        <v>1732901</v>
      </c>
      <c r="T169" s="39">
        <v>0.62670000000000003</v>
      </c>
      <c r="U169" s="36">
        <v>2698108</v>
      </c>
      <c r="V169" s="36">
        <v>1654628</v>
      </c>
      <c r="W169" s="39">
        <v>0.61329999999999996</v>
      </c>
      <c r="X169" s="36">
        <v>2891562</v>
      </c>
      <c r="Y169" s="36">
        <v>1763950</v>
      </c>
      <c r="Z169" s="39">
        <v>0.61</v>
      </c>
      <c r="AA169" s="36">
        <v>2715754</v>
      </c>
      <c r="AB169" s="36">
        <v>1418516</v>
      </c>
      <c r="AC169" s="39">
        <v>0.52229999999999999</v>
      </c>
      <c r="AD169" s="36">
        <v>2307624</v>
      </c>
      <c r="AE169" s="36">
        <v>1255496</v>
      </c>
      <c r="AF169" s="39">
        <v>0.54410000000000003</v>
      </c>
      <c r="AG169" s="36">
        <v>1651224</v>
      </c>
      <c r="AH169" s="36">
        <v>968211</v>
      </c>
      <c r="AI169" s="39">
        <v>0.58640000000000003</v>
      </c>
    </row>
    <row r="170" spans="1:35" ht="14" x14ac:dyDescent="0.2">
      <c r="A170" s="1" t="s">
        <v>369</v>
      </c>
      <c r="B170" s="1" t="s">
        <v>430</v>
      </c>
      <c r="C170" s="1" t="s">
        <v>433</v>
      </c>
      <c r="D170" s="1" t="s">
        <v>370</v>
      </c>
      <c r="E170" s="25">
        <v>1484</v>
      </c>
      <c r="F170" s="21">
        <v>355043.000955</v>
      </c>
      <c r="G170" s="20">
        <f t="shared" si="25"/>
        <v>249171.00083500001</v>
      </c>
      <c r="H170" s="24">
        <f t="shared" si="26"/>
        <v>0.70180513392680921</v>
      </c>
      <c r="I170" s="12">
        <v>968</v>
      </c>
      <c r="J170" s="12">
        <v>215308.00075100001</v>
      </c>
      <c r="K170" s="13">
        <f t="shared" si="27"/>
        <v>0.60642795428120344</v>
      </c>
      <c r="L170" s="4">
        <v>122</v>
      </c>
      <c r="M170" s="4">
        <v>31008.000123000002</v>
      </c>
      <c r="N170" s="17">
        <f t="shared" si="28"/>
        <v>8.7335900270091846E-2</v>
      </c>
      <c r="O170" s="9">
        <v>14</v>
      </c>
      <c r="P170" s="9">
        <v>2854.999961</v>
      </c>
      <c r="Q170" s="18">
        <f t="shared" si="29"/>
        <v>8.041279375513891E-3</v>
      </c>
      <c r="R170" s="36">
        <v>6393218</v>
      </c>
      <c r="S170" s="36">
        <v>4174929</v>
      </c>
      <c r="T170" s="39">
        <v>0.65300000000000002</v>
      </c>
      <c r="U170" s="36">
        <v>5724308</v>
      </c>
      <c r="V170" s="36">
        <v>3559052</v>
      </c>
      <c r="W170" s="39">
        <v>0.62170000000000003</v>
      </c>
      <c r="X170" s="36">
        <v>5580565</v>
      </c>
      <c r="Y170" s="36">
        <v>3859183</v>
      </c>
      <c r="Z170" s="39">
        <v>0.6915</v>
      </c>
      <c r="AA170" s="36">
        <v>5696401</v>
      </c>
      <c r="AB170" s="36">
        <v>3403869</v>
      </c>
      <c r="AC170" s="39">
        <v>0.59750000000000003</v>
      </c>
      <c r="AD170" s="36">
        <v>5196533</v>
      </c>
      <c r="AE170" s="36">
        <v>3163699</v>
      </c>
      <c r="AF170" s="39">
        <v>0.60880000000000001</v>
      </c>
      <c r="AG170" s="36">
        <v>3457528</v>
      </c>
      <c r="AH170" s="36">
        <v>2228237</v>
      </c>
      <c r="AI170" s="39">
        <v>0.64449999999999996</v>
      </c>
    </row>
    <row r="171" spans="1:35" ht="14" x14ac:dyDescent="0.2">
      <c r="A171" s="1" t="s">
        <v>371</v>
      </c>
      <c r="B171" s="1" t="s">
        <v>430</v>
      </c>
      <c r="C171" s="1" t="s">
        <v>433</v>
      </c>
      <c r="D171" s="1" t="s">
        <v>372</v>
      </c>
      <c r="E171" s="25">
        <v>786</v>
      </c>
      <c r="F171" s="21">
        <v>208132.000214</v>
      </c>
      <c r="G171" s="20">
        <f t="shared" si="25"/>
        <v>192557.00029500003</v>
      </c>
      <c r="H171" s="24">
        <f t="shared" si="26"/>
        <v>0.92516768251404946</v>
      </c>
      <c r="I171" s="12">
        <v>671</v>
      </c>
      <c r="J171" s="12">
        <v>172289.00027300001</v>
      </c>
      <c r="K171" s="13">
        <f t="shared" si="27"/>
        <v>0.82778717398503621</v>
      </c>
      <c r="L171" s="4">
        <v>63</v>
      </c>
      <c r="M171" s="4">
        <v>19111.000005000002</v>
      </c>
      <c r="N171" s="17">
        <f t="shared" si="28"/>
        <v>9.1821536262324838E-2</v>
      </c>
      <c r="O171" s="9">
        <v>8</v>
      </c>
      <c r="P171" s="9">
        <v>1157.0000170000001</v>
      </c>
      <c r="Q171" s="18">
        <f t="shared" si="29"/>
        <v>5.5589722666883517E-3</v>
      </c>
      <c r="R171" s="36">
        <v>4826331</v>
      </c>
      <c r="S171" s="36">
        <v>3353645</v>
      </c>
      <c r="T171" s="39">
        <v>0.69489999999999996</v>
      </c>
      <c r="U171" s="36">
        <v>4408421</v>
      </c>
      <c r="V171" s="36">
        <v>2889514</v>
      </c>
      <c r="W171" s="39">
        <v>0.65549999999999997</v>
      </c>
      <c r="X171" s="36">
        <v>4331298</v>
      </c>
      <c r="Y171" s="36">
        <v>2655979</v>
      </c>
      <c r="Z171" s="39">
        <v>0.61319999999999997</v>
      </c>
      <c r="AA171" s="36">
        <v>4694728</v>
      </c>
      <c r="AB171" s="36">
        <v>2652721</v>
      </c>
      <c r="AC171" s="39">
        <v>0.56499999999999995</v>
      </c>
      <c r="AD171" s="36">
        <v>4071017</v>
      </c>
      <c r="AE171" s="36">
        <v>2479506</v>
      </c>
      <c r="AF171" s="39">
        <v>0.60909999999999997</v>
      </c>
      <c r="AG171" s="36">
        <v>2471914</v>
      </c>
      <c r="AH171" s="36">
        <v>1632545</v>
      </c>
      <c r="AI171" s="39">
        <v>0.66039999999999999</v>
      </c>
    </row>
    <row r="172" spans="1:35" ht="14" x14ac:dyDescent="0.2">
      <c r="A172" s="1" t="s">
        <v>373</v>
      </c>
      <c r="B172" s="1" t="s">
        <v>430</v>
      </c>
      <c r="C172" s="1" t="s">
        <v>433</v>
      </c>
      <c r="D172" s="1" t="s">
        <v>374</v>
      </c>
      <c r="E172" s="25">
        <v>1260</v>
      </c>
      <c r="F172" s="21">
        <v>309742.001062</v>
      </c>
      <c r="G172" s="20">
        <f t="shared" si="25"/>
        <v>280004.00103799999</v>
      </c>
      <c r="H172" s="24">
        <f t="shared" si="26"/>
        <v>0.90399106378199112</v>
      </c>
      <c r="I172" s="12">
        <v>1036</v>
      </c>
      <c r="J172" s="12">
        <v>243998.00088800001</v>
      </c>
      <c r="K172" s="13">
        <f t="shared" si="27"/>
        <v>0.78774593065006948</v>
      </c>
      <c r="L172" s="4">
        <v>99</v>
      </c>
      <c r="M172" s="4">
        <v>30477.000144000001</v>
      </c>
      <c r="N172" s="17">
        <f t="shared" si="28"/>
        <v>9.839479321339932E-2</v>
      </c>
      <c r="O172" s="9">
        <v>23</v>
      </c>
      <c r="P172" s="9">
        <v>5529.0000060000002</v>
      </c>
      <c r="Q172" s="18">
        <f t="shared" si="29"/>
        <v>1.7850339918522317E-2</v>
      </c>
      <c r="R172" s="36">
        <v>4484637</v>
      </c>
      <c r="S172" s="36">
        <v>3089187</v>
      </c>
      <c r="T172" s="39">
        <v>0.68879999999999997</v>
      </c>
      <c r="U172" s="36">
        <v>4322668</v>
      </c>
      <c r="V172" s="36">
        <v>2931847</v>
      </c>
      <c r="W172" s="39">
        <v>0.67820000000000003</v>
      </c>
      <c r="X172" s="36">
        <v>4549780</v>
      </c>
      <c r="Y172" s="36">
        <v>3268390</v>
      </c>
      <c r="Z172" s="39">
        <v>0.71840000000000004</v>
      </c>
      <c r="AA172" s="36">
        <v>3856024</v>
      </c>
      <c r="AB172" s="36">
        <v>2574613</v>
      </c>
      <c r="AC172" s="39">
        <v>0.66769999999999996</v>
      </c>
      <c r="AD172" s="36">
        <v>3444531</v>
      </c>
      <c r="AE172" s="36">
        <v>2512280</v>
      </c>
      <c r="AF172" s="39">
        <v>0.72940000000000005</v>
      </c>
      <c r="AG172" s="36">
        <v>2407562</v>
      </c>
      <c r="AH172" s="36">
        <v>1808717</v>
      </c>
      <c r="AI172" s="39">
        <v>0.75129999999999997</v>
      </c>
    </row>
    <row r="173" spans="1:35" ht="14" x14ac:dyDescent="0.2">
      <c r="A173" s="1" t="s">
        <v>375</v>
      </c>
      <c r="B173" s="1" t="s">
        <v>429</v>
      </c>
      <c r="C173" s="1" t="s">
        <v>435</v>
      </c>
      <c r="D173" s="1" t="s">
        <v>376</v>
      </c>
      <c r="E173" s="25">
        <v>959</v>
      </c>
      <c r="F173" s="21">
        <v>253417.00079300001</v>
      </c>
      <c r="G173" s="20">
        <f t="shared" si="25"/>
        <v>133259.00017099999</v>
      </c>
      <c r="H173" s="24">
        <f t="shared" si="26"/>
        <v>0.52584869899810183</v>
      </c>
      <c r="I173" s="12">
        <v>406</v>
      </c>
      <c r="J173" s="12">
        <v>104746.000187</v>
      </c>
      <c r="K173" s="13">
        <f t="shared" si="27"/>
        <v>0.41333454290448429</v>
      </c>
      <c r="L173" s="4">
        <v>91</v>
      </c>
      <c r="M173" s="4">
        <v>24405.999948000001</v>
      </c>
      <c r="N173" s="17">
        <f t="shared" si="28"/>
        <v>9.6307666303476161E-2</v>
      </c>
      <c r="O173" s="9">
        <v>12</v>
      </c>
      <c r="P173" s="9">
        <v>4107.0000360000004</v>
      </c>
      <c r="Q173" s="18">
        <f t="shared" si="29"/>
        <v>1.6206489790141363E-2</v>
      </c>
      <c r="R173" s="36">
        <v>5098526</v>
      </c>
      <c r="S173" s="36">
        <v>3005680</v>
      </c>
      <c r="T173" s="39">
        <v>0.58950000000000002</v>
      </c>
      <c r="U173" s="36">
        <v>4927401</v>
      </c>
      <c r="V173" s="36">
        <v>2800310</v>
      </c>
      <c r="W173" s="39">
        <v>0.56830000000000003</v>
      </c>
      <c r="X173" s="36">
        <v>5093618</v>
      </c>
      <c r="Y173" s="36">
        <v>3165374</v>
      </c>
      <c r="Z173" s="39">
        <v>0.62139999999999995</v>
      </c>
      <c r="AA173" s="36">
        <v>4249149</v>
      </c>
      <c r="AB173" s="36">
        <v>2172737</v>
      </c>
      <c r="AC173" s="39">
        <v>0.51129999999999998</v>
      </c>
      <c r="AD173" s="36">
        <v>4010562</v>
      </c>
      <c r="AE173" s="36">
        <v>2021118</v>
      </c>
      <c r="AF173" s="39">
        <v>0.50390000000000001</v>
      </c>
      <c r="AG173" s="36">
        <v>3015220</v>
      </c>
      <c r="AH173" s="36">
        <v>1753419</v>
      </c>
      <c r="AI173" s="39">
        <v>0.58150000000000002</v>
      </c>
    </row>
    <row r="174" spans="1:35" ht="14" x14ac:dyDescent="0.2">
      <c r="A174" s="1" t="s">
        <v>377</v>
      </c>
      <c r="B174" s="1" t="s">
        <v>429</v>
      </c>
      <c r="C174" s="1" t="s">
        <v>438</v>
      </c>
      <c r="D174" s="1" t="s">
        <v>378</v>
      </c>
      <c r="E174" s="25">
        <v>1001</v>
      </c>
      <c r="F174" s="21">
        <v>232463.00058600001</v>
      </c>
      <c r="G174" s="20">
        <f t="shared" si="25"/>
        <v>137057.00035700001</v>
      </c>
      <c r="H174" s="24">
        <f t="shared" si="26"/>
        <v>0.58958629980471056</v>
      </c>
      <c r="I174" s="12">
        <v>493</v>
      </c>
      <c r="J174" s="12">
        <v>118815.000265</v>
      </c>
      <c r="K174" s="13">
        <f t="shared" si="27"/>
        <v>0.51111359642389298</v>
      </c>
      <c r="L174" s="4">
        <v>62</v>
      </c>
      <c r="M174" s="4">
        <v>14893.000040999999</v>
      </c>
      <c r="N174" s="17">
        <f t="shared" si="28"/>
        <v>6.4066109460246393E-2</v>
      </c>
      <c r="O174" s="9">
        <v>23</v>
      </c>
      <c r="P174" s="9">
        <v>3349.000051</v>
      </c>
      <c r="Q174" s="18">
        <f t="shared" si="29"/>
        <v>1.440659392057117E-2</v>
      </c>
      <c r="R174" s="36">
        <v>3645200</v>
      </c>
      <c r="S174" s="36">
        <v>2342468</v>
      </c>
      <c r="T174" s="39">
        <v>0.64259999999999995</v>
      </c>
      <c r="U174" s="36">
        <v>3665191</v>
      </c>
      <c r="V174" s="36">
        <v>2203959</v>
      </c>
      <c r="W174" s="39">
        <v>0.60129999999999995</v>
      </c>
      <c r="X174" s="36">
        <v>3712447</v>
      </c>
      <c r="Y174" s="36">
        <v>2234389</v>
      </c>
      <c r="Z174" s="39">
        <v>0.60189999999999999</v>
      </c>
      <c r="AA174" s="36">
        <v>3449036</v>
      </c>
      <c r="AB174" s="36">
        <v>1847202</v>
      </c>
      <c r="AC174" s="39">
        <v>0.53559999999999997</v>
      </c>
      <c r="AD174" s="36">
        <v>3207841</v>
      </c>
      <c r="AE174" s="36">
        <v>1669623</v>
      </c>
      <c r="AF174" s="39">
        <v>0.52049999999999996</v>
      </c>
      <c r="AG174" s="36">
        <v>2087298</v>
      </c>
      <c r="AH174" s="36">
        <v>1188694</v>
      </c>
      <c r="AI174" s="39">
        <v>0.56950000000000001</v>
      </c>
    </row>
    <row r="175" spans="1:35" ht="14" x14ac:dyDescent="0.2">
      <c r="A175" s="1" t="s">
        <v>379</v>
      </c>
      <c r="B175" s="1" t="s">
        <v>429</v>
      </c>
      <c r="C175" s="1" t="s">
        <v>435</v>
      </c>
      <c r="D175" s="1" t="s">
        <v>380</v>
      </c>
      <c r="E175" s="25">
        <v>1048</v>
      </c>
      <c r="F175" s="21">
        <v>223505.00057900001</v>
      </c>
      <c r="G175" s="20">
        <f t="shared" si="25"/>
        <v>121131.999901</v>
      </c>
      <c r="H175" s="24">
        <f t="shared" si="26"/>
        <v>0.54196550228049467</v>
      </c>
      <c r="I175" s="12">
        <v>433</v>
      </c>
      <c r="J175" s="12">
        <v>102551.999859</v>
      </c>
      <c r="K175" s="13">
        <f t="shared" si="27"/>
        <v>0.45883537099095911</v>
      </c>
      <c r="L175" s="4">
        <v>73</v>
      </c>
      <c r="M175" s="4">
        <v>17129.000042</v>
      </c>
      <c r="N175" s="17">
        <f t="shared" si="28"/>
        <v>7.6638106519435964E-2</v>
      </c>
      <c r="O175" s="9">
        <v>10</v>
      </c>
      <c r="P175" s="9">
        <v>1451</v>
      </c>
      <c r="Q175" s="18">
        <f t="shared" si="29"/>
        <v>6.4920247700996289E-3</v>
      </c>
      <c r="R175" s="36">
        <v>3323587</v>
      </c>
      <c r="S175" s="36">
        <v>2103462</v>
      </c>
      <c r="T175" s="39">
        <v>0.63290000000000002</v>
      </c>
      <c r="U175" s="36">
        <v>3131681</v>
      </c>
      <c r="V175" s="36">
        <v>1907972</v>
      </c>
      <c r="W175" s="39">
        <v>0.60919999999999996</v>
      </c>
      <c r="X175" s="36">
        <v>3167468</v>
      </c>
      <c r="Y175" s="36">
        <v>1933098</v>
      </c>
      <c r="Z175" s="39">
        <v>0.61029999999999995</v>
      </c>
      <c r="AA175" s="36">
        <v>3198079</v>
      </c>
      <c r="AB175" s="36">
        <v>1664449</v>
      </c>
      <c r="AC175" s="39">
        <v>0.52049999999999996</v>
      </c>
      <c r="AD175" s="36">
        <v>2910593</v>
      </c>
      <c r="AE175" s="36">
        <v>1525166</v>
      </c>
      <c r="AF175" s="39">
        <v>0.52400000000000002</v>
      </c>
      <c r="AG175" s="36">
        <v>2077831</v>
      </c>
      <c r="AH175" s="36">
        <v>1158032</v>
      </c>
      <c r="AI175" s="39">
        <v>0.55730000000000002</v>
      </c>
    </row>
    <row r="176" spans="1:35" ht="14" x14ac:dyDescent="0.2">
      <c r="A176" s="1" t="s">
        <v>381</v>
      </c>
      <c r="B176" s="1" t="s">
        <v>429</v>
      </c>
      <c r="C176" s="1" t="s">
        <v>433</v>
      </c>
      <c r="D176" s="1" t="s">
        <v>382</v>
      </c>
      <c r="E176" s="25">
        <v>732</v>
      </c>
      <c r="F176" s="21">
        <v>183319.00068299999</v>
      </c>
      <c r="G176" s="20">
        <f t="shared" si="25"/>
        <v>103587.00062999999</v>
      </c>
      <c r="H176" s="24">
        <f t="shared" si="26"/>
        <v>0.56506417907615236</v>
      </c>
      <c r="I176" s="12">
        <v>369</v>
      </c>
      <c r="J176" s="12">
        <v>87408.000558999993</v>
      </c>
      <c r="K176" s="13">
        <f t="shared" si="27"/>
        <v>0.47680818809474196</v>
      </c>
      <c r="L176" s="4">
        <v>44</v>
      </c>
      <c r="M176" s="4">
        <v>13124.000102</v>
      </c>
      <c r="N176" s="17">
        <f t="shared" si="28"/>
        <v>7.1591051953716262E-2</v>
      </c>
      <c r="O176" s="9">
        <v>24</v>
      </c>
      <c r="P176" s="9">
        <v>3054.999969</v>
      </c>
      <c r="Q176" s="18">
        <f t="shared" si="29"/>
        <v>1.6664939027694056E-2</v>
      </c>
      <c r="R176" s="36">
        <v>4085026</v>
      </c>
      <c r="S176" s="36">
        <v>2581228</v>
      </c>
      <c r="T176" s="39">
        <v>0.63190000000000002</v>
      </c>
      <c r="U176" s="36">
        <v>3935003</v>
      </c>
      <c r="V176" s="36">
        <v>2299867</v>
      </c>
      <c r="W176" s="39">
        <v>0.58450000000000002</v>
      </c>
      <c r="X176" s="36">
        <v>4406408</v>
      </c>
      <c r="Y176" s="36">
        <v>2725342</v>
      </c>
      <c r="Z176" s="39">
        <v>0.61850000000000005</v>
      </c>
      <c r="AA176" s="36">
        <v>3719975</v>
      </c>
      <c r="AB176" s="36">
        <v>2176054</v>
      </c>
      <c r="AC176" s="39">
        <v>0.58499999999999996</v>
      </c>
      <c r="AD176" s="36">
        <v>3633056</v>
      </c>
      <c r="AE176" s="36">
        <v>2045958</v>
      </c>
      <c r="AF176" s="39">
        <v>0.56320000000000003</v>
      </c>
      <c r="AG176" s="36">
        <v>2497704</v>
      </c>
      <c r="AH176" s="36">
        <v>1524482</v>
      </c>
      <c r="AI176" s="39">
        <v>0.61040000000000005</v>
      </c>
    </row>
    <row r="177" spans="1:35" ht="14" x14ac:dyDescent="0.2">
      <c r="A177" s="1" t="s">
        <v>383</v>
      </c>
      <c r="B177" s="1" t="s">
        <v>429</v>
      </c>
      <c r="C177" s="1" t="s">
        <v>433</v>
      </c>
      <c r="D177" s="1" t="s">
        <v>384</v>
      </c>
      <c r="E177" s="25">
        <v>717</v>
      </c>
      <c r="F177" s="21">
        <v>165184.000363</v>
      </c>
      <c r="G177" s="20">
        <f t="shared" si="25"/>
        <v>96226.000287000003</v>
      </c>
      <c r="H177" s="24">
        <f t="shared" si="26"/>
        <v>0.58253826082149973</v>
      </c>
      <c r="I177" s="12">
        <v>364</v>
      </c>
      <c r="J177" s="12">
        <v>86039.000245000003</v>
      </c>
      <c r="K177" s="13">
        <f t="shared" si="27"/>
        <v>0.5208676388507667</v>
      </c>
      <c r="L177" s="4">
        <v>45</v>
      </c>
      <c r="M177" s="4">
        <v>9830.0000099999997</v>
      </c>
      <c r="N177" s="17">
        <f t="shared" si="28"/>
        <v>5.9509395512871037E-2</v>
      </c>
      <c r="O177" s="9">
        <v>3</v>
      </c>
      <c r="P177" s="9">
        <v>357.00003199999998</v>
      </c>
      <c r="Q177" s="18">
        <f t="shared" si="29"/>
        <v>2.1612264578619888E-3</v>
      </c>
      <c r="R177" s="36">
        <v>3318078</v>
      </c>
      <c r="S177" s="36">
        <v>1982965</v>
      </c>
      <c r="T177" s="39">
        <v>0.59760000000000002</v>
      </c>
      <c r="U177" s="36">
        <v>3038256</v>
      </c>
      <c r="V177" s="36">
        <v>1676700</v>
      </c>
      <c r="W177" s="39">
        <v>0.55189999999999995</v>
      </c>
      <c r="X177" s="36">
        <v>3020763</v>
      </c>
      <c r="Y177" s="36">
        <v>1728489</v>
      </c>
      <c r="Z177" s="39">
        <v>0.57220000000000004</v>
      </c>
      <c r="AA177" s="36">
        <v>2873169</v>
      </c>
      <c r="AB177" s="36">
        <v>1424198</v>
      </c>
      <c r="AC177" s="39">
        <v>0.49569999999999997</v>
      </c>
      <c r="AD177" s="36">
        <v>2737172</v>
      </c>
      <c r="AE177" s="36">
        <v>1363626</v>
      </c>
      <c r="AF177" s="39">
        <v>0.49819999999999998</v>
      </c>
      <c r="AG177" s="36">
        <v>1794542</v>
      </c>
      <c r="AH177" s="36">
        <v>974040</v>
      </c>
      <c r="AI177" s="39">
        <v>0.54279999999999995</v>
      </c>
    </row>
    <row r="178" spans="1:35" ht="14" x14ac:dyDescent="0.2">
      <c r="A178" s="1" t="s">
        <v>385</v>
      </c>
      <c r="B178" s="1" t="s">
        <v>429</v>
      </c>
      <c r="C178" s="1" t="s">
        <v>433</v>
      </c>
      <c r="D178" s="1" t="s">
        <v>386</v>
      </c>
      <c r="E178" s="25">
        <v>746</v>
      </c>
      <c r="F178" s="21">
        <v>177094.00074300001</v>
      </c>
      <c r="G178" s="20">
        <f t="shared" si="25"/>
        <v>89117.000264000002</v>
      </c>
      <c r="H178" s="24">
        <f t="shared" si="26"/>
        <v>0.50321862903378178</v>
      </c>
      <c r="I178" s="12">
        <v>312</v>
      </c>
      <c r="J178" s="12">
        <v>76406.000306999995</v>
      </c>
      <c r="K178" s="13">
        <f t="shared" si="27"/>
        <v>0.43144318828665962</v>
      </c>
      <c r="L178" s="4">
        <v>42</v>
      </c>
      <c r="M178" s="4">
        <v>11019.999965999999</v>
      </c>
      <c r="N178" s="17">
        <f t="shared" si="28"/>
        <v>6.2226839530223815E-2</v>
      </c>
      <c r="O178" s="9">
        <v>7</v>
      </c>
      <c r="P178" s="9">
        <v>1690.9999909999999</v>
      </c>
      <c r="Q178" s="18">
        <f t="shared" si="29"/>
        <v>9.5486012168983087E-3</v>
      </c>
      <c r="R178" s="36">
        <v>3191558</v>
      </c>
      <c r="S178" s="36">
        <v>2113918</v>
      </c>
      <c r="T178" s="39">
        <v>0.6623</v>
      </c>
      <c r="U178" s="36">
        <v>3020055</v>
      </c>
      <c r="V178" s="36">
        <v>2065816</v>
      </c>
      <c r="W178" s="39">
        <v>0.68400000000000005</v>
      </c>
      <c r="X178" s="36">
        <v>3548927</v>
      </c>
      <c r="Y178" s="36">
        <v>2378792</v>
      </c>
      <c r="Z178" s="39">
        <v>0.67030000000000001</v>
      </c>
      <c r="AA178" s="36">
        <v>2896011</v>
      </c>
      <c r="AB178" s="36">
        <v>1593689</v>
      </c>
      <c r="AC178" s="39">
        <v>0.55030000000000001</v>
      </c>
      <c r="AD178" s="36">
        <v>2974668</v>
      </c>
      <c r="AE178" s="36">
        <v>1566981</v>
      </c>
      <c r="AF178" s="39">
        <v>0.52680000000000005</v>
      </c>
      <c r="AG178" s="36">
        <v>2069588</v>
      </c>
      <c r="AH178" s="36">
        <v>1182060</v>
      </c>
      <c r="AI178" s="39">
        <v>0.57120000000000004</v>
      </c>
    </row>
    <row r="179" spans="1:35" ht="14" x14ac:dyDescent="0.2">
      <c r="A179" s="1" t="s">
        <v>387</v>
      </c>
      <c r="B179" s="1" t="s">
        <v>429</v>
      </c>
      <c r="C179" s="1" t="s">
        <v>438</v>
      </c>
      <c r="D179" s="1" t="s">
        <v>388</v>
      </c>
      <c r="E179" s="25">
        <v>1360</v>
      </c>
      <c r="F179" s="21">
        <v>328318.00024000002</v>
      </c>
      <c r="G179" s="20">
        <f t="shared" si="25"/>
        <v>190736.99993299998</v>
      </c>
      <c r="H179" s="24">
        <f t="shared" si="26"/>
        <v>0.58095200322118035</v>
      </c>
      <c r="I179" s="12">
        <v>663</v>
      </c>
      <c r="J179" s="12">
        <v>160592.00004799999</v>
      </c>
      <c r="K179" s="13">
        <f t="shared" si="27"/>
        <v>0.48913553302166635</v>
      </c>
      <c r="L179" s="4">
        <v>88</v>
      </c>
      <c r="M179" s="4">
        <v>24531.999926</v>
      </c>
      <c r="N179" s="17">
        <f t="shared" si="28"/>
        <v>7.4720240462195622E-2</v>
      </c>
      <c r="O179" s="9">
        <v>25</v>
      </c>
      <c r="P179" s="9">
        <v>5612.9999589999998</v>
      </c>
      <c r="Q179" s="18">
        <f t="shared" si="29"/>
        <v>1.7096229737318405E-2</v>
      </c>
      <c r="R179" s="36">
        <v>2786672</v>
      </c>
      <c r="S179" s="36">
        <v>2104785</v>
      </c>
      <c r="T179" s="39">
        <v>0.75529999999999997</v>
      </c>
      <c r="U179" s="36">
        <v>2860627</v>
      </c>
      <c r="V179" s="36">
        <v>2141640</v>
      </c>
      <c r="W179" s="39">
        <v>0.74870000000000003</v>
      </c>
      <c r="X179" s="36">
        <v>2835803</v>
      </c>
      <c r="Y179" s="36">
        <v>2114047</v>
      </c>
      <c r="Z179" s="39">
        <v>0.74550000000000005</v>
      </c>
      <c r="AA179" s="36">
        <v>2467584</v>
      </c>
      <c r="AB179" s="36">
        <v>1444791</v>
      </c>
      <c r="AC179" s="39">
        <v>0.58550000000000002</v>
      </c>
      <c r="AD179" s="36">
        <v>2414423</v>
      </c>
      <c r="AE179" s="36">
        <v>1351910</v>
      </c>
      <c r="AF179" s="39">
        <v>0.55989999999999995</v>
      </c>
      <c r="AG179" s="36">
        <v>1635505</v>
      </c>
      <c r="AH179" s="36">
        <v>1037927</v>
      </c>
      <c r="AI179" s="39">
        <v>0.63460000000000005</v>
      </c>
    </row>
    <row r="180" spans="1:35" ht="14" x14ac:dyDescent="0.2">
      <c r="A180" s="1" t="s">
        <v>389</v>
      </c>
      <c r="B180" s="1" t="s">
        <v>429</v>
      </c>
      <c r="C180" s="1" t="s">
        <v>433</v>
      </c>
      <c r="D180" s="1" t="s">
        <v>390</v>
      </c>
      <c r="E180" s="25">
        <v>863</v>
      </c>
      <c r="F180" s="21">
        <v>231886.00085300001</v>
      </c>
      <c r="G180" s="20">
        <f t="shared" si="25"/>
        <v>113895.00030499999</v>
      </c>
      <c r="H180" s="24">
        <f t="shared" si="26"/>
        <v>0.49116807347590463</v>
      </c>
      <c r="I180" s="12">
        <v>369</v>
      </c>
      <c r="J180" s="12">
        <v>93380.0003</v>
      </c>
      <c r="K180" s="13">
        <f t="shared" si="27"/>
        <v>0.40269787721767897</v>
      </c>
      <c r="L180" s="4">
        <v>74</v>
      </c>
      <c r="M180" s="4">
        <v>17947.000001</v>
      </c>
      <c r="N180" s="17">
        <f t="shared" si="28"/>
        <v>7.7395789029874124E-2</v>
      </c>
      <c r="O180" s="9">
        <v>7</v>
      </c>
      <c r="P180" s="9">
        <v>2568.000004</v>
      </c>
      <c r="Q180" s="18">
        <f t="shared" si="29"/>
        <v>1.1074407228351563E-2</v>
      </c>
      <c r="R180" s="36">
        <v>3880594</v>
      </c>
      <c r="S180" s="36">
        <v>2661859</v>
      </c>
      <c r="T180" s="39">
        <v>0.68589999999999995</v>
      </c>
      <c r="U180" s="36">
        <v>3644938</v>
      </c>
      <c r="V180" s="36">
        <v>2434370</v>
      </c>
      <c r="W180" s="39">
        <v>0.66790000000000005</v>
      </c>
      <c r="X180" s="36">
        <v>4249625</v>
      </c>
      <c r="Y180" s="36">
        <v>2959674</v>
      </c>
      <c r="Z180" s="39">
        <v>0.69650000000000001</v>
      </c>
      <c r="AA180" s="36">
        <v>3600647</v>
      </c>
      <c r="AB180" s="36">
        <v>2008458</v>
      </c>
      <c r="AC180" s="39">
        <v>0.55779999999999996</v>
      </c>
      <c r="AD180" s="36">
        <v>3557266</v>
      </c>
      <c r="AE180" s="36">
        <v>1767921</v>
      </c>
      <c r="AF180" s="39">
        <v>0.497</v>
      </c>
      <c r="AG180" s="36">
        <v>2392846</v>
      </c>
      <c r="AH180" s="36">
        <v>1334631</v>
      </c>
      <c r="AI180" s="39">
        <v>0.55779999999999996</v>
      </c>
    </row>
    <row r="181" spans="1:35" ht="14" x14ac:dyDescent="0.2">
      <c r="A181" s="1" t="s">
        <v>391</v>
      </c>
      <c r="B181" s="1" t="s">
        <v>430</v>
      </c>
      <c r="C181" s="1" t="s">
        <v>433</v>
      </c>
      <c r="D181" s="1" t="s">
        <v>392</v>
      </c>
      <c r="E181" s="25">
        <v>748</v>
      </c>
      <c r="F181" s="21">
        <v>196964.000337</v>
      </c>
      <c r="G181" s="20">
        <f t="shared" si="25"/>
        <v>184685.00014000002</v>
      </c>
      <c r="H181" s="24">
        <f t="shared" si="26"/>
        <v>0.93765865754152555</v>
      </c>
      <c r="I181" s="12">
        <v>624</v>
      </c>
      <c r="J181" s="12">
        <v>163108.00005500001</v>
      </c>
      <c r="K181" s="13">
        <f t="shared" si="27"/>
        <v>0.82811071960321025</v>
      </c>
      <c r="L181" s="4">
        <v>61</v>
      </c>
      <c r="M181" s="4">
        <v>18015.000065</v>
      </c>
      <c r="N181" s="17">
        <f t="shared" si="28"/>
        <v>9.1463414807664498E-2</v>
      </c>
      <c r="O181" s="9">
        <v>15</v>
      </c>
      <c r="P181" s="9">
        <v>3562.0000199999999</v>
      </c>
      <c r="Q181" s="18">
        <f t="shared" si="29"/>
        <v>1.8084523130650856E-2</v>
      </c>
      <c r="R181" s="36">
        <v>4200617</v>
      </c>
      <c r="S181" s="36">
        <v>2852397</v>
      </c>
      <c r="T181" s="39">
        <v>0.67900000000000005</v>
      </c>
      <c r="U181" s="36">
        <v>4145974</v>
      </c>
      <c r="V181" s="36">
        <v>2682721</v>
      </c>
      <c r="W181" s="39">
        <v>0.64710000000000001</v>
      </c>
      <c r="X181" s="36">
        <v>4064041</v>
      </c>
      <c r="Y181" s="36">
        <v>2746693</v>
      </c>
      <c r="Z181" s="39">
        <v>0.67589999999999995</v>
      </c>
      <c r="AA181" s="36">
        <v>3696422</v>
      </c>
      <c r="AB181" s="36">
        <v>2225518</v>
      </c>
      <c r="AC181" s="39">
        <v>0.60209999999999997</v>
      </c>
      <c r="AD181" s="36">
        <v>3404715</v>
      </c>
      <c r="AE181" s="36">
        <v>2196324</v>
      </c>
      <c r="AF181" s="39">
        <v>0.64510000000000001</v>
      </c>
      <c r="AG181" s="36">
        <v>2332546</v>
      </c>
      <c r="AH181" s="36">
        <v>1557629</v>
      </c>
      <c r="AI181" s="39">
        <v>0.66779999999999995</v>
      </c>
    </row>
    <row r="182" spans="1:35" ht="14" x14ac:dyDescent="0.2">
      <c r="A182" s="1" t="s">
        <v>393</v>
      </c>
      <c r="B182" s="1" t="s">
        <v>429</v>
      </c>
      <c r="C182" s="1" t="s">
        <v>433</v>
      </c>
      <c r="D182" s="1" t="s">
        <v>394</v>
      </c>
      <c r="E182" s="25">
        <v>902</v>
      </c>
      <c r="F182" s="21">
        <v>228500.00041899999</v>
      </c>
      <c r="G182" s="20">
        <f t="shared" si="25"/>
        <v>141476.00035800002</v>
      </c>
      <c r="H182" s="24">
        <f t="shared" si="26"/>
        <v>0.61915098511411715</v>
      </c>
      <c r="I182" s="12">
        <v>470</v>
      </c>
      <c r="J182" s="12">
        <v>120342.000096</v>
      </c>
      <c r="K182" s="13">
        <f t="shared" si="27"/>
        <v>0.52666083096424121</v>
      </c>
      <c r="L182" s="4">
        <v>64</v>
      </c>
      <c r="M182" s="4">
        <v>17095.000261000001</v>
      </c>
      <c r="N182" s="17">
        <f t="shared" si="28"/>
        <v>7.4814005381413279E-2</v>
      </c>
      <c r="O182" s="9">
        <v>23</v>
      </c>
      <c r="P182" s="9">
        <v>4039.0000009999999</v>
      </c>
      <c r="Q182" s="18">
        <f t="shared" si="29"/>
        <v>1.7676148768462553E-2</v>
      </c>
      <c r="R182" s="36">
        <v>4662400</v>
      </c>
      <c r="S182" s="36">
        <v>2993544</v>
      </c>
      <c r="T182" s="39">
        <v>0.6421</v>
      </c>
      <c r="U182" s="36">
        <v>4439841</v>
      </c>
      <c r="V182" s="36">
        <v>2770618</v>
      </c>
      <c r="W182" s="39">
        <v>0.624</v>
      </c>
      <c r="X182" s="36">
        <v>4567528</v>
      </c>
      <c r="Y182" s="36">
        <v>2948293</v>
      </c>
      <c r="Z182" s="39">
        <v>0.64549999999999996</v>
      </c>
      <c r="AA182" s="36">
        <v>3909541</v>
      </c>
      <c r="AB182" s="36">
        <v>2215800</v>
      </c>
      <c r="AC182" s="39">
        <v>0.56679999999999997</v>
      </c>
      <c r="AD182" s="36">
        <v>3872248</v>
      </c>
      <c r="AE182" s="36">
        <v>2166483</v>
      </c>
      <c r="AF182" s="39">
        <v>0.5595</v>
      </c>
      <c r="AG182" s="36">
        <v>2588886</v>
      </c>
      <c r="AH182" s="36">
        <v>1525921</v>
      </c>
      <c r="AI182" s="39">
        <v>0.58940000000000003</v>
      </c>
    </row>
    <row r="183" spans="1:35" ht="14" x14ac:dyDescent="0.2">
      <c r="A183" s="1" t="s">
        <v>395</v>
      </c>
      <c r="B183" s="1" t="s">
        <v>430</v>
      </c>
      <c r="C183" s="1" t="s">
        <v>433</v>
      </c>
      <c r="D183" s="1" t="s">
        <v>396</v>
      </c>
      <c r="E183" s="25">
        <v>1203</v>
      </c>
      <c r="F183" s="21">
        <v>358297.00161199999</v>
      </c>
      <c r="G183" s="20">
        <f t="shared" si="25"/>
        <v>329710.00150199997</v>
      </c>
      <c r="H183" s="24">
        <f t="shared" si="26"/>
        <v>0.92021423572794259</v>
      </c>
      <c r="I183" s="12">
        <v>1040</v>
      </c>
      <c r="J183" s="12">
        <v>302837.00141700002</v>
      </c>
      <c r="K183" s="13">
        <f t="shared" si="27"/>
        <v>0.84521221236716448</v>
      </c>
      <c r="L183" s="4">
        <v>80</v>
      </c>
      <c r="M183" s="4">
        <v>23131.000072999999</v>
      </c>
      <c r="N183" s="17">
        <f t="shared" si="28"/>
        <v>6.4558173718820486E-2</v>
      </c>
      <c r="O183" s="9">
        <v>12</v>
      </c>
      <c r="P183" s="9">
        <v>3742.000012</v>
      </c>
      <c r="Q183" s="18">
        <f t="shared" si="29"/>
        <v>1.044384964195769E-2</v>
      </c>
      <c r="R183" s="36">
        <v>4427123</v>
      </c>
      <c r="S183" s="36">
        <v>3501129</v>
      </c>
      <c r="T183" s="39">
        <v>0.79079999999999995</v>
      </c>
      <c r="U183" s="36">
        <v>4135732</v>
      </c>
      <c r="V183" s="36">
        <v>3232655</v>
      </c>
      <c r="W183" s="39">
        <v>0.78159999999999996</v>
      </c>
      <c r="X183" s="36">
        <v>4575222</v>
      </c>
      <c r="Y183" s="36">
        <v>3693185</v>
      </c>
      <c r="Z183" s="39">
        <v>0.80720000000000003</v>
      </c>
      <c r="AA183" s="36">
        <v>3909471</v>
      </c>
      <c r="AB183" s="36">
        <v>2517782</v>
      </c>
      <c r="AC183" s="39">
        <v>0.64400000000000002</v>
      </c>
      <c r="AD183" s="36">
        <v>3677118</v>
      </c>
      <c r="AE183" s="36">
        <v>2713170</v>
      </c>
      <c r="AF183" s="39">
        <v>0.7379</v>
      </c>
      <c r="AG183" s="36">
        <v>2610978</v>
      </c>
      <c r="AH183" s="36">
        <v>2090351</v>
      </c>
      <c r="AI183" s="39">
        <v>0.80059999999999998</v>
      </c>
    </row>
    <row r="184" spans="1:35" ht="14" x14ac:dyDescent="0.2">
      <c r="A184" s="1" t="s">
        <v>397</v>
      </c>
      <c r="B184" s="1" t="s">
        <v>429</v>
      </c>
      <c r="C184" s="1" t="s">
        <v>439</v>
      </c>
      <c r="D184" s="1" t="s">
        <v>398</v>
      </c>
      <c r="E184" s="25">
        <v>526</v>
      </c>
      <c r="F184" s="21">
        <v>153427.00042999999</v>
      </c>
      <c r="G184" s="20">
        <f t="shared" si="25"/>
        <v>83032.000180000003</v>
      </c>
      <c r="H184" s="24">
        <f t="shared" si="26"/>
        <v>0.54118245124581432</v>
      </c>
      <c r="I184" s="12">
        <v>231</v>
      </c>
      <c r="J184" s="12">
        <v>67085.000159000003</v>
      </c>
      <c r="K184" s="13">
        <f t="shared" si="27"/>
        <v>0.43724377046403295</v>
      </c>
      <c r="L184" s="4">
        <v>41</v>
      </c>
      <c r="M184" s="4">
        <v>12100.999961</v>
      </c>
      <c r="N184" s="17">
        <f t="shared" si="28"/>
        <v>7.8871384613433779E-2</v>
      </c>
      <c r="O184" s="9">
        <v>12</v>
      </c>
      <c r="P184" s="9">
        <v>3846.0000599999998</v>
      </c>
      <c r="Q184" s="18">
        <f t="shared" si="29"/>
        <v>2.5067296168347571E-2</v>
      </c>
      <c r="R184" s="36">
        <v>3755259</v>
      </c>
      <c r="S184" s="36">
        <v>2398479</v>
      </c>
      <c r="T184" s="39">
        <v>0.63870000000000005</v>
      </c>
      <c r="U184" s="36">
        <v>3574643</v>
      </c>
      <c r="V184" s="36">
        <v>2149622</v>
      </c>
      <c r="W184" s="39">
        <v>0.60140000000000005</v>
      </c>
      <c r="X184" s="36">
        <v>4273401</v>
      </c>
      <c r="Y184" s="36">
        <v>2698600</v>
      </c>
      <c r="Z184" s="39">
        <v>0.63149999999999995</v>
      </c>
      <c r="AA184" s="36">
        <v>3826453</v>
      </c>
      <c r="AB184" s="36">
        <v>1883461</v>
      </c>
      <c r="AC184" s="39">
        <v>0.49220000000000003</v>
      </c>
      <c r="AD184" s="36">
        <v>3798592</v>
      </c>
      <c r="AE184" s="36">
        <v>1758265</v>
      </c>
      <c r="AF184" s="39">
        <v>0.46289999999999998</v>
      </c>
      <c r="AG184" s="36">
        <v>2592245</v>
      </c>
      <c r="AH184" s="36">
        <v>1329752</v>
      </c>
      <c r="AI184" s="39">
        <v>0.51300000000000001</v>
      </c>
    </row>
    <row r="185" spans="1:35" ht="14" x14ac:dyDescent="0.2">
      <c r="A185" s="1" t="s">
        <v>399</v>
      </c>
      <c r="B185" s="1" t="s">
        <v>430</v>
      </c>
      <c r="C185" s="1" t="s">
        <v>433</v>
      </c>
      <c r="D185" s="1" t="s">
        <v>400</v>
      </c>
      <c r="E185" s="25">
        <v>1084</v>
      </c>
      <c r="F185" s="21">
        <v>297130.00101499999</v>
      </c>
      <c r="G185" s="20">
        <f t="shared" si="25"/>
        <v>251721.000784</v>
      </c>
      <c r="H185" s="24">
        <f t="shared" si="26"/>
        <v>0.84717463710873275</v>
      </c>
      <c r="I185" s="12">
        <v>833</v>
      </c>
      <c r="J185" s="12">
        <v>221139.00067000001</v>
      </c>
      <c r="K185" s="13">
        <f t="shared" si="27"/>
        <v>0.74424999129871194</v>
      </c>
      <c r="L185" s="4">
        <v>82</v>
      </c>
      <c r="M185" s="4">
        <v>24783.000117</v>
      </c>
      <c r="N185" s="17">
        <f t="shared" si="28"/>
        <v>8.3407936029148672E-2</v>
      </c>
      <c r="O185" s="9">
        <v>22</v>
      </c>
      <c r="P185" s="9">
        <v>5798.9999969999999</v>
      </c>
      <c r="Q185" s="18">
        <f t="shared" si="29"/>
        <v>1.9516709780872141E-2</v>
      </c>
      <c r="R185" s="36">
        <v>4731573</v>
      </c>
      <c r="S185" s="36">
        <v>3083807</v>
      </c>
      <c r="T185" s="39">
        <v>0.65180000000000005</v>
      </c>
      <c r="U185" s="36">
        <v>4095370</v>
      </c>
      <c r="V185" s="36">
        <v>2694703</v>
      </c>
      <c r="W185" s="39">
        <v>0.65800000000000003</v>
      </c>
      <c r="X185" s="36">
        <v>4251361</v>
      </c>
      <c r="Y185" s="36">
        <v>2784312</v>
      </c>
      <c r="Z185" s="39">
        <v>0.65490000000000004</v>
      </c>
      <c r="AA185" s="36">
        <v>4092819</v>
      </c>
      <c r="AB185" s="36">
        <v>2225968</v>
      </c>
      <c r="AC185" s="39">
        <v>0.54390000000000005</v>
      </c>
      <c r="AD185" s="36">
        <v>3795022</v>
      </c>
      <c r="AE185" s="36">
        <v>2356493</v>
      </c>
      <c r="AF185" s="39">
        <v>0.62090000000000001</v>
      </c>
      <c r="AG185" s="36">
        <v>2629276</v>
      </c>
      <c r="AH185" s="36">
        <v>1734565</v>
      </c>
      <c r="AI185" s="39">
        <v>0.65969999999999995</v>
      </c>
    </row>
    <row r="186" spans="1:35" ht="14" x14ac:dyDescent="0.2">
      <c r="A186" s="1" t="s">
        <v>401</v>
      </c>
      <c r="B186" s="1" t="s">
        <v>429</v>
      </c>
      <c r="C186" s="1" t="s">
        <v>433</v>
      </c>
      <c r="D186" s="1" t="s">
        <v>402</v>
      </c>
      <c r="E186" s="25">
        <v>841</v>
      </c>
      <c r="F186" s="21">
        <v>218760.000761</v>
      </c>
      <c r="G186" s="20">
        <f t="shared" si="25"/>
        <v>114551.000313</v>
      </c>
      <c r="H186" s="24">
        <f t="shared" si="26"/>
        <v>0.52363777616799989</v>
      </c>
      <c r="I186" s="12">
        <v>356</v>
      </c>
      <c r="J186" s="12">
        <v>95868.000417000003</v>
      </c>
      <c r="K186" s="13">
        <f t="shared" si="27"/>
        <v>0.43823368112773892</v>
      </c>
      <c r="L186" s="4">
        <v>68</v>
      </c>
      <c r="M186" s="4">
        <v>17868.999910999999</v>
      </c>
      <c r="N186" s="17">
        <f t="shared" si="28"/>
        <v>8.16831223662422E-2</v>
      </c>
      <c r="O186" s="9">
        <v>5</v>
      </c>
      <c r="P186" s="9">
        <v>813.99998500000004</v>
      </c>
      <c r="Q186" s="18">
        <f t="shared" si="29"/>
        <v>3.7209726740187413E-3</v>
      </c>
      <c r="R186" s="36">
        <v>3837272</v>
      </c>
      <c r="S186" s="36">
        <v>2182053</v>
      </c>
      <c r="T186" s="39">
        <v>0.56859999999999999</v>
      </c>
      <c r="U186" s="36">
        <v>3618890</v>
      </c>
      <c r="V186" s="36">
        <v>2050275</v>
      </c>
      <c r="W186" s="39">
        <v>0.5665</v>
      </c>
      <c r="X186" s="36">
        <v>3775306</v>
      </c>
      <c r="Y186" s="36">
        <v>2229791</v>
      </c>
      <c r="Z186" s="39">
        <v>0.59060000000000001</v>
      </c>
      <c r="AA186" s="36">
        <v>3399060</v>
      </c>
      <c r="AB186" s="36">
        <v>1758211</v>
      </c>
      <c r="AC186" s="39">
        <v>0.51729999999999998</v>
      </c>
      <c r="AD186" s="36">
        <v>3254819</v>
      </c>
      <c r="AE186" s="36">
        <v>1627298</v>
      </c>
      <c r="AF186" s="39">
        <v>0.5</v>
      </c>
      <c r="AG186" s="36">
        <v>2290584</v>
      </c>
      <c r="AH186" s="36">
        <v>1250333</v>
      </c>
      <c r="AI186" s="39">
        <v>0.54590000000000005</v>
      </c>
    </row>
    <row r="187" spans="1:35" ht="14" x14ac:dyDescent="0.2">
      <c r="A187" s="1" t="s">
        <v>403</v>
      </c>
      <c r="B187" s="1" t="s">
        <v>430</v>
      </c>
      <c r="C187" s="1" t="s">
        <v>433</v>
      </c>
      <c r="D187" s="1" t="s">
        <v>404</v>
      </c>
      <c r="E187" s="25">
        <v>1186</v>
      </c>
      <c r="F187" s="21">
        <v>303267.00173800002</v>
      </c>
      <c r="G187" s="20">
        <f t="shared" si="25"/>
        <v>258926.00151100001</v>
      </c>
      <c r="H187" s="24">
        <f t="shared" si="26"/>
        <v>0.85378890557533416</v>
      </c>
      <c r="I187" s="12">
        <v>955</v>
      </c>
      <c r="J187" s="12">
        <v>238314.00134700001</v>
      </c>
      <c r="K187" s="13">
        <f t="shared" si="27"/>
        <v>0.78582239406608922</v>
      </c>
      <c r="L187" s="4">
        <v>70</v>
      </c>
      <c r="M187" s="4">
        <v>16638.000056000001</v>
      </c>
      <c r="N187" s="17">
        <f t="shared" si="28"/>
        <v>5.4862546734886726E-2</v>
      </c>
      <c r="O187" s="9">
        <v>20</v>
      </c>
      <c r="P187" s="9">
        <v>3974.0001080000002</v>
      </c>
      <c r="Q187" s="18">
        <f t="shared" si="29"/>
        <v>1.3103964774358269E-2</v>
      </c>
      <c r="R187" s="36">
        <v>3388723</v>
      </c>
      <c r="S187" s="36">
        <v>2902692</v>
      </c>
      <c r="T187" s="39">
        <v>0.85660000000000003</v>
      </c>
      <c r="U187" s="36">
        <v>3862805</v>
      </c>
      <c r="V187" s="36">
        <v>2914701</v>
      </c>
      <c r="W187" s="39">
        <v>0.75460000000000005</v>
      </c>
      <c r="X187" s="36">
        <v>4762517</v>
      </c>
      <c r="Y187" s="36">
        <v>3558292</v>
      </c>
      <c r="Z187" s="39">
        <v>0.74709999999999999</v>
      </c>
      <c r="AA187" s="36">
        <v>3506328</v>
      </c>
      <c r="AB187" s="36">
        <v>2209127</v>
      </c>
      <c r="AC187" s="39">
        <v>0.63</v>
      </c>
      <c r="AD187" s="36">
        <v>3288709</v>
      </c>
      <c r="AE187" s="36">
        <v>2242542</v>
      </c>
      <c r="AF187" s="39">
        <v>0.68189999999999995</v>
      </c>
      <c r="AG187" s="36">
        <v>2438320</v>
      </c>
      <c r="AH187" s="36">
        <v>1853206</v>
      </c>
      <c r="AI187" s="39">
        <v>0.76</v>
      </c>
    </row>
    <row r="188" spans="1:35" ht="14" x14ac:dyDescent="0.2">
      <c r="A188" s="1" t="s">
        <v>405</v>
      </c>
      <c r="B188" s="1" t="s">
        <v>430</v>
      </c>
      <c r="C188" s="1" t="s">
        <v>433</v>
      </c>
      <c r="D188" s="1" t="s">
        <v>406</v>
      </c>
      <c r="E188" s="25">
        <v>703</v>
      </c>
      <c r="F188" s="21">
        <v>184550.000359</v>
      </c>
      <c r="G188" s="20">
        <f t="shared" si="25"/>
        <v>169688.00032300001</v>
      </c>
      <c r="H188" s="24">
        <f t="shared" si="26"/>
        <v>0.91946897855817211</v>
      </c>
      <c r="I188" s="12">
        <v>581</v>
      </c>
      <c r="J188" s="12">
        <v>153466.00026500001</v>
      </c>
      <c r="K188" s="13">
        <f t="shared" si="27"/>
        <v>0.83156868039266785</v>
      </c>
      <c r="L188" s="4">
        <v>56</v>
      </c>
      <c r="M188" s="4">
        <v>14246.000050000001</v>
      </c>
      <c r="N188" s="17">
        <f t="shared" si="28"/>
        <v>7.7193172702723661E-2</v>
      </c>
      <c r="O188" s="9">
        <v>11</v>
      </c>
      <c r="P188" s="9">
        <v>1976.000008</v>
      </c>
      <c r="Q188" s="18">
        <f t="shared" si="29"/>
        <v>1.0707125462780505E-2</v>
      </c>
      <c r="R188" s="36">
        <v>4088772</v>
      </c>
      <c r="S188" s="36">
        <v>2737377</v>
      </c>
      <c r="T188" s="39">
        <v>0.66949999999999998</v>
      </c>
      <c r="U188" s="36">
        <v>4243169</v>
      </c>
      <c r="V188" s="36">
        <v>2699982</v>
      </c>
      <c r="W188" s="39">
        <v>0.63629999999999998</v>
      </c>
      <c r="X188" s="36">
        <v>3876025</v>
      </c>
      <c r="Y188" s="36">
        <v>2519687</v>
      </c>
      <c r="Z188" s="39">
        <v>0.65010000000000001</v>
      </c>
      <c r="AA188" s="36">
        <v>3586612</v>
      </c>
      <c r="AB188" s="36">
        <v>2192514</v>
      </c>
      <c r="AC188" s="39">
        <v>0.61129999999999995</v>
      </c>
      <c r="AD188" s="36">
        <v>3533659</v>
      </c>
      <c r="AE188" s="36">
        <v>2293745</v>
      </c>
      <c r="AF188" s="39">
        <v>0.64910000000000001</v>
      </c>
      <c r="AG188" s="36">
        <v>2323393</v>
      </c>
      <c r="AH188" s="36">
        <v>1606001</v>
      </c>
      <c r="AI188" s="39">
        <v>0.69120000000000004</v>
      </c>
    </row>
    <row r="189" spans="1:35" ht="14" x14ac:dyDescent="0.2">
      <c r="A189" s="1" t="s">
        <v>407</v>
      </c>
      <c r="B189" s="1" t="s">
        <v>429</v>
      </c>
      <c r="C189" s="1" t="s">
        <v>433</v>
      </c>
      <c r="D189" s="1" t="s">
        <v>408</v>
      </c>
      <c r="E189" s="25">
        <v>867</v>
      </c>
      <c r="F189" s="21">
        <v>222523.00097299999</v>
      </c>
      <c r="G189" s="20">
        <f t="shared" si="25"/>
        <v>100215.00057399999</v>
      </c>
      <c r="H189" s="24">
        <f t="shared" si="26"/>
        <v>0.45035794113777777</v>
      </c>
      <c r="I189" s="12">
        <v>335</v>
      </c>
      <c r="J189" s="12">
        <v>84928.000631999996</v>
      </c>
      <c r="K189" s="13">
        <f t="shared" si="27"/>
        <v>0.38165942514097589</v>
      </c>
      <c r="L189" s="4">
        <v>45</v>
      </c>
      <c r="M189" s="4">
        <v>12875.999958</v>
      </c>
      <c r="N189" s="17">
        <f t="shared" si="28"/>
        <v>5.7863681065321963E-2</v>
      </c>
      <c r="O189" s="9">
        <v>6</v>
      </c>
      <c r="P189" s="9">
        <v>2410.999984</v>
      </c>
      <c r="Q189" s="18">
        <f t="shared" si="29"/>
        <v>1.0834834931479917E-2</v>
      </c>
      <c r="R189" s="36">
        <v>2369542</v>
      </c>
      <c r="S189" s="36">
        <v>1526157</v>
      </c>
      <c r="T189" s="39">
        <v>0.64410000000000001</v>
      </c>
      <c r="U189" s="36">
        <v>2403334</v>
      </c>
      <c r="V189" s="36">
        <v>1448526</v>
      </c>
      <c r="W189" s="39">
        <v>0.60270000000000001</v>
      </c>
      <c r="X189" s="36">
        <v>2488670</v>
      </c>
      <c r="Y189" s="36">
        <v>1609431</v>
      </c>
      <c r="Z189" s="39">
        <v>0.64670000000000005</v>
      </c>
      <c r="AA189" s="36">
        <v>2282465</v>
      </c>
      <c r="AB189" s="36">
        <v>1140387</v>
      </c>
      <c r="AC189" s="39">
        <v>0.49959999999999999</v>
      </c>
      <c r="AD189" s="36">
        <v>2120787</v>
      </c>
      <c r="AE189" s="36">
        <v>1105116</v>
      </c>
      <c r="AF189" s="39">
        <v>0.52110000000000001</v>
      </c>
      <c r="AG189" s="36">
        <v>1477098</v>
      </c>
      <c r="AH189" s="36">
        <v>845038</v>
      </c>
      <c r="AI189" s="39">
        <v>0.57210000000000005</v>
      </c>
    </row>
    <row r="190" spans="1:35" ht="14" x14ac:dyDescent="0.2">
      <c r="A190" s="1" t="s">
        <v>409</v>
      </c>
      <c r="B190" s="1" t="s">
        <v>429</v>
      </c>
      <c r="C190" s="1" t="s">
        <v>433</v>
      </c>
      <c r="D190" s="1" t="s">
        <v>410</v>
      </c>
      <c r="E190" s="25">
        <v>627</v>
      </c>
      <c r="F190" s="21">
        <v>152597.00046800001</v>
      </c>
      <c r="G190" s="20">
        <f t="shared" si="25"/>
        <v>76670.000130999993</v>
      </c>
      <c r="H190" s="24">
        <f t="shared" si="26"/>
        <v>0.50243451637883207</v>
      </c>
      <c r="I190" s="12">
        <v>257</v>
      </c>
      <c r="J190" s="12">
        <v>61999.000152000001</v>
      </c>
      <c r="K190" s="13">
        <f t="shared" si="27"/>
        <v>0.40629239081931595</v>
      </c>
      <c r="L190" s="4">
        <v>48</v>
      </c>
      <c r="M190" s="4">
        <v>13606.999991000001</v>
      </c>
      <c r="N190" s="17">
        <f t="shared" si="28"/>
        <v>8.9169511519025066E-2</v>
      </c>
      <c r="O190" s="9">
        <v>5</v>
      </c>
      <c r="P190" s="9">
        <v>1063.999988</v>
      </c>
      <c r="Q190" s="18">
        <f t="shared" si="29"/>
        <v>6.9726140404910751E-3</v>
      </c>
      <c r="R190" s="36">
        <v>2753801</v>
      </c>
      <c r="S190" s="36">
        <v>1680226</v>
      </c>
      <c r="T190" s="39">
        <v>0.61009999999999998</v>
      </c>
      <c r="U190" s="36">
        <v>2621242</v>
      </c>
      <c r="V190" s="36">
        <v>1481305</v>
      </c>
      <c r="W190" s="39">
        <v>0.56510000000000005</v>
      </c>
      <c r="X190" s="36">
        <v>2881221</v>
      </c>
      <c r="Y190" s="36">
        <v>1630045</v>
      </c>
      <c r="Z190" s="39">
        <v>0.56569999999999998</v>
      </c>
      <c r="AA190" s="36">
        <v>2396861</v>
      </c>
      <c r="AB190" s="36">
        <v>1201992</v>
      </c>
      <c r="AC190" s="39">
        <v>0.50149999999999995</v>
      </c>
      <c r="AD190" s="36">
        <v>2346409</v>
      </c>
      <c r="AE190" s="36">
        <v>1169685</v>
      </c>
      <c r="AF190" s="39">
        <v>0.4985</v>
      </c>
      <c r="AG190" s="36">
        <v>1583500</v>
      </c>
      <c r="AH190" s="36">
        <v>839855</v>
      </c>
      <c r="AI190" s="39">
        <v>0.53039999999999998</v>
      </c>
    </row>
    <row r="191" spans="1:35" ht="14" x14ac:dyDescent="0.2">
      <c r="A191" s="1" t="s">
        <v>411</v>
      </c>
      <c r="B191" s="1" t="s">
        <v>429</v>
      </c>
      <c r="C191" s="1" t="s">
        <v>440</v>
      </c>
      <c r="D191" s="1" t="s">
        <v>412</v>
      </c>
      <c r="E191" s="25">
        <v>700</v>
      </c>
      <c r="F191" s="21">
        <v>165256.000875</v>
      </c>
      <c r="G191" s="20">
        <f t="shared" si="25"/>
        <v>99876.000444999998</v>
      </c>
      <c r="H191" s="24">
        <f t="shared" si="26"/>
        <v>0.60437139901834136</v>
      </c>
      <c r="I191" s="12">
        <v>335</v>
      </c>
      <c r="J191" s="12">
        <v>82325.000354999996</v>
      </c>
      <c r="K191" s="13">
        <f t="shared" si="27"/>
        <v>0.49816648060647922</v>
      </c>
      <c r="L191" s="4">
        <v>54</v>
      </c>
      <c r="M191" s="4">
        <v>15501.000055</v>
      </c>
      <c r="N191" s="17">
        <f t="shared" si="28"/>
        <v>9.3799922380579631E-2</v>
      </c>
      <c r="O191" s="9">
        <v>11</v>
      </c>
      <c r="P191" s="9">
        <v>2050.000035</v>
      </c>
      <c r="Q191" s="18">
        <f t="shared" si="29"/>
        <v>1.2404996031282547E-2</v>
      </c>
      <c r="R191" s="36">
        <v>2606230</v>
      </c>
      <c r="S191" s="36">
        <v>1660653</v>
      </c>
      <c r="T191" s="39">
        <v>0.63719999999999999</v>
      </c>
      <c r="U191" s="36">
        <v>2462459</v>
      </c>
      <c r="V191" s="36">
        <v>1566677</v>
      </c>
      <c r="W191" s="39">
        <v>0.63619999999999999</v>
      </c>
      <c r="X191" s="36">
        <v>2652558</v>
      </c>
      <c r="Y191" s="36">
        <v>1712294</v>
      </c>
      <c r="Z191" s="39">
        <v>0.64549999999999996</v>
      </c>
      <c r="AA191" s="36">
        <v>2154359</v>
      </c>
      <c r="AB191" s="36">
        <v>1291926</v>
      </c>
      <c r="AC191" s="39">
        <v>0.59970000000000001</v>
      </c>
      <c r="AD191" s="36">
        <v>1960524</v>
      </c>
      <c r="AE191" s="36">
        <v>1134593</v>
      </c>
      <c r="AF191" s="39">
        <v>0.57869999999999999</v>
      </c>
      <c r="AG191" s="36">
        <v>1449997</v>
      </c>
      <c r="AH191" s="36">
        <v>928607</v>
      </c>
      <c r="AI191" s="39">
        <v>0.64039999999999997</v>
      </c>
    </row>
    <row r="192" spans="1:35" ht="14" x14ac:dyDescent="0.2">
      <c r="A192" s="1" t="s">
        <v>413</v>
      </c>
      <c r="B192" s="1" t="s">
        <v>429</v>
      </c>
      <c r="C192" s="1" t="s">
        <v>435</v>
      </c>
      <c r="D192" s="1" t="s">
        <v>414</v>
      </c>
      <c r="E192" s="25">
        <v>1132</v>
      </c>
      <c r="F192" s="21">
        <v>319061.00112099998</v>
      </c>
      <c r="G192" s="20">
        <f t="shared" si="25"/>
        <v>161740.000172</v>
      </c>
      <c r="H192" s="24">
        <f t="shared" si="26"/>
        <v>0.50692500682859098</v>
      </c>
      <c r="I192" s="12">
        <v>461</v>
      </c>
      <c r="J192" s="12">
        <v>139703.00005800001</v>
      </c>
      <c r="K192" s="13">
        <f t="shared" si="27"/>
        <v>0.43785670942911431</v>
      </c>
      <c r="L192" s="4">
        <v>59</v>
      </c>
      <c r="M192" s="4">
        <v>16582.000088000001</v>
      </c>
      <c r="N192" s="17">
        <f t="shared" si="28"/>
        <v>5.1971253239161873E-2</v>
      </c>
      <c r="O192" s="9">
        <v>17</v>
      </c>
      <c r="P192" s="9">
        <v>5455.0000259999997</v>
      </c>
      <c r="Q192" s="18">
        <f t="shared" si="29"/>
        <v>1.709704416031484E-2</v>
      </c>
      <c r="R192" s="36">
        <v>4282248</v>
      </c>
      <c r="S192" s="36">
        <v>2768180</v>
      </c>
      <c r="T192" s="39">
        <v>0.64639999999999997</v>
      </c>
      <c r="U192" s="36">
        <v>4251619</v>
      </c>
      <c r="V192" s="36">
        <v>2672691</v>
      </c>
      <c r="W192" s="39">
        <v>0.62860000000000005</v>
      </c>
      <c r="X192" s="36">
        <v>4623599</v>
      </c>
      <c r="Y192" s="36">
        <v>2984323</v>
      </c>
      <c r="Z192" s="39">
        <v>0.64549999999999996</v>
      </c>
      <c r="AA192" s="36">
        <v>3800220</v>
      </c>
      <c r="AB192" s="36">
        <v>2025296</v>
      </c>
      <c r="AC192" s="39">
        <v>0.53290000000000004</v>
      </c>
      <c r="AD192" s="36">
        <v>3675106</v>
      </c>
      <c r="AE192" s="36">
        <v>1915074</v>
      </c>
      <c r="AF192" s="39">
        <v>0.52110000000000001</v>
      </c>
      <c r="AG192" s="36">
        <v>2630951</v>
      </c>
      <c r="AH192" s="36">
        <v>1471436</v>
      </c>
      <c r="AI192" s="39">
        <v>0.55930000000000002</v>
      </c>
    </row>
    <row r="193" spans="1:35" ht="14" x14ac:dyDescent="0.2">
      <c r="A193" s="1" t="s">
        <v>415</v>
      </c>
      <c r="B193" s="1" t="s">
        <v>430</v>
      </c>
      <c r="C193" s="1" t="s">
        <v>433</v>
      </c>
      <c r="D193" s="1" t="s">
        <v>416</v>
      </c>
      <c r="E193" s="25">
        <v>1232</v>
      </c>
      <c r="F193" s="21">
        <v>332054.00136499997</v>
      </c>
      <c r="G193" s="20">
        <f t="shared" si="25"/>
        <v>292022.00113599998</v>
      </c>
      <c r="H193" s="24">
        <f t="shared" si="26"/>
        <v>0.87944129549881234</v>
      </c>
      <c r="I193" s="12">
        <v>996</v>
      </c>
      <c r="J193" s="12">
        <v>260627.000937</v>
      </c>
      <c r="K193" s="13">
        <f t="shared" si="27"/>
        <v>0.78489342054491285</v>
      </c>
      <c r="L193" s="4">
        <v>97</v>
      </c>
      <c r="M193" s="4">
        <v>25838.000085</v>
      </c>
      <c r="N193" s="17">
        <f t="shared" si="28"/>
        <v>7.7812644867358144E-2</v>
      </c>
      <c r="O193" s="9">
        <v>23</v>
      </c>
      <c r="P193" s="9">
        <v>5557.0001140000004</v>
      </c>
      <c r="Q193" s="18">
        <f t="shared" si="29"/>
        <v>1.6735230086541382E-2</v>
      </c>
      <c r="R193" s="36">
        <v>4431387</v>
      </c>
      <c r="S193" s="36">
        <v>3306515</v>
      </c>
      <c r="T193" s="39">
        <v>0.74619999999999997</v>
      </c>
      <c r="U193" s="36">
        <v>4160928</v>
      </c>
      <c r="V193" s="36">
        <v>2988047</v>
      </c>
      <c r="W193" s="39">
        <v>0.71809999999999996</v>
      </c>
      <c r="X193" s="36">
        <v>4535875</v>
      </c>
      <c r="Y193" s="36">
        <v>3218044</v>
      </c>
      <c r="Z193" s="39">
        <v>0.70950000000000002</v>
      </c>
      <c r="AA193" s="36">
        <v>3928250</v>
      </c>
      <c r="AB193" s="36">
        <v>2456012</v>
      </c>
      <c r="AC193" s="39">
        <v>0.62519999999999998</v>
      </c>
      <c r="AD193" s="36">
        <v>3703800</v>
      </c>
      <c r="AE193" s="36">
        <v>2620144</v>
      </c>
      <c r="AF193" s="39">
        <v>0.70740000000000003</v>
      </c>
      <c r="AG193" s="36">
        <v>2624040</v>
      </c>
      <c r="AH193" s="36">
        <v>1912422</v>
      </c>
      <c r="AI193" s="39">
        <v>0.7288</v>
      </c>
    </row>
    <row r="194" spans="1:35" ht="14" x14ac:dyDescent="0.2">
      <c r="A194" s="1" t="s">
        <v>417</v>
      </c>
      <c r="B194" s="1" t="s">
        <v>429</v>
      </c>
      <c r="C194" s="1" t="s">
        <v>438</v>
      </c>
      <c r="D194" s="1" t="s">
        <v>418</v>
      </c>
      <c r="E194" s="25">
        <v>1291</v>
      </c>
      <c r="F194" s="21">
        <v>349686.00170600001</v>
      </c>
      <c r="G194" s="20">
        <f t="shared" si="25"/>
        <v>70372.000321</v>
      </c>
      <c r="H194" s="24">
        <f t="shared" si="26"/>
        <v>0.20124340115897907</v>
      </c>
      <c r="I194" s="12">
        <v>267</v>
      </c>
      <c r="J194" s="12">
        <v>61890.000202000003</v>
      </c>
      <c r="K194" s="13">
        <f t="shared" si="27"/>
        <v>0.17698735408354802</v>
      </c>
      <c r="L194" s="4">
        <v>31</v>
      </c>
      <c r="M194" s="4">
        <v>6173.0001270000002</v>
      </c>
      <c r="N194" s="17">
        <f t="shared" si="28"/>
        <v>1.7652980379208819E-2</v>
      </c>
      <c r="O194" s="9">
        <v>11</v>
      </c>
      <c r="P194" s="9">
        <v>2308.999992</v>
      </c>
      <c r="Q194" s="18">
        <f t="shared" si="29"/>
        <v>6.6030666962222338E-3</v>
      </c>
      <c r="R194" s="36">
        <v>3037493</v>
      </c>
      <c r="S194" s="36">
        <v>1340750</v>
      </c>
      <c r="T194" s="39">
        <v>0.44140000000000001</v>
      </c>
      <c r="U194" s="36">
        <v>2877256</v>
      </c>
      <c r="V194" s="36">
        <v>1207668</v>
      </c>
      <c r="W194" s="39">
        <v>0.41970000000000002</v>
      </c>
      <c r="X194" s="36">
        <v>2723240</v>
      </c>
      <c r="Y194" s="36">
        <v>1263240</v>
      </c>
      <c r="Z194" s="39">
        <v>0.46389999999999998</v>
      </c>
      <c r="AA194" s="36">
        <v>2530047</v>
      </c>
      <c r="AB194" s="36">
        <v>909478</v>
      </c>
      <c r="AC194" s="39">
        <v>0.35949999999999999</v>
      </c>
      <c r="AD194" s="36">
        <v>2353404</v>
      </c>
      <c r="AE194" s="36">
        <v>761882</v>
      </c>
      <c r="AF194" s="39">
        <v>0.32369999999999999</v>
      </c>
      <c r="AG194" s="36">
        <v>1688481</v>
      </c>
      <c r="AH194" s="36">
        <v>684962</v>
      </c>
      <c r="AI194" s="39">
        <v>0.40570000000000001</v>
      </c>
    </row>
    <row r="195" spans="1:35" ht="14" x14ac:dyDescent="0.2">
      <c r="A195" s="1" t="s">
        <v>419</v>
      </c>
      <c r="B195" s="1" t="s">
        <v>429</v>
      </c>
      <c r="C195" s="1" t="s">
        <v>438</v>
      </c>
      <c r="D195" s="1" t="s">
        <v>420</v>
      </c>
      <c r="E195" s="25">
        <v>1264</v>
      </c>
      <c r="F195" s="21">
        <v>273816.00107900001</v>
      </c>
      <c r="G195" s="20">
        <f t="shared" si="25"/>
        <v>115776.00034499999</v>
      </c>
      <c r="H195" s="24">
        <f t="shared" ref="H195:H199" si="30">G195/F195</f>
        <v>0.42282408584148773</v>
      </c>
      <c r="I195" s="12">
        <v>454</v>
      </c>
      <c r="J195" s="12">
        <v>95864.000375999996</v>
      </c>
      <c r="K195" s="13">
        <f t="shared" ref="K195:K199" si="31">J195/F195</f>
        <v>0.35010371927950917</v>
      </c>
      <c r="L195" s="4">
        <v>62</v>
      </c>
      <c r="M195" s="4">
        <v>17148.999967</v>
      </c>
      <c r="N195" s="17">
        <f t="shared" ref="N195:N199" si="32">M195/F195</f>
        <v>6.262964874011237E-2</v>
      </c>
      <c r="O195" s="9">
        <v>20</v>
      </c>
      <c r="P195" s="9">
        <v>2763.0000020000002</v>
      </c>
      <c r="Q195" s="18">
        <f t="shared" ref="Q195:Q199" si="33">P195/F195</f>
        <v>1.0090717821866201E-2</v>
      </c>
      <c r="R195" s="36">
        <v>2764092</v>
      </c>
      <c r="S195" s="36">
        <v>1513323</v>
      </c>
      <c r="T195" s="39">
        <v>0.54749999999999999</v>
      </c>
      <c r="U195" s="36">
        <v>2443536</v>
      </c>
      <c r="V195" s="36">
        <v>1328844</v>
      </c>
      <c r="W195" s="39">
        <v>0.54379999999999995</v>
      </c>
      <c r="X195" s="36">
        <v>2297792</v>
      </c>
      <c r="Y195" s="36">
        <v>1192497</v>
      </c>
      <c r="Z195" s="39">
        <v>0.51900000000000002</v>
      </c>
      <c r="AA195" s="36">
        <v>2445642</v>
      </c>
      <c r="AB195" s="36">
        <v>1086932</v>
      </c>
      <c r="AC195" s="39">
        <v>0.44440000000000002</v>
      </c>
      <c r="AD195" s="36">
        <v>2160663</v>
      </c>
      <c r="AE195" s="36">
        <v>1007183</v>
      </c>
      <c r="AF195" s="39">
        <v>0.46610000000000001</v>
      </c>
      <c r="AG195" s="36">
        <v>1405781</v>
      </c>
      <c r="AH195" s="36">
        <v>695142</v>
      </c>
      <c r="AI195" s="39">
        <v>0.4945</v>
      </c>
    </row>
    <row r="196" spans="1:35" ht="14" x14ac:dyDescent="0.2">
      <c r="A196" s="1" t="s">
        <v>421</v>
      </c>
      <c r="B196" s="1" t="s">
        <v>430</v>
      </c>
      <c r="C196" s="1" t="s">
        <v>433</v>
      </c>
      <c r="D196" s="1" t="s">
        <v>422</v>
      </c>
      <c r="E196" s="25">
        <v>1195</v>
      </c>
      <c r="F196" s="21">
        <v>335827.00135899999</v>
      </c>
      <c r="G196" s="20">
        <f t="shared" si="25"/>
        <v>287178.00105399999</v>
      </c>
      <c r="H196" s="24">
        <f t="shared" si="30"/>
        <v>0.85513672185937761</v>
      </c>
      <c r="I196" s="12">
        <v>962</v>
      </c>
      <c r="J196" s="12">
        <v>262110.00100600001</v>
      </c>
      <c r="K196" s="13">
        <f t="shared" si="31"/>
        <v>0.7804911455758845</v>
      </c>
      <c r="L196" s="4">
        <v>82</v>
      </c>
      <c r="M196" s="4">
        <v>21889.000034000001</v>
      </c>
      <c r="N196" s="17">
        <f t="shared" si="32"/>
        <v>6.5179392798736274E-2</v>
      </c>
      <c r="O196" s="9">
        <v>17</v>
      </c>
      <c r="P196" s="9">
        <v>3179.0000140000002</v>
      </c>
      <c r="Q196" s="18">
        <f t="shared" si="33"/>
        <v>9.4661834847569043E-3</v>
      </c>
      <c r="R196" s="36">
        <v>5204109</v>
      </c>
      <c r="S196" s="36">
        <v>4159700</v>
      </c>
      <c r="T196" s="39">
        <v>0.79930000000000001</v>
      </c>
      <c r="U196" s="36">
        <v>5172142</v>
      </c>
      <c r="V196" s="36">
        <v>4142285</v>
      </c>
      <c r="W196" s="39">
        <v>0.80089999999999995</v>
      </c>
      <c r="X196" s="36">
        <v>5632223</v>
      </c>
      <c r="Y196" s="36">
        <v>4523496</v>
      </c>
      <c r="Z196" s="39">
        <v>0.80310000000000004</v>
      </c>
      <c r="AA196" s="36">
        <v>4873641</v>
      </c>
      <c r="AB196" s="36">
        <v>3280964</v>
      </c>
      <c r="AC196" s="39">
        <v>0.67320000000000002</v>
      </c>
      <c r="AD196" s="36">
        <v>4567117</v>
      </c>
      <c r="AE196" s="36">
        <v>3339320</v>
      </c>
      <c r="AF196" s="39">
        <v>0.73119999999999996</v>
      </c>
      <c r="AG196" s="36">
        <v>3303420</v>
      </c>
      <c r="AH196" s="36">
        <v>2521409</v>
      </c>
      <c r="AI196" s="39">
        <v>0.76329999999999998</v>
      </c>
    </row>
    <row r="197" spans="1:35" ht="14" x14ac:dyDescent="0.2">
      <c r="A197" s="1" t="s">
        <v>423</v>
      </c>
      <c r="B197" s="1" t="s">
        <v>430</v>
      </c>
      <c r="C197" s="1" t="s">
        <v>434</v>
      </c>
      <c r="D197" s="1" t="s">
        <v>424</v>
      </c>
      <c r="E197" s="25">
        <v>1395</v>
      </c>
      <c r="F197" s="21">
        <v>333754.00121100002</v>
      </c>
      <c r="G197" s="20">
        <f t="shared" si="25"/>
        <v>296045.00108600006</v>
      </c>
      <c r="H197" s="24">
        <f t="shared" si="30"/>
        <v>0.88701558636547928</v>
      </c>
      <c r="I197" s="12">
        <v>1138</v>
      </c>
      <c r="J197" s="12">
        <v>262400.00089000002</v>
      </c>
      <c r="K197" s="13">
        <f t="shared" si="31"/>
        <v>0.78620780556308645</v>
      </c>
      <c r="L197" s="4">
        <v>111</v>
      </c>
      <c r="M197" s="4">
        <v>29687.000146999999</v>
      </c>
      <c r="N197" s="17">
        <f t="shared" si="32"/>
        <v>8.894874679938837E-2</v>
      </c>
      <c r="O197" s="9">
        <v>22</v>
      </c>
      <c r="P197" s="9">
        <v>3958.0000490000002</v>
      </c>
      <c r="Q197" s="18">
        <f t="shared" si="33"/>
        <v>1.1859034003004337E-2</v>
      </c>
      <c r="R197" s="36">
        <v>5108391</v>
      </c>
      <c r="S197" s="36">
        <v>3813201</v>
      </c>
      <c r="T197" s="39">
        <v>0.74650000000000005</v>
      </c>
      <c r="U197" s="36">
        <v>4833065</v>
      </c>
      <c r="V197" s="36">
        <v>3515540</v>
      </c>
      <c r="W197" s="39">
        <v>0.72740000000000005</v>
      </c>
      <c r="X197" s="36">
        <v>4373018</v>
      </c>
      <c r="Y197" s="36">
        <v>3313493</v>
      </c>
      <c r="Z197" s="39">
        <v>0.75770000000000004</v>
      </c>
      <c r="AA197" s="36">
        <v>4522210</v>
      </c>
      <c r="AB197" s="36">
        <v>2989172</v>
      </c>
      <c r="AC197" s="39">
        <v>0.66100000000000003</v>
      </c>
      <c r="AD197" s="36">
        <v>4075055</v>
      </c>
      <c r="AE197" s="36">
        <v>2888254</v>
      </c>
      <c r="AF197" s="39">
        <v>0.70879999999999999</v>
      </c>
      <c r="AG197" s="36">
        <v>2885195</v>
      </c>
      <c r="AH197" s="36">
        <v>2045078</v>
      </c>
      <c r="AI197" s="39">
        <v>0.70879999999999999</v>
      </c>
    </row>
    <row r="198" spans="1:35" ht="14" x14ac:dyDescent="0.2">
      <c r="A198" s="1" t="s">
        <v>425</v>
      </c>
      <c r="B198" s="1" t="s">
        <v>429</v>
      </c>
      <c r="C198" s="1" t="s">
        <v>438</v>
      </c>
      <c r="D198" s="1" t="s">
        <v>426</v>
      </c>
      <c r="E198" s="25">
        <v>827</v>
      </c>
      <c r="F198" s="21">
        <v>217984.00034100001</v>
      </c>
      <c r="G198" s="20">
        <f t="shared" si="25"/>
        <v>118233.000149</v>
      </c>
      <c r="H198" s="24">
        <f t="shared" si="30"/>
        <v>0.54239301950622054</v>
      </c>
      <c r="I198" s="12">
        <v>366</v>
      </c>
      <c r="J198" s="12">
        <v>97289.000199999995</v>
      </c>
      <c r="K198" s="13">
        <f t="shared" si="31"/>
        <v>0.44631257361919868</v>
      </c>
      <c r="L198" s="4">
        <v>61</v>
      </c>
      <c r="M198" s="4">
        <v>18604.999947</v>
      </c>
      <c r="N198" s="17">
        <f t="shared" si="32"/>
        <v>8.5350300562864925E-2</v>
      </c>
      <c r="O198" s="9">
        <v>10</v>
      </c>
      <c r="P198" s="9">
        <v>2339.0000020000002</v>
      </c>
      <c r="Q198" s="18">
        <f t="shared" si="33"/>
        <v>1.0730145324156913E-2</v>
      </c>
      <c r="R198" s="36">
        <v>2762901</v>
      </c>
      <c r="S198" s="36">
        <v>1701742</v>
      </c>
      <c r="T198" s="39">
        <v>0.6159</v>
      </c>
      <c r="U198" s="36">
        <v>2640517</v>
      </c>
      <c r="V198" s="36">
        <v>1585722</v>
      </c>
      <c r="W198" s="39">
        <v>0.60050000000000003</v>
      </c>
      <c r="X198" s="36">
        <v>2667849</v>
      </c>
      <c r="Y198" s="36">
        <v>1677819</v>
      </c>
      <c r="Z198" s="39">
        <v>0.62890000000000001</v>
      </c>
      <c r="AA198" s="36">
        <v>2326576</v>
      </c>
      <c r="AB198" s="36">
        <v>1144691</v>
      </c>
      <c r="AC198" s="39">
        <v>0.49199999999999999</v>
      </c>
      <c r="AD198" s="36">
        <v>2119787</v>
      </c>
      <c r="AE198" s="36">
        <v>1068096</v>
      </c>
      <c r="AF198" s="39">
        <v>0.50390000000000001</v>
      </c>
      <c r="AG198" s="36">
        <v>1617125</v>
      </c>
      <c r="AH198" s="36">
        <v>920262</v>
      </c>
      <c r="AI198" s="39">
        <v>0.56910000000000005</v>
      </c>
    </row>
    <row r="199" spans="1:35" ht="14" x14ac:dyDescent="0.2">
      <c r="A199" s="1" t="s">
        <v>427</v>
      </c>
      <c r="B199" s="1" t="s">
        <v>429</v>
      </c>
      <c r="C199" s="1" t="s">
        <v>433</v>
      </c>
      <c r="D199" s="1" t="s">
        <v>428</v>
      </c>
      <c r="E199" s="25">
        <v>725</v>
      </c>
      <c r="F199" s="21">
        <v>200594.00107</v>
      </c>
      <c r="G199" s="20">
        <f t="shared" si="25"/>
        <v>101035.00032799999</v>
      </c>
      <c r="H199" s="24">
        <f t="shared" si="30"/>
        <v>0.50367907210117646</v>
      </c>
      <c r="I199" s="12">
        <v>325</v>
      </c>
      <c r="J199" s="12">
        <v>88891.000281999994</v>
      </c>
      <c r="K199" s="13">
        <f t="shared" si="31"/>
        <v>0.44313887657577694</v>
      </c>
      <c r="L199" s="4">
        <v>29</v>
      </c>
      <c r="M199" s="4">
        <v>7951.0000799999998</v>
      </c>
      <c r="N199" s="17">
        <f t="shared" si="32"/>
        <v>3.9637277473843248E-2</v>
      </c>
      <c r="O199" s="9">
        <v>14</v>
      </c>
      <c r="P199" s="9">
        <v>4192.9999660000003</v>
      </c>
      <c r="Q199" s="18">
        <f t="shared" si="33"/>
        <v>2.0902918051556269E-2</v>
      </c>
      <c r="R199" s="36">
        <v>2550499</v>
      </c>
      <c r="S199" s="36">
        <v>1543781</v>
      </c>
      <c r="T199" s="39">
        <v>0.60529999999999995</v>
      </c>
      <c r="U199" s="36">
        <v>2435119</v>
      </c>
      <c r="V199" s="36">
        <v>1387508</v>
      </c>
      <c r="W199" s="39">
        <v>0.56979999999999997</v>
      </c>
      <c r="X199" s="36">
        <v>2716509</v>
      </c>
      <c r="Y199" s="36">
        <v>1672585</v>
      </c>
      <c r="Z199" s="39">
        <v>0.61570000000000003</v>
      </c>
      <c r="AA199" s="36">
        <v>2237337</v>
      </c>
      <c r="AB199" s="36">
        <v>1178400</v>
      </c>
      <c r="AC199" s="39">
        <v>0.52669999999999995</v>
      </c>
      <c r="AD199" s="36">
        <v>2154758</v>
      </c>
      <c r="AE199" s="36">
        <v>1045129</v>
      </c>
      <c r="AF199" s="39">
        <v>0.48499999999999999</v>
      </c>
      <c r="AG199" s="36">
        <v>1453221</v>
      </c>
      <c r="AH199" s="36">
        <v>776167</v>
      </c>
      <c r="AI199" s="39">
        <v>0.53410000000000002</v>
      </c>
    </row>
    <row r="200" spans="1:35" ht="14" x14ac:dyDescent="0.2">
      <c r="E200" s="1"/>
      <c r="F200" s="22"/>
      <c r="H200" s="24"/>
      <c r="I200" s="14"/>
      <c r="J200" s="15"/>
      <c r="K200" s="13"/>
      <c r="M200" s="3"/>
      <c r="N200" s="17"/>
      <c r="P200" s="7"/>
      <c r="Q200" s="18"/>
    </row>
    <row r="201" spans="1:35" ht="14" x14ac:dyDescent="0.2">
      <c r="E201" s="1"/>
      <c r="F201" s="22"/>
      <c r="H201" s="24"/>
      <c r="I201" s="14"/>
      <c r="J201" s="15"/>
      <c r="K201" s="13"/>
      <c r="M201" s="3"/>
      <c r="N201" s="17"/>
      <c r="P201" s="7"/>
      <c r="Q201" s="18"/>
    </row>
    <row r="202" spans="1:35" ht="14" x14ac:dyDescent="0.2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35" ht="14" x14ac:dyDescent="0.2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35" ht="14" x14ac:dyDescent="0.2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35" ht="14" x14ac:dyDescent="0.2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35" ht="14" x14ac:dyDescent="0.2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35" ht="14" x14ac:dyDescent="0.2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35" ht="14" x14ac:dyDescent="0.2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4" x14ac:dyDescent="0.2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4" x14ac:dyDescent="0.2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4" x14ac:dyDescent="0.2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4" x14ac:dyDescent="0.2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4" x14ac:dyDescent="0.2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4" x14ac:dyDescent="0.2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4" x14ac:dyDescent="0.2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4" x14ac:dyDescent="0.2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4" x14ac:dyDescent="0.2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4" x14ac:dyDescent="0.2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4" x14ac:dyDescent="0.2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4" x14ac:dyDescent="0.2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4" x14ac:dyDescent="0.2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4" x14ac:dyDescent="0.2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4" x14ac:dyDescent="0.2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4" x14ac:dyDescent="0.2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4" x14ac:dyDescent="0.2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4" x14ac:dyDescent="0.2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4" x14ac:dyDescent="0.2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4" x14ac:dyDescent="0.2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4" x14ac:dyDescent="0.2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4" x14ac:dyDescent="0.2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4" x14ac:dyDescent="0.2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4" x14ac:dyDescent="0.2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4" x14ac:dyDescent="0.2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4" x14ac:dyDescent="0.2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4" x14ac:dyDescent="0.2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4" x14ac:dyDescent="0.2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4" x14ac:dyDescent="0.2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4" x14ac:dyDescent="0.2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4" x14ac:dyDescent="0.2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4" x14ac:dyDescent="0.2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4" x14ac:dyDescent="0.2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4" x14ac:dyDescent="0.2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4" x14ac:dyDescent="0.2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4" x14ac:dyDescent="0.2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4" x14ac:dyDescent="0.2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4" x14ac:dyDescent="0.2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4" x14ac:dyDescent="0.2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4" x14ac:dyDescent="0.2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4" x14ac:dyDescent="0.2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4" x14ac:dyDescent="0.2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4" x14ac:dyDescent="0.2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4" x14ac:dyDescent="0.2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4" x14ac:dyDescent="0.2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4" x14ac:dyDescent="0.2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4" x14ac:dyDescent="0.2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4" x14ac:dyDescent="0.2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4" x14ac:dyDescent="0.2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4" x14ac:dyDescent="0.2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4" x14ac:dyDescent="0.2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4" x14ac:dyDescent="0.2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4" x14ac:dyDescent="0.2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4" x14ac:dyDescent="0.2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4" x14ac:dyDescent="0.2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4" x14ac:dyDescent="0.2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4" x14ac:dyDescent="0.2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4" x14ac:dyDescent="0.2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4" x14ac:dyDescent="0.2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4" x14ac:dyDescent="0.2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4" x14ac:dyDescent="0.2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4" x14ac:dyDescent="0.2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4" x14ac:dyDescent="0.2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4" x14ac:dyDescent="0.2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4" x14ac:dyDescent="0.2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4" x14ac:dyDescent="0.2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4" x14ac:dyDescent="0.2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4" x14ac:dyDescent="0.2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4" x14ac:dyDescent="0.2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4" x14ac:dyDescent="0.2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4" x14ac:dyDescent="0.2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4" x14ac:dyDescent="0.2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4" x14ac:dyDescent="0.2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4" x14ac:dyDescent="0.2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4" x14ac:dyDescent="0.2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4" x14ac:dyDescent="0.2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4" x14ac:dyDescent="0.2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4" x14ac:dyDescent="0.2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4" x14ac:dyDescent="0.2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4" x14ac:dyDescent="0.2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4" x14ac:dyDescent="0.2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4" x14ac:dyDescent="0.2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4" x14ac:dyDescent="0.2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4" x14ac:dyDescent="0.2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4" x14ac:dyDescent="0.2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4" x14ac:dyDescent="0.2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4" x14ac:dyDescent="0.2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4" x14ac:dyDescent="0.2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4" x14ac:dyDescent="0.2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4" x14ac:dyDescent="0.2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4" x14ac:dyDescent="0.2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4" x14ac:dyDescent="0.2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4" x14ac:dyDescent="0.2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4" x14ac:dyDescent="0.2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4" x14ac:dyDescent="0.2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4" x14ac:dyDescent="0.2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4" x14ac:dyDescent="0.2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4" x14ac:dyDescent="0.2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4" x14ac:dyDescent="0.2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4" x14ac:dyDescent="0.2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4" x14ac:dyDescent="0.2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4" x14ac:dyDescent="0.2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4" x14ac:dyDescent="0.2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4" x14ac:dyDescent="0.2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4" x14ac:dyDescent="0.2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4" x14ac:dyDescent="0.2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4" x14ac:dyDescent="0.2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4" x14ac:dyDescent="0.2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4" x14ac:dyDescent="0.2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4" x14ac:dyDescent="0.2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4" x14ac:dyDescent="0.2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4" x14ac:dyDescent="0.2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4" x14ac:dyDescent="0.2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4" x14ac:dyDescent="0.2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4" x14ac:dyDescent="0.2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4" x14ac:dyDescent="0.2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4" x14ac:dyDescent="0.2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4" x14ac:dyDescent="0.2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4" x14ac:dyDescent="0.2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4" x14ac:dyDescent="0.2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4" x14ac:dyDescent="0.2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4" x14ac:dyDescent="0.2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4" x14ac:dyDescent="0.2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4" x14ac:dyDescent="0.2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4" x14ac:dyDescent="0.2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4" x14ac:dyDescent="0.2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4" x14ac:dyDescent="0.2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4" x14ac:dyDescent="0.2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4" x14ac:dyDescent="0.2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4" x14ac:dyDescent="0.2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4" x14ac:dyDescent="0.2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4" x14ac:dyDescent="0.2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4" x14ac:dyDescent="0.2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4" x14ac:dyDescent="0.2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4" x14ac:dyDescent="0.2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4" x14ac:dyDescent="0.2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4" x14ac:dyDescent="0.2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4" x14ac:dyDescent="0.2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4" x14ac:dyDescent="0.2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4" x14ac:dyDescent="0.2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4" x14ac:dyDescent="0.2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4" x14ac:dyDescent="0.2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4" x14ac:dyDescent="0.2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4" x14ac:dyDescent="0.2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4" x14ac:dyDescent="0.2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4" x14ac:dyDescent="0.2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4" x14ac:dyDescent="0.2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4" x14ac:dyDescent="0.2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4" x14ac:dyDescent="0.2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4" x14ac:dyDescent="0.2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4" x14ac:dyDescent="0.2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4" x14ac:dyDescent="0.2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4" x14ac:dyDescent="0.2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4" x14ac:dyDescent="0.2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4" x14ac:dyDescent="0.2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4" x14ac:dyDescent="0.2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4" x14ac:dyDescent="0.2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4" x14ac:dyDescent="0.2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4" x14ac:dyDescent="0.2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4" x14ac:dyDescent="0.2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4" x14ac:dyDescent="0.2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4" x14ac:dyDescent="0.2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4" x14ac:dyDescent="0.2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4" x14ac:dyDescent="0.2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4" x14ac:dyDescent="0.2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4" x14ac:dyDescent="0.2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4" x14ac:dyDescent="0.2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4" x14ac:dyDescent="0.2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4" x14ac:dyDescent="0.2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4" x14ac:dyDescent="0.2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4" x14ac:dyDescent="0.2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4" x14ac:dyDescent="0.2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4" x14ac:dyDescent="0.2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4" x14ac:dyDescent="0.2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4" x14ac:dyDescent="0.2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4" x14ac:dyDescent="0.2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4" x14ac:dyDescent="0.2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4" x14ac:dyDescent="0.2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4" x14ac:dyDescent="0.2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4" x14ac:dyDescent="0.2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4" x14ac:dyDescent="0.2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4" x14ac:dyDescent="0.2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4" x14ac:dyDescent="0.2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4" x14ac:dyDescent="0.2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4" x14ac:dyDescent="0.2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4" x14ac:dyDescent="0.2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4" x14ac:dyDescent="0.2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4" x14ac:dyDescent="0.2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4" x14ac:dyDescent="0.2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4" x14ac:dyDescent="0.2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4" x14ac:dyDescent="0.2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4" x14ac:dyDescent="0.2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4" x14ac:dyDescent="0.2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4" x14ac:dyDescent="0.2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4" x14ac:dyDescent="0.2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4" x14ac:dyDescent="0.2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4" x14ac:dyDescent="0.2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4" x14ac:dyDescent="0.2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4" x14ac:dyDescent="0.2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4" x14ac:dyDescent="0.2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4" x14ac:dyDescent="0.2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4" x14ac:dyDescent="0.2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4" x14ac:dyDescent="0.2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4" x14ac:dyDescent="0.2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4" x14ac:dyDescent="0.2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4" x14ac:dyDescent="0.2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4" x14ac:dyDescent="0.2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4" x14ac:dyDescent="0.2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4" x14ac:dyDescent="0.2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4" x14ac:dyDescent="0.2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4" x14ac:dyDescent="0.2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4" x14ac:dyDescent="0.2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4" x14ac:dyDescent="0.2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4" x14ac:dyDescent="0.2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4" x14ac:dyDescent="0.2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4" x14ac:dyDescent="0.2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4" x14ac:dyDescent="0.2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4" x14ac:dyDescent="0.2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4" x14ac:dyDescent="0.2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4" x14ac:dyDescent="0.2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4" x14ac:dyDescent="0.2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4" x14ac:dyDescent="0.2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4" x14ac:dyDescent="0.2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4" x14ac:dyDescent="0.2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4" x14ac:dyDescent="0.2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4" x14ac:dyDescent="0.2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4" x14ac:dyDescent="0.2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4" x14ac:dyDescent="0.2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4" x14ac:dyDescent="0.2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4" x14ac:dyDescent="0.2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4" x14ac:dyDescent="0.2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4" x14ac:dyDescent="0.2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4" x14ac:dyDescent="0.2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4" x14ac:dyDescent="0.2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4" x14ac:dyDescent="0.2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4" x14ac:dyDescent="0.2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4" x14ac:dyDescent="0.2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4" x14ac:dyDescent="0.2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4" x14ac:dyDescent="0.2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4" x14ac:dyDescent="0.2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4" x14ac:dyDescent="0.2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4" x14ac:dyDescent="0.2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4" x14ac:dyDescent="0.2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4" x14ac:dyDescent="0.2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4" x14ac:dyDescent="0.2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4" x14ac:dyDescent="0.2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4" x14ac:dyDescent="0.2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4" x14ac:dyDescent="0.2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4" x14ac:dyDescent="0.2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4" x14ac:dyDescent="0.2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4" x14ac:dyDescent="0.2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4" x14ac:dyDescent="0.2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4" x14ac:dyDescent="0.2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4" x14ac:dyDescent="0.2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4" x14ac:dyDescent="0.2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4" x14ac:dyDescent="0.2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4" x14ac:dyDescent="0.2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4" x14ac:dyDescent="0.2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4" x14ac:dyDescent="0.2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4" x14ac:dyDescent="0.2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4" x14ac:dyDescent="0.2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4" x14ac:dyDescent="0.2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4" x14ac:dyDescent="0.2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4" x14ac:dyDescent="0.2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4" x14ac:dyDescent="0.2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4" x14ac:dyDescent="0.2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4" x14ac:dyDescent="0.2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4" x14ac:dyDescent="0.2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4" x14ac:dyDescent="0.2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4" x14ac:dyDescent="0.2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4" x14ac:dyDescent="0.2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4" x14ac:dyDescent="0.2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4" x14ac:dyDescent="0.2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4" x14ac:dyDescent="0.2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4" x14ac:dyDescent="0.2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4" x14ac:dyDescent="0.2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4" x14ac:dyDescent="0.2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4" x14ac:dyDescent="0.2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4" x14ac:dyDescent="0.2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4" x14ac:dyDescent="0.2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4" x14ac:dyDescent="0.2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4" x14ac:dyDescent="0.2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4" x14ac:dyDescent="0.2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4" x14ac:dyDescent="0.2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4" x14ac:dyDescent="0.2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4" x14ac:dyDescent="0.2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4" x14ac:dyDescent="0.2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4" x14ac:dyDescent="0.2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4" x14ac:dyDescent="0.2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4" x14ac:dyDescent="0.2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4" x14ac:dyDescent="0.2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4" x14ac:dyDescent="0.2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4" x14ac:dyDescent="0.2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4" x14ac:dyDescent="0.2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4" x14ac:dyDescent="0.2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4" x14ac:dyDescent="0.2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4" x14ac:dyDescent="0.2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4" x14ac:dyDescent="0.2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4" x14ac:dyDescent="0.2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4" x14ac:dyDescent="0.2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4" x14ac:dyDescent="0.2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4" x14ac:dyDescent="0.2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4" x14ac:dyDescent="0.2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4" x14ac:dyDescent="0.2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4" x14ac:dyDescent="0.2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4" x14ac:dyDescent="0.2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4" x14ac:dyDescent="0.2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4" x14ac:dyDescent="0.2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4" x14ac:dyDescent="0.2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4" x14ac:dyDescent="0.2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4" x14ac:dyDescent="0.2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4" x14ac:dyDescent="0.2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4" x14ac:dyDescent="0.2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4" x14ac:dyDescent="0.2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4" x14ac:dyDescent="0.2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4" x14ac:dyDescent="0.2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4" x14ac:dyDescent="0.2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4" x14ac:dyDescent="0.2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4" x14ac:dyDescent="0.2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4" x14ac:dyDescent="0.2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4" x14ac:dyDescent="0.2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4" x14ac:dyDescent="0.2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4" x14ac:dyDescent="0.2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4" x14ac:dyDescent="0.2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4" x14ac:dyDescent="0.2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4" x14ac:dyDescent="0.2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4" x14ac:dyDescent="0.2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4" x14ac:dyDescent="0.2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4" x14ac:dyDescent="0.2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4" x14ac:dyDescent="0.2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4" x14ac:dyDescent="0.2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4" x14ac:dyDescent="0.2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4" x14ac:dyDescent="0.2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4" x14ac:dyDescent="0.2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4" x14ac:dyDescent="0.2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4" x14ac:dyDescent="0.2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4" x14ac:dyDescent="0.2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4" x14ac:dyDescent="0.2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4" x14ac:dyDescent="0.2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4" x14ac:dyDescent="0.2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4" x14ac:dyDescent="0.2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4" x14ac:dyDescent="0.2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4" x14ac:dyDescent="0.2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4" x14ac:dyDescent="0.2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4" x14ac:dyDescent="0.2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4" x14ac:dyDescent="0.2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4" x14ac:dyDescent="0.2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4" x14ac:dyDescent="0.2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4" x14ac:dyDescent="0.2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4" x14ac:dyDescent="0.2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4" x14ac:dyDescent="0.2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4" x14ac:dyDescent="0.2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4" x14ac:dyDescent="0.2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4" x14ac:dyDescent="0.2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4" x14ac:dyDescent="0.2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4" x14ac:dyDescent="0.2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4" x14ac:dyDescent="0.2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4" x14ac:dyDescent="0.2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4" x14ac:dyDescent="0.2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4" x14ac:dyDescent="0.2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4" x14ac:dyDescent="0.2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4" x14ac:dyDescent="0.2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4" x14ac:dyDescent="0.2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4" x14ac:dyDescent="0.2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4" x14ac:dyDescent="0.2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4" x14ac:dyDescent="0.2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4" x14ac:dyDescent="0.2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4" x14ac:dyDescent="0.2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4" x14ac:dyDescent="0.2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4" x14ac:dyDescent="0.2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4" x14ac:dyDescent="0.2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4" x14ac:dyDescent="0.2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4" x14ac:dyDescent="0.2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4" x14ac:dyDescent="0.2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4" x14ac:dyDescent="0.2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4" x14ac:dyDescent="0.2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4" x14ac:dyDescent="0.2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4" x14ac:dyDescent="0.2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4" x14ac:dyDescent="0.2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4" x14ac:dyDescent="0.2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4" x14ac:dyDescent="0.2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4" x14ac:dyDescent="0.2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4" x14ac:dyDescent="0.2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4" x14ac:dyDescent="0.2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4" x14ac:dyDescent="0.2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4" x14ac:dyDescent="0.2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4" x14ac:dyDescent="0.2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4" x14ac:dyDescent="0.2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4" x14ac:dyDescent="0.2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4" x14ac:dyDescent="0.2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4" x14ac:dyDescent="0.2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4" x14ac:dyDescent="0.2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4" x14ac:dyDescent="0.2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4" x14ac:dyDescent="0.2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4" x14ac:dyDescent="0.2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4" x14ac:dyDescent="0.2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4" x14ac:dyDescent="0.2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4" x14ac:dyDescent="0.2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4" x14ac:dyDescent="0.2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4" x14ac:dyDescent="0.2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4" x14ac:dyDescent="0.2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4" x14ac:dyDescent="0.2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4" x14ac:dyDescent="0.2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4" x14ac:dyDescent="0.2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4" x14ac:dyDescent="0.2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4" x14ac:dyDescent="0.2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4" x14ac:dyDescent="0.2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4" x14ac:dyDescent="0.2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4" x14ac:dyDescent="0.2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4" x14ac:dyDescent="0.2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4" x14ac:dyDescent="0.2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4" x14ac:dyDescent="0.2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4" x14ac:dyDescent="0.2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4" x14ac:dyDescent="0.2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4" x14ac:dyDescent="0.2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4" x14ac:dyDescent="0.2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4" x14ac:dyDescent="0.2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4" x14ac:dyDescent="0.2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4" x14ac:dyDescent="0.2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4" x14ac:dyDescent="0.2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4" x14ac:dyDescent="0.2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4" x14ac:dyDescent="0.2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4" x14ac:dyDescent="0.2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4" x14ac:dyDescent="0.2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4" x14ac:dyDescent="0.2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4" x14ac:dyDescent="0.2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4" x14ac:dyDescent="0.2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4" x14ac:dyDescent="0.2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4" x14ac:dyDescent="0.2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4" x14ac:dyDescent="0.2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4" x14ac:dyDescent="0.2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4" x14ac:dyDescent="0.2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4" x14ac:dyDescent="0.2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4" x14ac:dyDescent="0.2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4" x14ac:dyDescent="0.2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4" x14ac:dyDescent="0.2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4" x14ac:dyDescent="0.2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4" x14ac:dyDescent="0.2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4" x14ac:dyDescent="0.2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4" x14ac:dyDescent="0.2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4" x14ac:dyDescent="0.2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4" x14ac:dyDescent="0.2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4" x14ac:dyDescent="0.2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4" x14ac:dyDescent="0.2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4" x14ac:dyDescent="0.2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4" x14ac:dyDescent="0.2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4" x14ac:dyDescent="0.2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4" x14ac:dyDescent="0.2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4" x14ac:dyDescent="0.2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4" x14ac:dyDescent="0.2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4" x14ac:dyDescent="0.2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4" x14ac:dyDescent="0.2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4" x14ac:dyDescent="0.2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4" x14ac:dyDescent="0.2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4" x14ac:dyDescent="0.2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4" x14ac:dyDescent="0.2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4" x14ac:dyDescent="0.2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4" x14ac:dyDescent="0.2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4" x14ac:dyDescent="0.2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4" x14ac:dyDescent="0.2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4" x14ac:dyDescent="0.2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4" x14ac:dyDescent="0.2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4" x14ac:dyDescent="0.2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4" x14ac:dyDescent="0.2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4" x14ac:dyDescent="0.2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4" x14ac:dyDescent="0.2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4" x14ac:dyDescent="0.2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4" x14ac:dyDescent="0.2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4" x14ac:dyDescent="0.2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4" x14ac:dyDescent="0.2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4" x14ac:dyDescent="0.2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4" x14ac:dyDescent="0.2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4" x14ac:dyDescent="0.2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4" x14ac:dyDescent="0.2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4" x14ac:dyDescent="0.2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4" x14ac:dyDescent="0.2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4" x14ac:dyDescent="0.2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4" x14ac:dyDescent="0.2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4" x14ac:dyDescent="0.2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4" x14ac:dyDescent="0.2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4" x14ac:dyDescent="0.2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4" x14ac:dyDescent="0.2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4" x14ac:dyDescent="0.2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4" x14ac:dyDescent="0.2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4" x14ac:dyDescent="0.2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4" x14ac:dyDescent="0.2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4" x14ac:dyDescent="0.2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4" x14ac:dyDescent="0.2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4" x14ac:dyDescent="0.2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4" x14ac:dyDescent="0.2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4" x14ac:dyDescent="0.2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4" x14ac:dyDescent="0.2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4" x14ac:dyDescent="0.2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4" x14ac:dyDescent="0.2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4" x14ac:dyDescent="0.2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4" x14ac:dyDescent="0.2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4" x14ac:dyDescent="0.2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4" x14ac:dyDescent="0.2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4" x14ac:dyDescent="0.2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4" x14ac:dyDescent="0.2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4" x14ac:dyDescent="0.2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4" x14ac:dyDescent="0.2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4" x14ac:dyDescent="0.2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4" x14ac:dyDescent="0.2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4" x14ac:dyDescent="0.2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4" x14ac:dyDescent="0.2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4" x14ac:dyDescent="0.2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4" x14ac:dyDescent="0.2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4" x14ac:dyDescent="0.2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4" x14ac:dyDescent="0.2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4" x14ac:dyDescent="0.2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4" x14ac:dyDescent="0.2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4" x14ac:dyDescent="0.2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4" x14ac:dyDescent="0.2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4" x14ac:dyDescent="0.2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4" x14ac:dyDescent="0.2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4" x14ac:dyDescent="0.2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4" x14ac:dyDescent="0.2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4" x14ac:dyDescent="0.2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4" x14ac:dyDescent="0.2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4" x14ac:dyDescent="0.2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4" x14ac:dyDescent="0.2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4" x14ac:dyDescent="0.2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4" x14ac:dyDescent="0.2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4" x14ac:dyDescent="0.2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4" x14ac:dyDescent="0.2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4" x14ac:dyDescent="0.2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4" x14ac:dyDescent="0.2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4" x14ac:dyDescent="0.2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4" x14ac:dyDescent="0.2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4" x14ac:dyDescent="0.2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4" x14ac:dyDescent="0.2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4" x14ac:dyDescent="0.2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4" x14ac:dyDescent="0.2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4" x14ac:dyDescent="0.2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4" x14ac:dyDescent="0.2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4" x14ac:dyDescent="0.2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4" x14ac:dyDescent="0.2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4" x14ac:dyDescent="0.2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4" x14ac:dyDescent="0.2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4" x14ac:dyDescent="0.2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4" x14ac:dyDescent="0.2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4" x14ac:dyDescent="0.2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4" x14ac:dyDescent="0.2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4" x14ac:dyDescent="0.2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4" x14ac:dyDescent="0.2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4" x14ac:dyDescent="0.2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4" x14ac:dyDescent="0.2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4" x14ac:dyDescent="0.2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4" x14ac:dyDescent="0.2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4" x14ac:dyDescent="0.2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4" x14ac:dyDescent="0.2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4" x14ac:dyDescent="0.2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4" x14ac:dyDescent="0.2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4" x14ac:dyDescent="0.2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4" x14ac:dyDescent="0.2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4" x14ac:dyDescent="0.2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4" x14ac:dyDescent="0.2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4" x14ac:dyDescent="0.2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4" x14ac:dyDescent="0.2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4" x14ac:dyDescent="0.2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4" x14ac:dyDescent="0.2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4" x14ac:dyDescent="0.2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4" x14ac:dyDescent="0.2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4" x14ac:dyDescent="0.2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4" x14ac:dyDescent="0.2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4" x14ac:dyDescent="0.2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4" x14ac:dyDescent="0.2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4" x14ac:dyDescent="0.2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4" x14ac:dyDescent="0.2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4" x14ac:dyDescent="0.2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4" x14ac:dyDescent="0.2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4" x14ac:dyDescent="0.2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4" x14ac:dyDescent="0.2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4" x14ac:dyDescent="0.2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4" x14ac:dyDescent="0.2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4" x14ac:dyDescent="0.2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4" x14ac:dyDescent="0.2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4" x14ac:dyDescent="0.2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4" x14ac:dyDescent="0.2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4" x14ac:dyDescent="0.2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4" x14ac:dyDescent="0.2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4" x14ac:dyDescent="0.2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4" x14ac:dyDescent="0.2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4" x14ac:dyDescent="0.2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4" x14ac:dyDescent="0.2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4" x14ac:dyDescent="0.2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4" x14ac:dyDescent="0.2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4" x14ac:dyDescent="0.2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4" x14ac:dyDescent="0.2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4" x14ac:dyDescent="0.2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4" x14ac:dyDescent="0.2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4" x14ac:dyDescent="0.2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4" x14ac:dyDescent="0.2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4" x14ac:dyDescent="0.2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4" x14ac:dyDescent="0.2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4" x14ac:dyDescent="0.2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4" x14ac:dyDescent="0.2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4" x14ac:dyDescent="0.2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4" x14ac:dyDescent="0.2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4" x14ac:dyDescent="0.2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4" x14ac:dyDescent="0.2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4" x14ac:dyDescent="0.2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4" x14ac:dyDescent="0.2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4" x14ac:dyDescent="0.2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4" x14ac:dyDescent="0.2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4" x14ac:dyDescent="0.2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4" x14ac:dyDescent="0.2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4" x14ac:dyDescent="0.2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4" x14ac:dyDescent="0.2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4" x14ac:dyDescent="0.2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4" x14ac:dyDescent="0.2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4" x14ac:dyDescent="0.2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4" x14ac:dyDescent="0.2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4" x14ac:dyDescent="0.2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4" x14ac:dyDescent="0.2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4" x14ac:dyDescent="0.2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4" x14ac:dyDescent="0.2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4" x14ac:dyDescent="0.2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4" x14ac:dyDescent="0.2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4" x14ac:dyDescent="0.2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4" x14ac:dyDescent="0.2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4" x14ac:dyDescent="0.2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4" x14ac:dyDescent="0.2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4" x14ac:dyDescent="0.2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4" x14ac:dyDescent="0.2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4" x14ac:dyDescent="0.2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4" x14ac:dyDescent="0.2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4" x14ac:dyDescent="0.2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4" x14ac:dyDescent="0.2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4" x14ac:dyDescent="0.2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4" x14ac:dyDescent="0.2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4" x14ac:dyDescent="0.2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4" x14ac:dyDescent="0.2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4" x14ac:dyDescent="0.2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4" x14ac:dyDescent="0.2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4" x14ac:dyDescent="0.2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4" x14ac:dyDescent="0.2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4" x14ac:dyDescent="0.2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4" x14ac:dyDescent="0.2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4" x14ac:dyDescent="0.2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4" x14ac:dyDescent="0.2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4" x14ac:dyDescent="0.2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4" x14ac:dyDescent="0.2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4" x14ac:dyDescent="0.2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4" x14ac:dyDescent="0.2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4" x14ac:dyDescent="0.2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4" x14ac:dyDescent="0.2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4" x14ac:dyDescent="0.2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4" x14ac:dyDescent="0.2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4" x14ac:dyDescent="0.2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4" x14ac:dyDescent="0.2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4" x14ac:dyDescent="0.2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4" x14ac:dyDescent="0.2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4" x14ac:dyDescent="0.2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4" x14ac:dyDescent="0.2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4" x14ac:dyDescent="0.2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4" x14ac:dyDescent="0.2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4" x14ac:dyDescent="0.2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4" x14ac:dyDescent="0.2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4" x14ac:dyDescent="0.2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4" x14ac:dyDescent="0.2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4" x14ac:dyDescent="0.2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4" x14ac:dyDescent="0.2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4" x14ac:dyDescent="0.2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4" x14ac:dyDescent="0.2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4" x14ac:dyDescent="0.2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4" x14ac:dyDescent="0.2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4" x14ac:dyDescent="0.2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4" x14ac:dyDescent="0.2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4" x14ac:dyDescent="0.2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4" x14ac:dyDescent="0.2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4" x14ac:dyDescent="0.2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4" x14ac:dyDescent="0.2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4" x14ac:dyDescent="0.2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4" x14ac:dyDescent="0.2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4" x14ac:dyDescent="0.2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4" x14ac:dyDescent="0.2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4" x14ac:dyDescent="0.2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4" x14ac:dyDescent="0.2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4" x14ac:dyDescent="0.2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4" x14ac:dyDescent="0.2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4" x14ac:dyDescent="0.2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4" x14ac:dyDescent="0.2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4" x14ac:dyDescent="0.2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4" x14ac:dyDescent="0.2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4" x14ac:dyDescent="0.2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4" x14ac:dyDescent="0.2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4" x14ac:dyDescent="0.2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4" x14ac:dyDescent="0.2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4" x14ac:dyDescent="0.2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4" x14ac:dyDescent="0.2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4" x14ac:dyDescent="0.2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4" x14ac:dyDescent="0.2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4" x14ac:dyDescent="0.2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4" x14ac:dyDescent="0.2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4" x14ac:dyDescent="0.2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4" x14ac:dyDescent="0.2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4" x14ac:dyDescent="0.2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4" x14ac:dyDescent="0.2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4" x14ac:dyDescent="0.2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4" x14ac:dyDescent="0.2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4" x14ac:dyDescent="0.2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4" x14ac:dyDescent="0.2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4" x14ac:dyDescent="0.2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4" x14ac:dyDescent="0.2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4" x14ac:dyDescent="0.2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4" x14ac:dyDescent="0.2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4" x14ac:dyDescent="0.2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4" x14ac:dyDescent="0.2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4" x14ac:dyDescent="0.2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4" x14ac:dyDescent="0.2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4" x14ac:dyDescent="0.2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4" x14ac:dyDescent="0.2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4" x14ac:dyDescent="0.2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4" x14ac:dyDescent="0.2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4" x14ac:dyDescent="0.2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4" x14ac:dyDescent="0.2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4" x14ac:dyDescent="0.2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4" x14ac:dyDescent="0.2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4" x14ac:dyDescent="0.2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4" x14ac:dyDescent="0.2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4" x14ac:dyDescent="0.2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4" x14ac:dyDescent="0.2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4" x14ac:dyDescent="0.2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4" x14ac:dyDescent="0.2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4" x14ac:dyDescent="0.2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4" x14ac:dyDescent="0.2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4" x14ac:dyDescent="0.2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4" x14ac:dyDescent="0.2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4" x14ac:dyDescent="0.2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4" x14ac:dyDescent="0.2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4" x14ac:dyDescent="0.2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4" x14ac:dyDescent="0.2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4" x14ac:dyDescent="0.2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4" x14ac:dyDescent="0.2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4" x14ac:dyDescent="0.2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4" x14ac:dyDescent="0.2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4" x14ac:dyDescent="0.2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4" x14ac:dyDescent="0.2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4" x14ac:dyDescent="0.2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4" x14ac:dyDescent="0.2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4" x14ac:dyDescent="0.2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4" x14ac:dyDescent="0.2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4" x14ac:dyDescent="0.2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4" x14ac:dyDescent="0.2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4" x14ac:dyDescent="0.2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4" x14ac:dyDescent="0.2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4" x14ac:dyDescent="0.2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4" x14ac:dyDescent="0.2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4" x14ac:dyDescent="0.2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4" x14ac:dyDescent="0.2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4" x14ac:dyDescent="0.2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4" x14ac:dyDescent="0.2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4" x14ac:dyDescent="0.2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4" x14ac:dyDescent="0.2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4" x14ac:dyDescent="0.2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4" x14ac:dyDescent="0.2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4" x14ac:dyDescent="0.2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4" x14ac:dyDescent="0.2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4" x14ac:dyDescent="0.2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4" x14ac:dyDescent="0.2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4" x14ac:dyDescent="0.2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4" x14ac:dyDescent="0.2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4" x14ac:dyDescent="0.2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4" x14ac:dyDescent="0.2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4" x14ac:dyDescent="0.2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4" x14ac:dyDescent="0.2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4" x14ac:dyDescent="0.2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4" x14ac:dyDescent="0.2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4" x14ac:dyDescent="0.2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4" x14ac:dyDescent="0.2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4" x14ac:dyDescent="0.2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4" x14ac:dyDescent="0.2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4" x14ac:dyDescent="0.2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4" x14ac:dyDescent="0.2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4" x14ac:dyDescent="0.2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4" x14ac:dyDescent="0.2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4" x14ac:dyDescent="0.2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4" x14ac:dyDescent="0.2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4" x14ac:dyDescent="0.2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4" x14ac:dyDescent="0.2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4" x14ac:dyDescent="0.2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2026-05-28T02:53:25Z</dcterms:modified>
  <cp:category/>
  <cp:contentStatus/>
</cp:coreProperties>
</file>