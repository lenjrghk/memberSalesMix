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9B4A2D1E-138F-AD4D-AA05-5014858DFE5C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2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#REF!</definedName>
    <definedName name="_________________TPH12" localSheetId="0">[61]TTL!#REF!</definedName>
    <definedName name="_________________TPH12">[1]TTL!#REF!</definedName>
    <definedName name="_________________TPH13" localSheetId="0">[61]TTL!#REF!</definedName>
    <definedName name="_________________TPH13">[1]TTL!#REF!</definedName>
    <definedName name="_________________TPH14" localSheetId="0">[61]TTL!#REF!</definedName>
    <definedName name="_________________TPH14">[1]TTL!#REF!</definedName>
    <definedName name="_________________TPH15" localSheetId="0">[61]TTL!#REF!</definedName>
    <definedName name="_________________TPH15">[1]TTL!#REF!</definedName>
    <definedName name="_________________TPH16" localSheetId="0">[61]TTL!#REF!</definedName>
    <definedName name="_________________TPH16">[1]TTL!#REF!</definedName>
    <definedName name="_________________TPH17" localSheetId="0">[61]TTL!#REF!</definedName>
    <definedName name="_________________TPH17">[1]TTL!#REF!</definedName>
    <definedName name="________________TPH12" localSheetId="0">[62]RSC_Sum!#REF!</definedName>
    <definedName name="________________TPH12">[2]RSC_Sum!#REF!</definedName>
    <definedName name="________________TPH13" localSheetId="0">[62]RSC_Sum!#REF!</definedName>
    <definedName name="________________TPH13">[2]RSC_Sum!#REF!</definedName>
    <definedName name="________________TPH14" localSheetId="0">[62]RSC_Sum!#REF!</definedName>
    <definedName name="________________TPH14">[2]RSC_Sum!#REF!</definedName>
    <definedName name="________________TPH15" localSheetId="0">[62]RSC_Sum!#REF!</definedName>
    <definedName name="________________TPH15">[2]RSC_Sum!#REF!</definedName>
    <definedName name="________________TPH16" localSheetId="0">[62]RSC_Sum!#REF!</definedName>
    <definedName name="________________TPH16">[2]RSC_Sum!#REF!</definedName>
    <definedName name="________________TPH17" localSheetId="0">[62]RSC_Sum!#REF!</definedName>
    <definedName name="________________TPH17">[2]RSC_Sum!#REF!</definedName>
    <definedName name="_______________TPH12" localSheetId="0">[62]RSC_Sum!#REF!</definedName>
    <definedName name="_______________TPH12">[2]RSC_Sum!#REF!</definedName>
    <definedName name="_______________TPH13" localSheetId="0">[62]RSC_Sum!#REF!</definedName>
    <definedName name="_______________TPH13">[2]RSC_Sum!#REF!</definedName>
    <definedName name="_______________TPH14" localSheetId="0">[62]RSC_Sum!#REF!</definedName>
    <definedName name="_______________TPH14">[2]RSC_Sum!#REF!</definedName>
    <definedName name="_______________TPH15" localSheetId="0">[62]RSC_Sum!#REF!</definedName>
    <definedName name="_______________TPH15">[2]RSC_Sum!#REF!</definedName>
    <definedName name="_______________TPH16" localSheetId="0">[62]RSC_Sum!#REF!</definedName>
    <definedName name="_______________TPH16">[2]RSC_Sum!#REF!</definedName>
    <definedName name="_______________TPH17" localSheetId="0">[62]RSC_Sum!#REF!</definedName>
    <definedName name="_______________TPH17">[2]RSC_Sum!#REF!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 localSheetId="0">[62]RSC_Sum!#REF!</definedName>
    <definedName name="___________TPH12">[2]RSC_Sum!#REF!</definedName>
    <definedName name="___________TPH13" localSheetId="0">[62]RSC_Sum!#REF!</definedName>
    <definedName name="___________TPH13">[2]RSC_Sum!#REF!</definedName>
    <definedName name="___________TPH14" localSheetId="0">[62]RSC_Sum!#REF!</definedName>
    <definedName name="___________TPH14">[2]RSC_Sum!#REF!</definedName>
    <definedName name="___________TPH15" localSheetId="0">[62]RSC_Sum!#REF!</definedName>
    <definedName name="___________TPH15">[2]RSC_Sum!#REF!</definedName>
    <definedName name="___________TPH16" localSheetId="0">[62]RSC_Sum!#REF!</definedName>
    <definedName name="___________TPH16">[2]RSC_Sum!#REF!</definedName>
    <definedName name="___________TPH17" localSheetId="0">[62]RSC_Sum!#REF!</definedName>
    <definedName name="___________TPH17">[2]RSC_Sum!#REF!</definedName>
    <definedName name="___________TPH21">#REF!</definedName>
    <definedName name="__________PL94">#REF!</definedName>
    <definedName name="__________TPH12" localSheetId="0">[62]RSC_Sum!#REF!</definedName>
    <definedName name="__________TPH12">[2]RSC_Sum!#REF!</definedName>
    <definedName name="__________TPH13" localSheetId="0">[62]RSC_Sum!#REF!</definedName>
    <definedName name="__________TPH13">[2]RSC_Sum!#REF!</definedName>
    <definedName name="__________TPH14" localSheetId="0">[62]RSC_Sum!#REF!</definedName>
    <definedName name="__________TPH14">[2]RSC_Sum!#REF!</definedName>
    <definedName name="__________TPH15" localSheetId="0">[62]RSC_Sum!#REF!</definedName>
    <definedName name="__________TPH15">[2]RSC_Sum!#REF!</definedName>
    <definedName name="__________TPH16" localSheetId="0">[62]RSC_Sum!#REF!</definedName>
    <definedName name="__________TPH16">[2]RSC_Sum!#REF!</definedName>
    <definedName name="__________TPH17" localSheetId="0">[62]RSC_Sum!#REF!</definedName>
    <definedName name="__________TPH17">[2]RSC_Sum!#REF!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[3]TTL!#REF!</definedName>
    <definedName name="_________TPH13">[3]TTL!#REF!</definedName>
    <definedName name="_________TPH14">[3]TTL!#REF!</definedName>
    <definedName name="_________TPH15">[3]TTL!#REF!</definedName>
    <definedName name="_________TPH16">[3]TTL!#REF!</definedName>
    <definedName name="_________TPH17">[3]TTL!#REF!</definedName>
    <definedName name="_________TPH21">#REF!</definedName>
    <definedName name="_________vip200">'[4]STORE CODE'!#REF!</definedName>
    <definedName name="_________vip500">'[4]STORE CODE'!#REF!</definedName>
    <definedName name="_________YH7">#N/A</definedName>
    <definedName name="________M110374">#REF!</definedName>
    <definedName name="________P12">[5]!Sheet2</definedName>
    <definedName name="________PL94">#REF!</definedName>
    <definedName name="________TPH12" localSheetId="0">[62]RSC_Sum!#REF!</definedName>
    <definedName name="________TPH12">[2]RSC_Sum!#REF!</definedName>
    <definedName name="________TPH13" localSheetId="0">[62]RSC_Sum!#REF!</definedName>
    <definedName name="________TPH13">[2]RSC_Sum!#REF!</definedName>
    <definedName name="________TPH14" localSheetId="0">[62]RSC_Sum!#REF!</definedName>
    <definedName name="________TPH14">[2]RSC_Sum!#REF!</definedName>
    <definedName name="________TPH15" localSheetId="0">[62]RSC_Sum!#REF!</definedName>
    <definedName name="________TPH15">[2]RSC_Sum!#REF!</definedName>
    <definedName name="________TPH16" localSheetId="0">[62]RSC_Sum!#REF!</definedName>
    <definedName name="________TPH16">[2]RSC_Sum!#REF!</definedName>
    <definedName name="________TPH17" localSheetId="0">[62]RSC_Sum!#REF!</definedName>
    <definedName name="________TPH17">[2]RSC_Sum!#REF!</definedName>
    <definedName name="________TPH21">#REF!</definedName>
    <definedName name="________vip200">'[6]STORE CODE'!#REF!</definedName>
    <definedName name="________vip500">'[6]STORE CODE'!#REF!</definedName>
    <definedName name="_______KH7">#N/A</definedName>
    <definedName name="_______NH7">#N/A</definedName>
    <definedName name="_______PL94">#REF!</definedName>
    <definedName name="_______TPH12" localSheetId="0">[62]RSC_Sum!#REF!</definedName>
    <definedName name="_______TPH12">[2]RSC_Sum!#REF!</definedName>
    <definedName name="_______TPH13" localSheetId="0">[62]RSC_Sum!#REF!</definedName>
    <definedName name="_______TPH13">[2]RSC_Sum!#REF!</definedName>
    <definedName name="_______TPH14" localSheetId="0">[62]RSC_Sum!#REF!</definedName>
    <definedName name="_______TPH14">[2]RSC_Sum!#REF!</definedName>
    <definedName name="_______TPH15" localSheetId="0">[62]RSC_Sum!#REF!</definedName>
    <definedName name="_______TPH15">[2]RSC_Sum!#REF!</definedName>
    <definedName name="_______TPH16" localSheetId="0">[62]RSC_Sum!#REF!</definedName>
    <definedName name="_______TPH16">[2]RSC_Sum!#REF!</definedName>
    <definedName name="_______TPH17" localSheetId="0">[62]RSC_Sum!#REF!</definedName>
    <definedName name="_______TPH17">[2]RSC_Sum!#REF!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[5]!Sheet2</definedName>
    <definedName name="______PL94">#REF!</definedName>
    <definedName name="______TPH12" localSheetId="0">[62]RSC_Sum!#REF!</definedName>
    <definedName name="______TPH12">[2]RSC_Sum!#REF!</definedName>
    <definedName name="______TPH13" localSheetId="0">[62]RSC_Sum!#REF!</definedName>
    <definedName name="______TPH13">[2]RSC_Sum!#REF!</definedName>
    <definedName name="______TPH14" localSheetId="0">[62]RSC_Sum!#REF!</definedName>
    <definedName name="______TPH14">[2]RSC_Sum!#REF!</definedName>
    <definedName name="______TPH15" localSheetId="0">[62]RSC_Sum!#REF!</definedName>
    <definedName name="______TPH15">[2]RSC_Sum!#REF!</definedName>
    <definedName name="______TPH16" localSheetId="0">[62]RSC_Sum!#REF!</definedName>
    <definedName name="______TPH16">[2]RSC_Sum!#REF!</definedName>
    <definedName name="______TPH17" localSheetId="0">[62]RSC_Sum!#REF!</definedName>
    <definedName name="______TPH17">[2]RSC_Sum!#REF!</definedName>
    <definedName name="______TPH21">#REF!</definedName>
    <definedName name="______vip200">'[6]STORE CODE'!#REF!</definedName>
    <definedName name="______vip500">'[6]STORE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[5]!Sheet2</definedName>
    <definedName name="_____PL94">#REF!</definedName>
    <definedName name="_____TPH12" localSheetId="0">[61]TTL!#REF!</definedName>
    <definedName name="_____TPH12">[1]TTL!#REF!</definedName>
    <definedName name="_____TPH13" localSheetId="0">[61]TTL!#REF!</definedName>
    <definedName name="_____TPH13">[1]TTL!#REF!</definedName>
    <definedName name="_____TPH14" localSheetId="0">[61]TTL!#REF!</definedName>
    <definedName name="_____TPH14">[1]TTL!#REF!</definedName>
    <definedName name="_____TPH15" localSheetId="0">[61]TTL!#REF!</definedName>
    <definedName name="_____TPH15">[1]TTL!#REF!</definedName>
    <definedName name="_____TPH16" localSheetId="0">[61]TTL!#REF!</definedName>
    <definedName name="_____TPH16">[1]TTL!#REF!</definedName>
    <definedName name="_____TPH17" localSheetId="0">[61]TTL!#REF!</definedName>
    <definedName name="_____TPH17">[1]TTL!#REF!</definedName>
    <definedName name="_____TPH21">#REF!</definedName>
    <definedName name="_____vip200">'[6]STORE CODE'!#REF!</definedName>
    <definedName name="_____vip500">'[6]STORE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[5]!Sheet2</definedName>
    <definedName name="____PL94">#REF!</definedName>
    <definedName name="____ST1">#REF!</definedName>
    <definedName name="____TPH12" localSheetId="0">[61]TTL!#REF!</definedName>
    <definedName name="____TPH12">[1]TTL!#REF!</definedName>
    <definedName name="____TPH13" localSheetId="0">[61]TTL!#REF!</definedName>
    <definedName name="____TPH13">[1]TTL!#REF!</definedName>
    <definedName name="____TPH14" localSheetId="0">[61]TTL!#REF!</definedName>
    <definedName name="____TPH14">[1]TTL!#REF!</definedName>
    <definedName name="____TPH15" localSheetId="0">[61]TTL!#REF!</definedName>
    <definedName name="____TPH15">[1]TTL!#REF!</definedName>
    <definedName name="____TPH16" localSheetId="0">[61]TTL!#REF!</definedName>
    <definedName name="____TPH16">[1]TTL!#REF!</definedName>
    <definedName name="____TPH17" localSheetId="0">[61]TTL!#REF!</definedName>
    <definedName name="____TPH17">[1]TTL!#REF!</definedName>
    <definedName name="____TPH21">#REF!</definedName>
    <definedName name="____vip200">'[7]STORE CODE'!#REF!</definedName>
    <definedName name="____vip500">'[7]STORE CODE'!#REF!</definedName>
    <definedName name="____YH7">#N/A</definedName>
    <definedName name="___2P12_">[5]!Sheet2</definedName>
    <definedName name="___C99999">#REF!</definedName>
    <definedName name="___KH7">#N/A</definedName>
    <definedName name="___M110374">#REF!</definedName>
    <definedName name="___NH7">#N/A</definedName>
    <definedName name="___P12">[5]!Sheet2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'[6]STORE CODE'!#REF!</definedName>
    <definedName name="___vip500">'[6]STORE CODE'!#REF!</definedName>
    <definedName name="___YH7">#N/A</definedName>
    <definedName name="__123Graph_BHOBKEN4H" hidden="1">[8]Comps!#REF!</definedName>
    <definedName name="__123Graph_BHOBOKEN" hidden="1">[8]Comps!#REF!</definedName>
    <definedName name="__2P12_">[5]!Sheet2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[5]!Sheet2</definedName>
    <definedName name="__PL94">"'file:///C:/PIZZAHUT.TWN/FAD_DEPT/investment/Post%20tracking_new/COO/DX%20Post%20Tracking.xls'#$''.$B$8:$BA$85"</definedName>
    <definedName name="__ST1">#REF!</definedName>
    <definedName name="__TPH12">[9]TTL!#REF!</definedName>
    <definedName name="__TPH13">[9]TTL!#REF!</definedName>
    <definedName name="__TPH14">[9]TTL!#REF!</definedName>
    <definedName name="__TPH15">[9]TTL!#REF!</definedName>
    <definedName name="__TPH16">[9]TTL!#REF!</definedName>
    <definedName name="__TPH17">[9]TTL!#REF!</definedName>
    <definedName name="__TPH21">"'file:///C:/PIZZAHUT.TWN/FAD_DEPT/investment/Post%20tracking_new/COO/DX%20Post%20Tracking.xls'#$''.$A$505:$A$575"</definedName>
    <definedName name="__vip200">'[10]STORE CODE'!#REF!</definedName>
    <definedName name="__vip500">'[10]STORE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'[11]00DATES'!$D$65:$D$76</definedName>
    <definedName name="_1__FDSAUDITLINK__" localSheetId="0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'[11]00DATES'!$E$65:$E$76</definedName>
    <definedName name="_100D">#REF!</definedName>
    <definedName name="_101D">#REF!</definedName>
    <definedName name="_102D">#REF!</definedName>
    <definedName name="_103__FDSAUDITLINK__" localSheetId="0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[5]!Sheet2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[5]!Sheet2</definedName>
    <definedName name="_133__FDSAUDITLINK__" localSheetId="0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localSheetId="0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localSheetId="0" hidden="1">{"Fiesta Facer Page",#N/A,FALSE,"Q_C_S";"Fiesta Main Page",#N/A,FALSE,"V_L";"Fiesta 95BP Struct",#N/A,FALSE,"StructBP";"Fiesta Post 95BP Struct",#N/A,FALSE,"AdjStructBP"}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'[11]00DATES'!$F$8:$F$19</definedName>
    <definedName name="_2__FDSAUDITLINK__" localSheetId="0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localSheetId="0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[5]!Sheet2</definedName>
    <definedName name="_2wrn.²Ä1­Ó¤ë1_Ü20¤H." localSheetId="0" hidden="1">{#N/A,#N/A,FALSE,"²Ä1­Ó¤ë"}</definedName>
    <definedName name="_2wrn.²Ä1­Ó¤ë1_Ü20¤H." hidden="1">{#N/A,#N/A,FALSE,"²Ä1­Ó¤ë"}</definedName>
    <definedName name="_3__123Graph_BO_S_GAS" hidden="1">'[11]00DATES'!$F$39:$F$50</definedName>
    <definedName name="_3.">#REF!</definedName>
    <definedName name="_36__FDSAUDITLINK__" localSheetId="0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localSheetId="0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localSheetId="0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[5]!Sheet2</definedName>
    <definedName name="_4__123Graph_BT_OVER" hidden="1">'[11]00DATES'!$F$65:$F$76</definedName>
    <definedName name="_41621">#N/A</definedName>
    <definedName name="_5__123Graph_C__LTR" hidden="1">'[11]00DATES'!$G$8:$G$19</definedName>
    <definedName name="_5P12_">[5]!Sheet2</definedName>
    <definedName name="_6__123Graph_CO_S_GAS" hidden="1">'[11]00DATES'!$G$39:$G$50</definedName>
    <definedName name="_7__123Graph_CT_OVER" hidden="1">'[11]00DATES'!$G$65:$G$76</definedName>
    <definedName name="_7P12_">[5]!Sheet2</definedName>
    <definedName name="_8__123Graph_D__LTR" hidden="1">'[11]00DATES'!$E$8:$E$19</definedName>
    <definedName name="_8__FDSAUDITLINK__" localSheetId="0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'[11]00DATES'!$E$39:$E$50</definedName>
    <definedName name="_93__FDSAUDITLINK__" localSheetId="0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 localSheetId="0">[62]RSC_Sum!#REF!</definedName>
    <definedName name="_96">[2]RSC_Sum!#REF!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 localSheetId="0">[62]RSC_Sum!#REF!</definedName>
    <definedName name="_98">[2]RSC_Sum!#REF!</definedName>
    <definedName name="_98_3">"'file://PHT/MAIN/PIZZAHUT.TWN/FAD_DEPT/03budget/P&amp;L/2002LF-P&amp;L(Jun).xls'#$TTL.$BX$76:$EH$138"</definedName>
    <definedName name="_A11" localSheetId="0" hidden="1">{#N/A,#N/A,FALSE,"Umsatz 99";#N/A,#N/A,FALSE,"ER 99 "}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>'v2'!$A$1:$V$990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[5]!Sheet2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 localSheetId="0">[62]RSC_Sum!#REF!</definedName>
    <definedName name="_TPH12">[2]RSC_Sum!#REF!</definedName>
    <definedName name="_TPH13" localSheetId="0">[62]RSC_Sum!#REF!</definedName>
    <definedName name="_TPH13">[2]RSC_Sum!#REF!</definedName>
    <definedName name="_TPH14" localSheetId="0">[62]RSC_Sum!#REF!</definedName>
    <definedName name="_TPH14">[2]RSC_Sum!#REF!</definedName>
    <definedName name="_TPH15" localSheetId="0">[62]RSC_Sum!#REF!</definedName>
    <definedName name="_TPH15">[2]RSC_Sum!#REF!</definedName>
    <definedName name="_TPH16" localSheetId="0">[62]RSC_Sum!#REF!</definedName>
    <definedName name="_TPH16">[2]RSC_Sum!#REF!</definedName>
    <definedName name="_TPH17" localSheetId="0">[62]RSC_Sum!#REF!</definedName>
    <definedName name="_TPH17">[2]RSC_Sum!#REF!</definedName>
    <definedName name="_TPH21">#REF!</definedName>
    <definedName name="_vip200" localSheetId="0">'[63]STORE CODE'!#REF!</definedName>
    <definedName name="_vip200">'[12]STORE CODE'!#REF!</definedName>
    <definedName name="_vip500" localSheetId="0">'[63]STORE CODE'!#REF!</definedName>
    <definedName name="_vip500">'[12]STORE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 localSheetId="0">[0]!Sheet2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[13]!Sheet2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localSheetId="0" hidden="1">{"Back Page",#N/A,FALSE,"Front and Back"}</definedName>
    <definedName name="aae" hidden="1">{"Back Page",#N/A,FALSE,"Front and Back"}</definedName>
    <definedName name="aaf" localSheetId="0" hidden="1">{"P and L Detail Page 1",#N/A,FALSE,"Data";"P and L Detail Page 2",#N/A,FALSE,"Data"}</definedName>
    <definedName name="aaf" hidden="1">{"P and L Detail Page 1",#N/A,FALSE,"Data";"P and L Detail Page 2",#N/A,FALSE,"Data"}</definedName>
    <definedName name="aag" localSheetId="0" hidden="1">{"P and L",#N/A,FALSE,"Financial Output";"Cashflow",#N/A,FALSE,"Financial Output";"Balance Sheet",#N/A,FALSE,"Financial Output"}</definedName>
    <definedName name="aag" hidden="1">{"P and L",#N/A,FALSE,"Financial Output";"Cashflow",#N/A,FALSE,"Financial Output";"Balance Sheet",#N/A,FALSE,"Financial Output"}</definedName>
    <definedName name="aah" localSheetId="0" hidden="1">{"Five Year Record",#N/A,FALSE,"Front and Back"}</definedName>
    <definedName name="aah" hidden="1">{"Five Year Record",#N/A,FALSE,"Front and Back"}</definedName>
    <definedName name="aai" localSheetId="0" hidden="1">{"Front Page",#N/A,FALSE,"Front and Back"}</definedName>
    <definedName name="aai" hidden="1">{"Front Page",#N/A,FALSE,"Front and Back"}</definedName>
    <definedName name="aaj" localSheetId="0" hidden="1">{"Geographic P1",#N/A,FALSE,"Division &amp; Geog"}</definedName>
    <definedName name="aaj" hidden="1">{"Geographic P1",#N/A,FALSE,"Division &amp; Geog"}</definedName>
    <definedName name="AB">#N/A</definedName>
    <definedName name="ABC">[14]APP!$B$1:$AV$247</definedName>
    <definedName name="AC">#REF!</definedName>
    <definedName name="Accounting___Sup._Fees">#REF!</definedName>
    <definedName name="ACHIEVE_Q">#N/A</definedName>
    <definedName name="ACT_COL">[15]HIGHLIGHTS_ACT!$S$3</definedName>
    <definedName name="ACTP5" localSheetId="0">[0]!Sheet2</definedName>
    <definedName name="ACTP5">[0]!Sheet2</definedName>
    <definedName name="ACTP5_1">#N/A</definedName>
    <definedName name="ACTP5_2">#N/A</definedName>
    <definedName name="ACTP5_3">#N/A</definedName>
    <definedName name="Actual">[16]Actual!$A$13:$G$95</definedName>
    <definedName name="ad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 localSheetId="0">[62]RSC_Sum!#REF!</definedName>
    <definedName name="ADM">[2]RSC_Sum!#REF!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 localSheetId="0">[0]!Sheet2</definedName>
    <definedName name="asd">[0]!Sheet2</definedName>
    <definedName name="asd_1">#N/A</definedName>
    <definedName name="asd_3">#N/A</definedName>
    <definedName name="Asset_Type">[17]Listings!$A$5:$A$11</definedName>
    <definedName name="assum_store">#REF!</definedName>
    <definedName name="Audit_cost">[18]General_assumptions!$F$38</definedName>
    <definedName name="AUG">#REF!</definedName>
    <definedName name="b" localSheetId="0">[0]!Sheet2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[15]HIGHLIGHTS_BGT!$S$3</definedName>
    <definedName name="BGT_M">[19]HIGHLIGHTS_BGT!$A$5:$Q$56</definedName>
    <definedName name="BGT_M_JRG">[19]HIGHLIGHTS_BGT!#REF!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[19]HIGHLIGHTS_BGT!#REF!</definedName>
    <definedName name="BM6_">#N/A</definedName>
    <definedName name="BM7_">#N/A</definedName>
    <definedName name="BORDER_BS">#REF!</definedName>
    <definedName name="Brand">[20]Sheet3!$F$3:$F$8</definedName>
    <definedName name="Branding_costs">[18]General_assumptions!$F$35</definedName>
    <definedName name="Brands">[21]Sheet3!$F$3:$F$5</definedName>
    <definedName name="BS" localSheetId="0">[62]RSC_Sum!#REF!</definedName>
    <definedName name="BS">[2]RSC_Sum!#REF!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[22]廠商編號!$A$1:$C$118</definedName>
    <definedName name="Commissary_Profit">#REF!</definedName>
    <definedName name="CompTable">[23]CompTable!$B$5:$BQ$119</definedName>
    <definedName name="Controllable_Profit">#REF!</definedName>
    <definedName name="COqty" localSheetId="0">'[64]5 COS cal'!$K$2:$K$8473</definedName>
    <definedName name="COqty">'[24]5 COS cal'!$K$2:$K$8473</definedName>
    <definedName name="Corporate_Overhead">#REF!</definedName>
    <definedName name="CORP預算說明">#REF!</definedName>
    <definedName name="COS">#REF!</definedName>
    <definedName name="Countries">[20]Sheet3!$D$3:$D$22</definedName>
    <definedName name="Country">[20]Sheet3!$D$3:$D$22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[25]BUD_BalSheet_JMG!$A$1</definedName>
    <definedName name="csBUD09_BalSheet_Group_Dim07">"="</definedName>
    <definedName name="csBUD09_BalSheet_Group_Dim08">[25]BUD_BalSheet_JMG!$A$2</definedName>
    <definedName name="csBUD09_BalSheet_Group_Dim09">"="</definedName>
    <definedName name="csBUD09_BalSheet_Group_Dim10">"="</definedName>
    <definedName name="csBUD09_BalSheet_GroupAnchor">[25]BUD_BalSheet_JMG!$A$4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[25]BUD_Capex_JMG!$A$1</definedName>
    <definedName name="csBUD09_Capex_JMG_Dim06">[25]BUD_Capex_JMG!$A$2</definedName>
    <definedName name="csBUD09_Capex_JMG_Dim07">[25]BUD_Capex_JMG!$A$3</definedName>
    <definedName name="csBUD09_Capex_JMG_Dim08">[25]BUD_Capex_JMG!$A$4</definedName>
    <definedName name="csBUD09_Capex_JMG_Dim09">[25]BUD_Capex_JMG!$A$5</definedName>
    <definedName name="csBUD09_Capex_JMG_Dim10">[25]BUD_Capex_JMG!$A$6</definedName>
    <definedName name="csBUD09_Capex_JMGAnchor">[25]BUD_Capex_JMG!$A$8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[25]BUD09_Cont!$A$1</definedName>
    <definedName name="csBUD09_Contribution_Dim06">[25]BUD09_Cont!$A$2</definedName>
    <definedName name="csBUD09_Contribution_Dim07">[25]BUD09_Cont!$A$3</definedName>
    <definedName name="csBUD09_Contribution_Dim08">[25]BUD09_Cont!$A$4</definedName>
    <definedName name="csBUD09_Contribution_Dim09">[25]BUD09_Cont!$A$5</definedName>
    <definedName name="csBUD09_Contribution_Dim10">[25]BUD09_Cont!$A$6</definedName>
    <definedName name="csBUD09_ContributionAnchor">[25]BUD09_Cont!$A$8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[25]Sheet1!$A$1</definedName>
    <definedName name="csBud09_Interest_Dim08">[25]Sheet1!$A$2</definedName>
    <definedName name="csBud09_Interest_Dim09">[25]Sheet1!$A$3</definedName>
    <definedName name="csBud09_Interest_Dim10">[25]Sheet1!$A$4</definedName>
    <definedName name="csBud09_InterestAnchor">[25]Sheet1!$A$6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[25]BUD_OpPL_JMR!$A$1</definedName>
    <definedName name="csBUD09_OpPL_Group1_Dim08">"="</definedName>
    <definedName name="csBUD09_OpPL_Group1_Dim09">[25]BUD_OpPL_JMR!$A$2</definedName>
    <definedName name="csBUD09_OpPL_Group1_Dim10">[25]BUD_OpPL_JMR!$A$3</definedName>
    <definedName name="csBUD09_OpPL_Group1Anchor">[25]BUD_OpPL_JMR!$A$5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[25]BUD_OpPL_JMG!$A$1</definedName>
    <definedName name="csBUD09_OpPL_JMG_Dim08">"="</definedName>
    <definedName name="csBUD09_OpPL_JMG_Dim09">[25]BUD_OpPL_JMG!$A$2</definedName>
    <definedName name="csBUD09_OpPL_JMG_Dim10">[25]BUD_OpPL_JMG!$A$3</definedName>
    <definedName name="csBUD09_OpPL_JMGAnchor">[25]BUD_OpPL_JMG!$A$5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[25]BUD09_PBTDshp!$A$1</definedName>
    <definedName name="csBUD09_PBTDship_Dim06">[25]BUD09_PBTDshp!$A$2</definedName>
    <definedName name="csBUD09_PBTDship_Dim07">[25]BUD09_PBTDshp!$A$3</definedName>
    <definedName name="csBUD09_PBTDship_Dim08">[25]BUD09_PBTDshp!$A$4</definedName>
    <definedName name="csBUD09_PBTDship_Dim09">[25]BUD09_PBTDshp!$A$5</definedName>
    <definedName name="csBUD09_PBTDship_Dim10">[25]BUD09_PBTDshp!$A$6</definedName>
    <definedName name="csBUD09_PBTDshipAnchor">[25]BUD09_PBTDshp!$A$8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 localSheetId="0">[65]INPUT!$R$7:$AD$42</definedName>
    <definedName name="Cur_Act_P">[26]INPUT!$R$7:$AD$42</definedName>
    <definedName name="Cur_Bgt_P" localSheetId="0">[65]INPUT!$R$123:$AD$168</definedName>
    <definedName name="Cur_Bgt_P">[26]INPUT!$R$123:$AD$168</definedName>
    <definedName name="CurrentP3Y">#REF!</definedName>
    <definedName name="CY_ACT_M">[19]HIGHLIGHTS_ACT!$A$5:$Q$57</definedName>
    <definedName name="CY_ACT_M_JRG">[19]HIGHLIGHTS_ACT!#REF!</definedName>
    <definedName name="CY_ACT_Y_JRG">[19]HIGHLIGHTS_ACT!#REF!</definedName>
    <definedName name="D">#REF!</definedName>
    <definedName name="D_3">"'file:///A:/CASH%20FLOW.xls'#$''.$G$7:$BE$57"</definedName>
    <definedName name="D_Ooneoff_cost">[18]General_assumptions!$F$43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[27]Journal!#REF!</definedName>
    <definedName name="DATE">[20]Sheet3!$B$3:$B$733</definedName>
    <definedName name="Date1">[28]Sheet3!$B$3:$B$1158</definedName>
    <definedName name="DATE2">[20]Sheet3!#REF!</definedName>
    <definedName name="Dates">[20]Sheet3!$B$34:$B$367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[29]Channel!$C$6:$R$11</definedName>
    <definedName name="DELqty" localSheetId="0">'[64]5 COS cal'!$L$2:$L$8473</definedName>
    <definedName name="DELqty">'[24]5 COS cal'!$L$2:$L$8473</definedName>
    <definedName name="Depreciation">#REF!</definedName>
    <definedName name="DepreEnd3Y">#REF!</definedName>
    <definedName name="deprep3Y">#REF!</definedName>
    <definedName name="Designer">[30]下拉選點!$D$2:$D$4</definedName>
    <definedName name="Develop">#REF!</definedName>
    <definedName name="df">[5]!Sheet2</definedName>
    <definedName name="dfdf">[31]TTL!#REF!</definedName>
    <definedName name="DineIn_Sales">[29]Channel!$C$13:$R$18</definedName>
    <definedName name="Disclaimer" localSheetId="0" hidden="1">{"Geographic P1",#N/A,FALSE,"Division &amp; Geog"}</definedName>
    <definedName name="Disclaimer" hidden="1">{"Geographic P1",#N/A,FALSE,"Division &amp; Geog"}</definedName>
    <definedName name="Disclosure" localSheetId="0" hidden="1">{"P and L Detail Page 1",#N/A,FALSE,"Data";"P and L Detail Page 2",#N/A,FALSE,"Data"}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[32]Date!$C$3</definedName>
    <definedName name="DS">#REF!</definedName>
    <definedName name="DS_1">#REF!</definedName>
    <definedName name="Dshp">#REF!</definedName>
    <definedName name="dss" localSheetId="0" hidden="1">{"P and L Detail Page 1",#N/A,FALSE,"Data";"P and L Detail Page 2",#N/A,FALSE,"Data"}</definedName>
    <definedName name="dss" hidden="1">{"P and L Detail Page 1",#N/A,FALSE,"Data";"P and L Detail Page 2",#N/A,FALSE,"Data"}</definedName>
    <definedName name="E_List_Cur_Act" localSheetId="0">[65]INPUT!$A$7:$A$53</definedName>
    <definedName name="E_List_Cur_Act">[26]INPUT!$A$7:$A$53</definedName>
    <definedName name="E_List_Cur_Bgt" localSheetId="0">[65]INPUT!$A$123:$A$168</definedName>
    <definedName name="E_List_Cur_Bgt">[26]INPUT!$A$123:$A$168</definedName>
    <definedName name="EBITDA_Bridge">#REF!</definedName>
    <definedName name="END">#REF!</definedName>
    <definedName name="END.XLS">#REF!</definedName>
    <definedName name="Eqp">'[33]rental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[27]Journal!#REF!</definedName>
    <definedName name="Excel_BuiltIn_Print_Area">"'file://PHT/MAIN/PIZZAHUT.TWN/FAD_DEPT/03budget/P&amp;L/2002LF-P&amp;L-0802.xls'#$''.$HG$215:$IU$255"</definedName>
    <definedName name="F">#REF!</definedName>
    <definedName name="FCT_COL">[15]HIGHLIGHTS_FCAST!$S$3</definedName>
    <definedName name="FCT_M">[15]HIGHLIGHTS_FCAST!$D$5:$S$51</definedName>
    <definedName name="FCT_M_JRG">[19]HIGHLIGHTS_FCAST!#REF!</definedName>
    <definedName name="FCT_Y">[15]HIGHLIGHTS_FCAST!$D$55:$S$101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localSheetId="0" hidden="1">[66]Forecasts_VDF!#REF!</definedName>
    <definedName name="FDP_280_1_aSrv" hidden="1">[34]Forecasts_VDF!#REF!</definedName>
    <definedName name="FDP_281_1_aSrv" localSheetId="0" hidden="1">[66]Forecasts_VDF!#REF!</definedName>
    <definedName name="FDP_281_1_aSrv" hidden="1">[34]Forecasts_VDF!#REF!</definedName>
    <definedName name="FDP_282_1_aSrv" localSheetId="0" hidden="1">[66]Forecasts_VDF!#REF!</definedName>
    <definedName name="FDP_282_1_aSrv" hidden="1">[34]Forecasts_VDF!#REF!</definedName>
    <definedName name="FDP_283_1_aSrv" localSheetId="0" hidden="1">[66]Forecasts_VDF!#REF!</definedName>
    <definedName name="FDP_283_1_aSrv" hidden="1">[34]Forecasts_VDF!#REF!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[35]Date!$C$3</definedName>
    <definedName name="fnateam">[35]Date!$C$3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'[36]Summary (US$)'!#REF!</definedName>
    <definedName name="fyCoverDate">#REF!</definedName>
    <definedName name="GC" localSheetId="0">[0]!Sheet2</definedName>
    <definedName name="GC">[0]!Sheet2</definedName>
    <definedName name="GC_1">#N/A</definedName>
    <definedName name="GC_3">#N/A</definedName>
    <definedName name="h">[5]!Sheet2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[37]Assumption!$D$1</definedName>
    <definedName name="Industrialmetric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 localSheetId="0">[62]RSC_Sum!#REF!</definedName>
    <definedName name="INTEXP">[2]RSC_Sum!#REF!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[19]HIGHLIGHTS_BGT!#REF!</definedName>
    <definedName name="JRG_Y">[19]HIGHLIGHTS_BGT!#REF!</definedName>
    <definedName name="jul">#REF!</definedName>
    <definedName name="jumk" localSheetId="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[38]Assumptions!$B$22</definedName>
    <definedName name="k.FX_NTD.USD">'[39]slides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'[33]rental &amp; capax'!$A$28:$I$30</definedName>
    <definedName name="LJ">[40]!Sheet2</definedName>
    <definedName name="ll">[5]!Sheet2</definedName>
    <definedName name="LPcombocost">#REF!</definedName>
    <definedName name="LY">#REF!</definedName>
    <definedName name="LY_ACT_M">[15]HIGHLIGHTS_ACT!$D$109:$S$157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[15]HIGHLIGHTS_ACT!$D$161:$S$209</definedName>
    <definedName name="m">#REF!</definedName>
    <definedName name="M_CA_FILE">#REF!</definedName>
    <definedName name="M_CA_Range">#REF!</definedName>
    <definedName name="M_DIR">[41]Menu!$D$5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 localSheetId="0">[62]RSC_Sum!#REF!</definedName>
    <definedName name="MERGE">[2]RSC_Sum!#REF!</definedName>
    <definedName name="MERGE_3">"'file://PHT/MAIN/PIZZAHUT.TWN/FAD_DEPT/03budget/P&amp;L/2002LF-P&amp;L(Jun).xls'#$TTL.$A$1:$H$8"</definedName>
    <definedName name="MERGE_BS" localSheetId="0">[62]RSC_Sum!#REF!</definedName>
    <definedName name="MERGE_BS">[2]RSC_Sum!#REF!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[19]Index!$B$1</definedName>
    <definedName name="MthYr">'[42]Input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 localSheetId="0">{"P1","P2","P3","P4","P5","P6","P7","P8","P9","P10","P11","P12","P13"}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 localSheetId="0">[62]RSC_Sum!#REF!</definedName>
    <definedName name="P5_13">[2]RSC_Sum!#REF!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 localSheetId="0">'[64]5 COS cal'!$C$2:$C$8473</definedName>
    <definedName name="Pcost">'[24]5 COS cal'!$C$2:$C$8473</definedName>
    <definedName name="Performance_Incentive">#REF!</definedName>
    <definedName name="Period">[43]Date!$C$5</definedName>
    <definedName name="Period_COL">#REF!</definedName>
    <definedName name="PHHW" localSheetId="0">[0]!Sheet2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 localSheetId="0">[62]RSC_Sum!#REF!</definedName>
    <definedName name="PL">[2]RSC_Sum!#REF!</definedName>
    <definedName name="PL_3">"'file://PHT/MAIN/PIZZAHUT.TWN/FAD_DEPT/03budget/P&amp;L/2002LF-P&amp;L(Jun).xls'#$TTL.$H$8:$BE$57"</definedName>
    <definedName name="PL_93" localSheetId="0">[62]RSC_Sum!#REF!</definedName>
    <definedName name="PL_93">[2]RSC_Sum!#REF!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[30]下拉選點!$C$2:$C$5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[5]!Sheet2</definedName>
    <definedName name="PP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 localSheetId="0">'[64]Price index'!$C$4:$AF$88</definedName>
    <definedName name="Priceindex">'[24]Price index'!$C$4:$AF$88</definedName>
    <definedName name="print_are" localSheetId="0">[67]Units!$A$1:$F$23</definedName>
    <definedName name="print_are">[44]Units!$A$1:$F$23</definedName>
    <definedName name="_xlnm.Print_Area">#REF!</definedName>
    <definedName name="PRINT_AREA_MI">#REF!</definedName>
    <definedName name="Print_Area_MI_1">[27]Journal!#REF!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[20]Sheet3!$N$3:$N$9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'[36]Financial Highlight'!$B$70</definedName>
    <definedName name="RDEFI">"$#REF!.$A$1:$I$13326"</definedName>
    <definedName name="Recruitment">#REF!</definedName>
    <definedName name="ReloDate">[20]Sheet3!#REF!</definedName>
    <definedName name="RemodelType">[20]Sheet3!$H$3:$H$4</definedName>
    <definedName name="Rent">[29]Rental!$B$6:$P$136</definedName>
    <definedName name="Rental___Bld._Mgt_Charges">#REF!</definedName>
    <definedName name="Repair___Maintenance">#REF!</definedName>
    <definedName name="Restructure_cost">[18]General_assumptions!$F$40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 localSheetId="0">[68]店長!$A$2:$B$60</definedName>
    <definedName name="rt">[45]店長!$A$2:$B$60</definedName>
    <definedName name="rtest">"FileList_Parameter!$A$1:$A$4"</definedName>
    <definedName name="s">#REF!</definedName>
    <definedName name="S._Twister_Wave_I__10_8_11_4___4_wks">'[46]BYA 08_Plan C'!#REF!</definedName>
    <definedName name="sa">#REF!</definedName>
    <definedName name="Safety_cost">[18]General_assumptions!$F$39</definedName>
    <definedName name="SALES">#REF!</definedName>
    <definedName name="SALES_BORDER">#REF!</definedName>
    <definedName name="sales_budget">#REF!</definedName>
    <definedName name="Sales_Result">'[47]業績推估(Delco)'!$B$2:$GZ$39</definedName>
    <definedName name="Sales_Result1">'[47]業績推估 (COO)'!$B$2:$HB$39</definedName>
    <definedName name="SALES_TOTAL">#REF!</definedName>
    <definedName name="salesindex_base" localSheetId="0">'[64]4 Sales data'!$AE$11:$AE$12</definedName>
    <definedName name="salesindex_base">'[24]4 Sales data'!$AE$11:$AE$12</definedName>
    <definedName name="SAP">[40]!Sheet2</definedName>
    <definedName name="sc">#REF!,#REF!,#REF!,#REF!,#REF!,#REF!,#REF!,#REF!,#REF!,#REF!</definedName>
    <definedName name="seat">[33]Assumption!$C$125</definedName>
    <definedName name="Secured?">[20]Sheet3!$F$16:$F$17</definedName>
    <definedName name="sencount" hidden="1">1</definedName>
    <definedName name="SEP">#REF!</definedName>
    <definedName name="Service_Type">[48]Sheet3!$J$3:$J$8</definedName>
    <definedName name="ServiceType">[20]Sheet3!$J$3:$J$7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[35]Date!$C$8</definedName>
    <definedName name="Status2">[32]Date!$C$10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[29]STWK!$C$5:$Q$10</definedName>
    <definedName name="Sundries">#REF!</definedName>
    <definedName name="Svc_Type">[17]Listings!$B$5:$B$11</definedName>
    <definedName name="Swap_cost">[18]General_assumptions!$F$37</definedName>
    <definedName name="TA">'[49]Rent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[29]Channel!$C$27:$R$32</definedName>
    <definedName name="TAX">#REF!</definedName>
    <definedName name="Tax_cost">[18]General_assumptions!$F$45</definedName>
    <definedName name="TC">[5]!Sheet2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[50]General_assumptions!$F$15</definedName>
    <definedName name="TEST0">#REF!</definedName>
    <definedName name="test1" localSheetId="0" hidden="1">{#N/A,#N/A,FALSE,"Bezirk SW";#N/A,#N/A,FALSE,"Dir S (GK)";#N/A,#N/A,FALSE,"Dir FR (PK)"}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[18]General_assumptions!$F$33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[29]Channel!$C$45:$Q$50</definedName>
    <definedName name="TTL_TC">[29]Channel!$C$38:$Q$43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[51]Sheet3!$N$3:$N$6</definedName>
    <definedName name="u">#REF!,#REF!,#REF!</definedName>
    <definedName name="unit">#REF!</definedName>
    <definedName name="unit15">[52]ref!$B$3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localSheetId="0" hidden="1">{#N/A,#N/A,FALSE,"EXP97"}</definedName>
    <definedName name="were" hidden="1">{#N/A,#N/A,FALSE,"EXP97"}</definedName>
    <definedName name="WPSA">#REF!</definedName>
    <definedName name="wrn.abc." localSheetId="0" hidden="1">{#N/A,#N/A,FALSE,"Bezirk SW";#N/A,#N/A,FALSE,"Dir S (GK)";#N/A,#N/A,FALSE,"Dir FR (PK)"}</definedName>
    <definedName name="wrn.abc." hidden="1">{#N/A,#N/A,FALSE,"Bezirk SW";#N/A,#N/A,FALSE,"Dir S (GK)";#N/A,#N/A,FALSE,"Dir FR (PK)"}</definedName>
    <definedName name="wrn.ALL." localSheetId="0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localSheetId="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localSheetId="0" hidden="1">{#N/A,#N/A,FALSE,"Sheet1"}</definedName>
    <definedName name="wrn.Auto._.Comp." hidden="1">{#N/A,#N/A,FALSE,"Sheet1"}</definedName>
    <definedName name="wrn.Auto._.Comp2." localSheetId="0" hidden="1">{#N/A,#N/A,FALSE,"Sheet1"}</definedName>
    <definedName name="wrn.Auto._.Comp2." hidden="1">{#N/A,#N/A,FALSE,"Sheet1"}</definedName>
    <definedName name="wrn.Back._.Page." localSheetId="0" hidden="1">{"Back Page",#N/A,FALSE,"Front and Back"}</definedName>
    <definedName name="wrn.Back._.Page." hidden="1">{"Back Page",#N/A,FALSE,"Front and Back"}</definedName>
    <definedName name="wrn.BPLAN." localSheetId="0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localSheetId="0" hidden="1">{"sales",#N/A,FALSE,"MYL96Q3";"growth",#N/A,FALSE,"MYL96Q3";"income statement",#N/A,FALSE,"MYL96Q3";"cash flow",#N/A,FALSE,"MYL96Q3";"balance sheet",#N/A,FALSE,"MYL96Q3"}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localSheetId="0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localSheetId="0" hidden="1">{"tax_schedule",#N/A,TRUE,"Tax Schedule";"profit_loss",#N/A,TRUE,"ProfitLoss";"impact_fin",#N/A,TRUE,"Impact on BAA";"annual_data",#N/A,TRUE,"Annual Data"}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localSheetId="0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Ergebnis." localSheetId="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Reports." localSheetId="0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localSheetId="0" hidden="1">{"Five Year Record",#N/A,FALSE,"Front and Back"}</definedName>
    <definedName name="wrn.Five._.Year._.Record." hidden="1">{"Five Year Record",#N/A,FALSE,"Front and Back"}</definedName>
    <definedName name="wrn.Front._.Page." localSheetId="0" hidden="1">{"Front Page",#N/A,FALSE,"Front and Back"}</definedName>
    <definedName name="wrn.Front._.Page." hidden="1">{"Front Page",#N/A,FALSE,"Front and Back"}</definedName>
    <definedName name="wrn.Full." localSheetId="0" hidden="1">{#N/A,#N/A,FALSE,"Cover";"outputs total",#N/A,FALSE,"Outputs"}</definedName>
    <definedName name="wrn.Full." hidden="1">{#N/A,#N/A,FALSE,"Cover";"outputs total",#N/A,FALSE,"Outputs"}</definedName>
    <definedName name="wrn.Full._.Model." localSheetId="0" hidden="1">{#N/A,#N/A,TRUE,"Cover Sheet ";#N/A,#N/A,TRUE,"INPUTS";#N/A,#N/A,TRUE,"OUTPUTS"}</definedName>
    <definedName name="wrn.Full._.Model." hidden="1">{#N/A,#N/A,TRUE,"Cover Sheet ";#N/A,#N/A,TRUE,"INPUTS";#N/A,#N/A,TRUE,"OUTPUTS"}</definedName>
    <definedName name="wrn.Geographic._.Trends." localSheetId="0" hidden="1">{"Geographic P1",#N/A,FALSE,"Division &amp; Geog"}</definedName>
    <definedName name="wrn.Geographic._.Trends." hidden="1">{"Geographic P1",#N/A,FALSE,"Division &amp; Geog"}</definedName>
    <definedName name="wrn.offering.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uns." localSheetId="0" hidden="1">{"ratios",#N/A,FALSE,"Key Ratios";#N/A,#N/A,FALSE,"Annual Data";#N/A,#N/A,FALSE,"Balance Sheet"}</definedName>
    <definedName name="wrn.Print._.Runs." hidden="1">{"ratios",#N/A,FALSE,"Key Ratios";#N/A,#N/A,FALSE,"Annual Data";#N/A,#N/A,FALSE,"Balance Sheet"}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Cap." localSheetId="0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out2." localSheetId="0" hidden="1">{"Linkages",#N/A,FALSE,"Linkages";"Busplan",#N/A,FALSE,"Linkages";"traffic",#N/A,FALSE,"Linkages";"Finassum",#N/A,FALSE,"Linkages"}</definedName>
    <definedName name="wrn.Printout2." hidden="1">{"Linkages",#N/A,FALSE,"Linkages";"Busplan",#N/A,FALSE,"Linkages";"traffic",#N/A,FALSE,"Linkages";"Finassum",#N/A,FALSE,"Linkages"}</definedName>
    <definedName name="wrn.SB_PRES." localSheetId="0" hidden="1">{#N/A,#N/A,TRUE,"Sheet16"}</definedName>
    <definedName name="wrn.SB_PRES." hidden="1">{#N/A,#N/A,TRUE,"Sheet16"}</definedName>
    <definedName name="wrn.Summary." localSheetId="0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trng">!$A$1:$AK$500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[0]!Sheet2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[53]期末盤點表!#REF!</definedName>
    <definedName name="y">[35]Date!$C$6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[43]Date!$C$6</definedName>
    <definedName name="Year2">[54]YEAR!$C$5</definedName>
    <definedName name="Year3">[54]YEAR!$C$6</definedName>
    <definedName name="Year4">[54]YEAR!$C$7</definedName>
    <definedName name="Year5">[54]YEAR!$C$8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[55]Parameter!$B$4</definedName>
    <definedName name="zYear_LY1">[55]Parameter!$B$5</definedName>
    <definedName name="zYear_LY2">[55]Parameter!$B$6</definedName>
    <definedName name="zz">[56]產品規格!#REF!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'[57]0'!$B$2:$B$141</definedName>
    <definedName name="出力">#N/A</definedName>
    <definedName name="列印週月報表">#REF!</definedName>
    <definedName name="匯出查詢">#REF!</definedName>
    <definedName name="區域">[30]下拉選點!$A$2:$A$5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 localSheetId="0">[69]對照表!$A$2:$B$86</definedName>
    <definedName name="對照表">[58]對照表!$A$2:$B$86</definedName>
    <definedName name="年度期初">#REF!</definedName>
    <definedName name="年度期未">#REF!</definedName>
    <definedName name="店型">[30]下拉選點!$B$2:$B$8</definedName>
    <definedName name="店長名冊" localSheetId="0">[68]店長!$A$2:$B$60</definedName>
    <definedName name="店長名冊">[45]店長!$A$2:$B$60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[53]期末盤點表!#REF!</definedName>
    <definedName name="日期">#REF!</definedName>
    <definedName name="日燦產品資料">[56]產品規格!#REF!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 localSheetId="0">'[68]處 '!$A$1:$B$54</definedName>
    <definedName name="處">'[45]處 '!$A$1:$B$54</definedName>
    <definedName name="計算期">#REF!</definedName>
    <definedName name="買入期">#REF!</definedName>
    <definedName name="進貨累計表">[59]期末盤點表!#REF!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99" i="3" l="1"/>
  <c r="Q199" i="3"/>
  <c r="L199" i="3"/>
  <c r="K199" i="3"/>
  <c r="I199" i="3"/>
  <c r="H199" i="3"/>
  <c r="F199" i="3"/>
  <c r="E199" i="3"/>
  <c r="O198" i="3"/>
  <c r="N198" i="3"/>
  <c r="V198" i="3"/>
  <c r="S198" i="3"/>
  <c r="C198" i="3"/>
  <c r="B198" i="3"/>
  <c r="O197" i="3"/>
  <c r="N197" i="3"/>
  <c r="P197" i="3" s="1"/>
  <c r="V197" i="3"/>
  <c r="S197" i="3"/>
  <c r="C197" i="3"/>
  <c r="B197" i="3"/>
  <c r="O196" i="3"/>
  <c r="N196" i="3"/>
  <c r="V196" i="3"/>
  <c r="S196" i="3"/>
  <c r="C196" i="3"/>
  <c r="B196" i="3"/>
  <c r="O195" i="3"/>
  <c r="N195" i="3"/>
  <c r="V195" i="3"/>
  <c r="S195" i="3"/>
  <c r="C195" i="3"/>
  <c r="B195" i="3"/>
  <c r="O194" i="3"/>
  <c r="N194" i="3"/>
  <c r="V194" i="3"/>
  <c r="S194" i="3"/>
  <c r="C194" i="3"/>
  <c r="B194" i="3"/>
  <c r="O193" i="3"/>
  <c r="N193" i="3"/>
  <c r="V193" i="3"/>
  <c r="S193" i="3"/>
  <c r="C193" i="3"/>
  <c r="B193" i="3"/>
  <c r="O192" i="3"/>
  <c r="N192" i="3"/>
  <c r="V192" i="3"/>
  <c r="S192" i="3"/>
  <c r="C192" i="3"/>
  <c r="B192" i="3"/>
  <c r="O191" i="3"/>
  <c r="N191" i="3"/>
  <c r="V191" i="3"/>
  <c r="S191" i="3"/>
  <c r="C191" i="3"/>
  <c r="B191" i="3"/>
  <c r="O190" i="3"/>
  <c r="N190" i="3"/>
  <c r="V190" i="3"/>
  <c r="S190" i="3"/>
  <c r="C190" i="3"/>
  <c r="B190" i="3"/>
  <c r="O189" i="3"/>
  <c r="N189" i="3"/>
  <c r="V189" i="3"/>
  <c r="S189" i="3"/>
  <c r="C189" i="3"/>
  <c r="B189" i="3"/>
  <c r="O188" i="3"/>
  <c r="N188" i="3"/>
  <c r="V188" i="3"/>
  <c r="S188" i="3"/>
  <c r="C188" i="3"/>
  <c r="B188" i="3"/>
  <c r="O187" i="3"/>
  <c r="N187" i="3"/>
  <c r="V187" i="3"/>
  <c r="S187" i="3"/>
  <c r="C187" i="3"/>
  <c r="B187" i="3"/>
  <c r="O186" i="3"/>
  <c r="P186" i="3" s="1"/>
  <c r="N186" i="3"/>
  <c r="V186" i="3"/>
  <c r="S186" i="3"/>
  <c r="C186" i="3"/>
  <c r="B186" i="3"/>
  <c r="O185" i="3"/>
  <c r="N185" i="3"/>
  <c r="V185" i="3"/>
  <c r="S185" i="3"/>
  <c r="C185" i="3"/>
  <c r="B185" i="3"/>
  <c r="O184" i="3"/>
  <c r="N184" i="3"/>
  <c r="V184" i="3"/>
  <c r="S184" i="3"/>
  <c r="C184" i="3"/>
  <c r="B184" i="3"/>
  <c r="O183" i="3"/>
  <c r="P183" i="3" s="1"/>
  <c r="N183" i="3"/>
  <c r="V183" i="3"/>
  <c r="S183" i="3"/>
  <c r="C183" i="3"/>
  <c r="B183" i="3"/>
  <c r="O182" i="3"/>
  <c r="N182" i="3"/>
  <c r="V182" i="3"/>
  <c r="S182" i="3"/>
  <c r="C182" i="3"/>
  <c r="B182" i="3"/>
  <c r="O181" i="3"/>
  <c r="N181" i="3"/>
  <c r="V181" i="3"/>
  <c r="S181" i="3"/>
  <c r="C181" i="3"/>
  <c r="B181" i="3"/>
  <c r="O180" i="3"/>
  <c r="P180" i="3" s="1"/>
  <c r="N180" i="3"/>
  <c r="V180" i="3"/>
  <c r="S180" i="3"/>
  <c r="C180" i="3"/>
  <c r="B180" i="3"/>
  <c r="O179" i="3"/>
  <c r="N179" i="3"/>
  <c r="V179" i="3"/>
  <c r="S179" i="3"/>
  <c r="C179" i="3"/>
  <c r="B179" i="3"/>
  <c r="O178" i="3"/>
  <c r="N178" i="3"/>
  <c r="V178" i="3"/>
  <c r="S178" i="3"/>
  <c r="C178" i="3"/>
  <c r="B178" i="3"/>
  <c r="O177" i="3"/>
  <c r="N177" i="3"/>
  <c r="V177" i="3"/>
  <c r="S177" i="3"/>
  <c r="C177" i="3"/>
  <c r="B177" i="3"/>
  <c r="O176" i="3"/>
  <c r="N176" i="3"/>
  <c r="V176" i="3"/>
  <c r="S176" i="3"/>
  <c r="C176" i="3"/>
  <c r="B176" i="3"/>
  <c r="O175" i="3"/>
  <c r="N175" i="3"/>
  <c r="V175" i="3"/>
  <c r="S175" i="3"/>
  <c r="C175" i="3"/>
  <c r="B175" i="3"/>
  <c r="O174" i="3"/>
  <c r="N174" i="3"/>
  <c r="V174" i="3"/>
  <c r="S174" i="3"/>
  <c r="C174" i="3"/>
  <c r="B174" i="3"/>
  <c r="O173" i="3"/>
  <c r="N173" i="3"/>
  <c r="P173" i="3" s="1"/>
  <c r="V173" i="3"/>
  <c r="S173" i="3"/>
  <c r="C173" i="3"/>
  <c r="B173" i="3"/>
  <c r="O172" i="3"/>
  <c r="N172" i="3"/>
  <c r="V172" i="3"/>
  <c r="S172" i="3"/>
  <c r="C172" i="3"/>
  <c r="B172" i="3"/>
  <c r="O171" i="3"/>
  <c r="N171" i="3"/>
  <c r="V171" i="3"/>
  <c r="S171" i="3"/>
  <c r="C171" i="3"/>
  <c r="B171" i="3"/>
  <c r="O170" i="3"/>
  <c r="N170" i="3"/>
  <c r="V170" i="3"/>
  <c r="S170" i="3"/>
  <c r="C170" i="3"/>
  <c r="B170" i="3"/>
  <c r="O169" i="3"/>
  <c r="N169" i="3"/>
  <c r="V169" i="3"/>
  <c r="S169" i="3"/>
  <c r="C169" i="3"/>
  <c r="B169" i="3"/>
  <c r="O168" i="3"/>
  <c r="N168" i="3"/>
  <c r="V168" i="3"/>
  <c r="S168" i="3"/>
  <c r="C168" i="3"/>
  <c r="B168" i="3"/>
  <c r="O167" i="3"/>
  <c r="N167" i="3"/>
  <c r="V167" i="3"/>
  <c r="S167" i="3"/>
  <c r="C167" i="3"/>
  <c r="B167" i="3"/>
  <c r="O166" i="3"/>
  <c r="N166" i="3"/>
  <c r="V166" i="3"/>
  <c r="S166" i="3"/>
  <c r="C166" i="3"/>
  <c r="B166" i="3"/>
  <c r="O165" i="3"/>
  <c r="N165" i="3"/>
  <c r="V165" i="3"/>
  <c r="S165" i="3"/>
  <c r="C165" i="3"/>
  <c r="B165" i="3"/>
  <c r="O164" i="3"/>
  <c r="P164" i="3" s="1"/>
  <c r="N164" i="3"/>
  <c r="V164" i="3"/>
  <c r="S164" i="3"/>
  <c r="C164" i="3"/>
  <c r="B164" i="3"/>
  <c r="O163" i="3"/>
  <c r="N163" i="3"/>
  <c r="P163" i="3" s="1"/>
  <c r="V163" i="3"/>
  <c r="S163" i="3"/>
  <c r="C163" i="3"/>
  <c r="B163" i="3"/>
  <c r="O162" i="3"/>
  <c r="N162" i="3"/>
  <c r="V162" i="3"/>
  <c r="S162" i="3"/>
  <c r="C162" i="3"/>
  <c r="B162" i="3"/>
  <c r="O161" i="3"/>
  <c r="N161" i="3"/>
  <c r="V161" i="3"/>
  <c r="S161" i="3"/>
  <c r="C161" i="3"/>
  <c r="B161" i="3"/>
  <c r="O160" i="3"/>
  <c r="N160" i="3"/>
  <c r="V160" i="3"/>
  <c r="S160" i="3"/>
  <c r="C160" i="3"/>
  <c r="B160" i="3"/>
  <c r="O159" i="3"/>
  <c r="N159" i="3"/>
  <c r="V159" i="3"/>
  <c r="S159" i="3"/>
  <c r="C159" i="3"/>
  <c r="B159" i="3"/>
  <c r="O158" i="3"/>
  <c r="N158" i="3"/>
  <c r="V158" i="3"/>
  <c r="S158" i="3"/>
  <c r="C158" i="3"/>
  <c r="B158" i="3"/>
  <c r="O157" i="3"/>
  <c r="N157" i="3"/>
  <c r="V157" i="3"/>
  <c r="S157" i="3"/>
  <c r="C157" i="3"/>
  <c r="B157" i="3"/>
  <c r="O156" i="3"/>
  <c r="N156" i="3"/>
  <c r="V156" i="3"/>
  <c r="S156" i="3"/>
  <c r="C156" i="3"/>
  <c r="B156" i="3"/>
  <c r="O155" i="3"/>
  <c r="N155" i="3"/>
  <c r="V155" i="3"/>
  <c r="S155" i="3"/>
  <c r="C155" i="3"/>
  <c r="B155" i="3"/>
  <c r="O154" i="3"/>
  <c r="N154" i="3"/>
  <c r="V154" i="3"/>
  <c r="S154" i="3"/>
  <c r="C154" i="3"/>
  <c r="B154" i="3"/>
  <c r="O153" i="3"/>
  <c r="N153" i="3"/>
  <c r="V153" i="3"/>
  <c r="S153" i="3"/>
  <c r="C153" i="3"/>
  <c r="B153" i="3"/>
  <c r="O152" i="3"/>
  <c r="N152" i="3"/>
  <c r="V152" i="3"/>
  <c r="S152" i="3"/>
  <c r="C152" i="3"/>
  <c r="B152" i="3"/>
  <c r="O151" i="3"/>
  <c r="N151" i="3"/>
  <c r="V151" i="3"/>
  <c r="S151" i="3"/>
  <c r="C151" i="3"/>
  <c r="B151" i="3"/>
  <c r="O150" i="3"/>
  <c r="N150" i="3"/>
  <c r="V150" i="3"/>
  <c r="S150" i="3"/>
  <c r="C150" i="3"/>
  <c r="B150" i="3"/>
  <c r="O149" i="3"/>
  <c r="N149" i="3"/>
  <c r="V149" i="3"/>
  <c r="S149" i="3"/>
  <c r="C149" i="3"/>
  <c r="B149" i="3"/>
  <c r="O148" i="3"/>
  <c r="N148" i="3"/>
  <c r="V148" i="3"/>
  <c r="S148" i="3"/>
  <c r="C148" i="3"/>
  <c r="B148" i="3"/>
  <c r="O147" i="3"/>
  <c r="N147" i="3"/>
  <c r="V147" i="3"/>
  <c r="S147" i="3"/>
  <c r="C147" i="3"/>
  <c r="B147" i="3"/>
  <c r="O146" i="3"/>
  <c r="N146" i="3"/>
  <c r="V146" i="3"/>
  <c r="S146" i="3"/>
  <c r="C146" i="3"/>
  <c r="B146" i="3"/>
  <c r="O145" i="3"/>
  <c r="N145" i="3"/>
  <c r="P145" i="3" s="1"/>
  <c r="V145" i="3"/>
  <c r="S145" i="3"/>
  <c r="C145" i="3"/>
  <c r="B145" i="3"/>
  <c r="O144" i="3"/>
  <c r="N144" i="3"/>
  <c r="V144" i="3"/>
  <c r="S144" i="3"/>
  <c r="C144" i="3"/>
  <c r="B144" i="3"/>
  <c r="O143" i="3"/>
  <c r="N143" i="3"/>
  <c r="V143" i="3"/>
  <c r="S143" i="3"/>
  <c r="C143" i="3"/>
  <c r="B143" i="3"/>
  <c r="O142" i="3"/>
  <c r="N142" i="3"/>
  <c r="P142" i="3" s="1"/>
  <c r="V142" i="3"/>
  <c r="S142" i="3"/>
  <c r="C142" i="3"/>
  <c r="B142" i="3"/>
  <c r="O141" i="3"/>
  <c r="N141" i="3"/>
  <c r="V141" i="3"/>
  <c r="S141" i="3"/>
  <c r="C141" i="3"/>
  <c r="B141" i="3"/>
  <c r="O140" i="3"/>
  <c r="N140" i="3"/>
  <c r="V140" i="3"/>
  <c r="S140" i="3"/>
  <c r="C140" i="3"/>
  <c r="B140" i="3"/>
  <c r="O139" i="3"/>
  <c r="N139" i="3"/>
  <c r="V139" i="3"/>
  <c r="S139" i="3"/>
  <c r="C139" i="3"/>
  <c r="B139" i="3"/>
  <c r="O138" i="3"/>
  <c r="N138" i="3"/>
  <c r="V138" i="3"/>
  <c r="S138" i="3"/>
  <c r="C138" i="3"/>
  <c r="B138" i="3"/>
  <c r="O137" i="3"/>
  <c r="N137" i="3"/>
  <c r="V137" i="3"/>
  <c r="S137" i="3"/>
  <c r="C137" i="3"/>
  <c r="B137" i="3"/>
  <c r="O136" i="3"/>
  <c r="N136" i="3"/>
  <c r="V136" i="3"/>
  <c r="S136" i="3"/>
  <c r="C136" i="3"/>
  <c r="B136" i="3"/>
  <c r="O135" i="3"/>
  <c r="N135" i="3"/>
  <c r="V135" i="3"/>
  <c r="S135" i="3"/>
  <c r="C135" i="3"/>
  <c r="B135" i="3"/>
  <c r="O134" i="3"/>
  <c r="N134" i="3"/>
  <c r="V134" i="3"/>
  <c r="S134" i="3"/>
  <c r="C134" i="3"/>
  <c r="B134" i="3"/>
  <c r="O133" i="3"/>
  <c r="N133" i="3"/>
  <c r="P133" i="3" s="1"/>
  <c r="V133" i="3"/>
  <c r="S133" i="3"/>
  <c r="C133" i="3"/>
  <c r="B133" i="3"/>
  <c r="O132" i="3"/>
  <c r="N132" i="3"/>
  <c r="V132" i="3"/>
  <c r="S132" i="3"/>
  <c r="C132" i="3"/>
  <c r="B132" i="3"/>
  <c r="O131" i="3"/>
  <c r="N131" i="3"/>
  <c r="V131" i="3"/>
  <c r="S131" i="3"/>
  <c r="C131" i="3"/>
  <c r="B131" i="3"/>
  <c r="O130" i="3"/>
  <c r="N130" i="3"/>
  <c r="V130" i="3"/>
  <c r="S130" i="3"/>
  <c r="C130" i="3"/>
  <c r="B130" i="3"/>
  <c r="O129" i="3"/>
  <c r="N129" i="3"/>
  <c r="V129" i="3"/>
  <c r="S129" i="3"/>
  <c r="C129" i="3"/>
  <c r="B129" i="3"/>
  <c r="O128" i="3"/>
  <c r="N128" i="3"/>
  <c r="V128" i="3"/>
  <c r="S128" i="3"/>
  <c r="C128" i="3"/>
  <c r="B128" i="3"/>
  <c r="O127" i="3"/>
  <c r="N127" i="3"/>
  <c r="V127" i="3"/>
  <c r="S127" i="3"/>
  <c r="C127" i="3"/>
  <c r="B127" i="3"/>
  <c r="O126" i="3"/>
  <c r="N126" i="3"/>
  <c r="V126" i="3"/>
  <c r="S126" i="3"/>
  <c r="C126" i="3"/>
  <c r="B126" i="3"/>
  <c r="O125" i="3"/>
  <c r="N125" i="3"/>
  <c r="V125" i="3"/>
  <c r="S125" i="3"/>
  <c r="C125" i="3"/>
  <c r="B125" i="3"/>
  <c r="O124" i="3"/>
  <c r="N124" i="3"/>
  <c r="V124" i="3"/>
  <c r="S124" i="3"/>
  <c r="C124" i="3"/>
  <c r="B124" i="3"/>
  <c r="O123" i="3"/>
  <c r="N123" i="3"/>
  <c r="V123" i="3"/>
  <c r="S123" i="3"/>
  <c r="C123" i="3"/>
  <c r="B123" i="3"/>
  <c r="O122" i="3"/>
  <c r="N122" i="3"/>
  <c r="V122" i="3"/>
  <c r="S122" i="3"/>
  <c r="C122" i="3"/>
  <c r="B122" i="3"/>
  <c r="O121" i="3"/>
  <c r="N121" i="3"/>
  <c r="V121" i="3"/>
  <c r="S121" i="3"/>
  <c r="C121" i="3"/>
  <c r="B121" i="3"/>
  <c r="O120" i="3"/>
  <c r="N120" i="3"/>
  <c r="V120" i="3"/>
  <c r="S120" i="3"/>
  <c r="C120" i="3"/>
  <c r="B120" i="3"/>
  <c r="O119" i="3"/>
  <c r="N119" i="3"/>
  <c r="V119" i="3"/>
  <c r="S119" i="3"/>
  <c r="C119" i="3"/>
  <c r="B119" i="3"/>
  <c r="O118" i="3"/>
  <c r="P118" i="3" s="1"/>
  <c r="N118" i="3"/>
  <c r="V118" i="3"/>
  <c r="S118" i="3"/>
  <c r="C118" i="3"/>
  <c r="B118" i="3"/>
  <c r="O117" i="3"/>
  <c r="N117" i="3"/>
  <c r="V117" i="3"/>
  <c r="S117" i="3"/>
  <c r="C117" i="3"/>
  <c r="B117" i="3"/>
  <c r="V116" i="3"/>
  <c r="S116" i="3"/>
  <c r="C116" i="3"/>
  <c r="B116" i="3"/>
  <c r="O115" i="3"/>
  <c r="N115" i="3"/>
  <c r="V115" i="3"/>
  <c r="S115" i="3"/>
  <c r="C115" i="3"/>
  <c r="B115" i="3"/>
  <c r="O114" i="3"/>
  <c r="P114" i="3" s="1"/>
  <c r="N114" i="3"/>
  <c r="V114" i="3"/>
  <c r="S114" i="3"/>
  <c r="C114" i="3"/>
  <c r="B114" i="3"/>
  <c r="O113" i="3"/>
  <c r="N113" i="3"/>
  <c r="V113" i="3"/>
  <c r="S113" i="3"/>
  <c r="C113" i="3"/>
  <c r="B113" i="3"/>
  <c r="O112" i="3"/>
  <c r="P112" i="3" s="1"/>
  <c r="N112" i="3"/>
  <c r="V112" i="3"/>
  <c r="S112" i="3"/>
  <c r="C112" i="3"/>
  <c r="B112" i="3"/>
  <c r="O111" i="3"/>
  <c r="N111" i="3"/>
  <c r="V111" i="3"/>
  <c r="S111" i="3"/>
  <c r="C111" i="3"/>
  <c r="B111" i="3"/>
  <c r="O110" i="3"/>
  <c r="N110" i="3"/>
  <c r="V110" i="3"/>
  <c r="S110" i="3"/>
  <c r="C110" i="3"/>
  <c r="B110" i="3"/>
  <c r="P109" i="3"/>
  <c r="O109" i="3"/>
  <c r="N109" i="3"/>
  <c r="V109" i="3"/>
  <c r="S109" i="3"/>
  <c r="C109" i="3"/>
  <c r="B109" i="3"/>
  <c r="O108" i="3"/>
  <c r="N108" i="3"/>
  <c r="V108" i="3"/>
  <c r="S108" i="3"/>
  <c r="C108" i="3"/>
  <c r="B108" i="3"/>
  <c r="O107" i="3"/>
  <c r="N107" i="3"/>
  <c r="V107" i="3"/>
  <c r="S107" i="3"/>
  <c r="C107" i="3"/>
  <c r="B107" i="3"/>
  <c r="O106" i="3"/>
  <c r="N106" i="3"/>
  <c r="V106" i="3"/>
  <c r="S106" i="3"/>
  <c r="C106" i="3"/>
  <c r="B106" i="3"/>
  <c r="O105" i="3"/>
  <c r="P105" i="3" s="1"/>
  <c r="N105" i="3"/>
  <c r="V105" i="3"/>
  <c r="S105" i="3"/>
  <c r="C105" i="3"/>
  <c r="B105" i="3"/>
  <c r="O104" i="3"/>
  <c r="N104" i="3"/>
  <c r="V104" i="3"/>
  <c r="S104" i="3"/>
  <c r="C104" i="3"/>
  <c r="B104" i="3"/>
  <c r="O103" i="3"/>
  <c r="N103" i="3"/>
  <c r="V103" i="3"/>
  <c r="S103" i="3"/>
  <c r="C103" i="3"/>
  <c r="B103" i="3"/>
  <c r="O102" i="3"/>
  <c r="N102" i="3"/>
  <c r="V102" i="3"/>
  <c r="S102" i="3"/>
  <c r="C102" i="3"/>
  <c r="B102" i="3"/>
  <c r="V101" i="3"/>
  <c r="S101" i="3"/>
  <c r="C101" i="3"/>
  <c r="B101" i="3"/>
  <c r="V100" i="3"/>
  <c r="S100" i="3"/>
  <c r="C100" i="3"/>
  <c r="B100" i="3"/>
  <c r="O99" i="3"/>
  <c r="N99" i="3"/>
  <c r="V99" i="3"/>
  <c r="S99" i="3"/>
  <c r="C99" i="3"/>
  <c r="B99" i="3"/>
  <c r="O98" i="3"/>
  <c r="N98" i="3"/>
  <c r="P98" i="3" s="1"/>
  <c r="V98" i="3"/>
  <c r="S98" i="3"/>
  <c r="C98" i="3"/>
  <c r="B98" i="3"/>
  <c r="O97" i="3"/>
  <c r="N97" i="3"/>
  <c r="V97" i="3"/>
  <c r="S97" i="3"/>
  <c r="C97" i="3"/>
  <c r="B97" i="3"/>
  <c r="O96" i="3"/>
  <c r="N96" i="3"/>
  <c r="V96" i="3"/>
  <c r="S96" i="3"/>
  <c r="C96" i="3"/>
  <c r="B96" i="3"/>
  <c r="O95" i="3"/>
  <c r="N95" i="3"/>
  <c r="V95" i="3"/>
  <c r="S95" i="3"/>
  <c r="C95" i="3"/>
  <c r="B95" i="3"/>
  <c r="O94" i="3"/>
  <c r="N94" i="3"/>
  <c r="V94" i="3"/>
  <c r="S94" i="3"/>
  <c r="C94" i="3"/>
  <c r="B94" i="3"/>
  <c r="O93" i="3"/>
  <c r="N93" i="3"/>
  <c r="V93" i="3"/>
  <c r="S93" i="3"/>
  <c r="C93" i="3"/>
  <c r="B93" i="3"/>
  <c r="O92" i="3"/>
  <c r="N92" i="3"/>
  <c r="V92" i="3"/>
  <c r="S92" i="3"/>
  <c r="C92" i="3"/>
  <c r="B92" i="3"/>
  <c r="O91" i="3"/>
  <c r="N91" i="3"/>
  <c r="V91" i="3"/>
  <c r="S91" i="3"/>
  <c r="C91" i="3"/>
  <c r="B91" i="3"/>
  <c r="O90" i="3"/>
  <c r="N90" i="3"/>
  <c r="V90" i="3"/>
  <c r="S90" i="3"/>
  <c r="C90" i="3"/>
  <c r="B90" i="3"/>
  <c r="O89" i="3"/>
  <c r="N89" i="3"/>
  <c r="P89" i="3" s="1"/>
  <c r="V89" i="3"/>
  <c r="S89" i="3"/>
  <c r="C89" i="3"/>
  <c r="B89" i="3"/>
  <c r="O88" i="3"/>
  <c r="P88" i="3" s="1"/>
  <c r="N88" i="3"/>
  <c r="V88" i="3"/>
  <c r="S88" i="3"/>
  <c r="C88" i="3"/>
  <c r="B88" i="3"/>
  <c r="O87" i="3"/>
  <c r="N87" i="3"/>
  <c r="V87" i="3"/>
  <c r="S87" i="3"/>
  <c r="C87" i="3"/>
  <c r="B87" i="3"/>
  <c r="O86" i="3"/>
  <c r="N86" i="3"/>
  <c r="V86" i="3"/>
  <c r="S86" i="3"/>
  <c r="C86" i="3"/>
  <c r="B86" i="3"/>
  <c r="O85" i="3"/>
  <c r="N85" i="3"/>
  <c r="V85" i="3"/>
  <c r="S85" i="3"/>
  <c r="C85" i="3"/>
  <c r="B85" i="3"/>
  <c r="O84" i="3"/>
  <c r="N84" i="3"/>
  <c r="V84" i="3"/>
  <c r="S84" i="3"/>
  <c r="C84" i="3"/>
  <c r="B84" i="3"/>
  <c r="O83" i="3"/>
  <c r="N83" i="3"/>
  <c r="V83" i="3"/>
  <c r="S83" i="3"/>
  <c r="C83" i="3"/>
  <c r="B83" i="3"/>
  <c r="O82" i="3"/>
  <c r="N82" i="3"/>
  <c r="V82" i="3"/>
  <c r="S82" i="3"/>
  <c r="C82" i="3"/>
  <c r="B82" i="3"/>
  <c r="O81" i="3"/>
  <c r="N81" i="3"/>
  <c r="V81" i="3"/>
  <c r="S81" i="3"/>
  <c r="C81" i="3"/>
  <c r="B81" i="3"/>
  <c r="V80" i="3"/>
  <c r="S80" i="3"/>
  <c r="C80" i="3"/>
  <c r="B80" i="3"/>
  <c r="O79" i="3"/>
  <c r="N79" i="3"/>
  <c r="P79" i="3" s="1"/>
  <c r="V79" i="3"/>
  <c r="S79" i="3"/>
  <c r="C79" i="3"/>
  <c r="B79" i="3"/>
  <c r="O78" i="3"/>
  <c r="N78" i="3"/>
  <c r="V78" i="3"/>
  <c r="S78" i="3"/>
  <c r="C78" i="3"/>
  <c r="B78" i="3"/>
  <c r="O77" i="3"/>
  <c r="N77" i="3"/>
  <c r="V77" i="3"/>
  <c r="S77" i="3"/>
  <c r="C77" i="3"/>
  <c r="B77" i="3"/>
  <c r="O76" i="3"/>
  <c r="N76" i="3"/>
  <c r="V76" i="3"/>
  <c r="S76" i="3"/>
  <c r="C76" i="3"/>
  <c r="B76" i="3"/>
  <c r="O75" i="3"/>
  <c r="N75" i="3"/>
  <c r="V75" i="3"/>
  <c r="S75" i="3"/>
  <c r="C75" i="3"/>
  <c r="B75" i="3"/>
  <c r="O74" i="3"/>
  <c r="N74" i="3"/>
  <c r="V74" i="3"/>
  <c r="S74" i="3"/>
  <c r="C74" i="3"/>
  <c r="B74" i="3"/>
  <c r="O73" i="3"/>
  <c r="N73" i="3"/>
  <c r="V73" i="3"/>
  <c r="S73" i="3"/>
  <c r="C73" i="3"/>
  <c r="B73" i="3"/>
  <c r="O72" i="3"/>
  <c r="N72" i="3"/>
  <c r="V72" i="3"/>
  <c r="S72" i="3"/>
  <c r="C72" i="3"/>
  <c r="B72" i="3"/>
  <c r="O71" i="3"/>
  <c r="P71" i="3" s="1"/>
  <c r="N71" i="3"/>
  <c r="V71" i="3"/>
  <c r="S71" i="3"/>
  <c r="C71" i="3"/>
  <c r="B71" i="3"/>
  <c r="O70" i="3"/>
  <c r="N70" i="3"/>
  <c r="V70" i="3"/>
  <c r="S70" i="3"/>
  <c r="C70" i="3"/>
  <c r="B70" i="3"/>
  <c r="O69" i="3"/>
  <c r="N69" i="3"/>
  <c r="V69" i="3"/>
  <c r="S69" i="3"/>
  <c r="C69" i="3"/>
  <c r="B69" i="3"/>
  <c r="O68" i="3"/>
  <c r="N68" i="3"/>
  <c r="V68" i="3"/>
  <c r="S68" i="3"/>
  <c r="C68" i="3"/>
  <c r="B68" i="3"/>
  <c r="V67" i="3"/>
  <c r="S67" i="3"/>
  <c r="C67" i="3"/>
  <c r="B67" i="3"/>
  <c r="O66" i="3"/>
  <c r="P66" i="3" s="1"/>
  <c r="N66" i="3"/>
  <c r="V66" i="3"/>
  <c r="S66" i="3"/>
  <c r="C66" i="3"/>
  <c r="B66" i="3"/>
  <c r="O65" i="3"/>
  <c r="N65" i="3"/>
  <c r="P65" i="3" s="1"/>
  <c r="V65" i="3"/>
  <c r="S65" i="3"/>
  <c r="C65" i="3"/>
  <c r="B65" i="3"/>
  <c r="O64" i="3"/>
  <c r="N64" i="3"/>
  <c r="V64" i="3"/>
  <c r="S64" i="3"/>
  <c r="C64" i="3"/>
  <c r="B64" i="3"/>
  <c r="O63" i="3"/>
  <c r="N63" i="3"/>
  <c r="V63" i="3"/>
  <c r="S63" i="3"/>
  <c r="C63" i="3"/>
  <c r="B63" i="3"/>
  <c r="O62" i="3"/>
  <c r="N62" i="3"/>
  <c r="V62" i="3"/>
  <c r="S62" i="3"/>
  <c r="C62" i="3"/>
  <c r="B62" i="3"/>
  <c r="O61" i="3"/>
  <c r="N61" i="3"/>
  <c r="V61" i="3"/>
  <c r="S61" i="3"/>
  <c r="C61" i="3"/>
  <c r="B61" i="3"/>
  <c r="O60" i="3"/>
  <c r="N60" i="3"/>
  <c r="V60" i="3"/>
  <c r="S60" i="3"/>
  <c r="C60" i="3"/>
  <c r="B60" i="3"/>
  <c r="O59" i="3"/>
  <c r="N59" i="3"/>
  <c r="V59" i="3"/>
  <c r="S59" i="3"/>
  <c r="C59" i="3"/>
  <c r="B59" i="3"/>
  <c r="O58" i="3"/>
  <c r="N58" i="3"/>
  <c r="V58" i="3"/>
  <c r="S58" i="3"/>
  <c r="C58" i="3"/>
  <c r="B58" i="3"/>
  <c r="O57" i="3"/>
  <c r="N57" i="3"/>
  <c r="V57" i="3"/>
  <c r="S57" i="3"/>
  <c r="C57" i="3"/>
  <c r="B57" i="3"/>
  <c r="O56" i="3"/>
  <c r="N56" i="3"/>
  <c r="P56" i="3" s="1"/>
  <c r="V56" i="3"/>
  <c r="S56" i="3"/>
  <c r="C56" i="3"/>
  <c r="B56" i="3"/>
  <c r="O55" i="3"/>
  <c r="N55" i="3"/>
  <c r="V55" i="3"/>
  <c r="S55" i="3"/>
  <c r="C55" i="3"/>
  <c r="B55" i="3"/>
  <c r="O54" i="3"/>
  <c r="N54" i="3"/>
  <c r="V54" i="3"/>
  <c r="S54" i="3"/>
  <c r="C54" i="3"/>
  <c r="B54" i="3"/>
  <c r="O53" i="3"/>
  <c r="N53" i="3"/>
  <c r="V53" i="3"/>
  <c r="S53" i="3"/>
  <c r="C53" i="3"/>
  <c r="B53" i="3"/>
  <c r="O52" i="3"/>
  <c r="N52" i="3"/>
  <c r="V52" i="3"/>
  <c r="S52" i="3"/>
  <c r="C52" i="3"/>
  <c r="B52" i="3"/>
  <c r="O51" i="3"/>
  <c r="N51" i="3"/>
  <c r="V51" i="3"/>
  <c r="S51" i="3"/>
  <c r="C51" i="3"/>
  <c r="B51" i="3"/>
  <c r="O50" i="3"/>
  <c r="N50" i="3"/>
  <c r="V50" i="3"/>
  <c r="S50" i="3"/>
  <c r="C50" i="3"/>
  <c r="B50" i="3"/>
  <c r="O49" i="3"/>
  <c r="N49" i="3"/>
  <c r="V49" i="3"/>
  <c r="S49" i="3"/>
  <c r="C49" i="3"/>
  <c r="B49" i="3"/>
  <c r="O48" i="3"/>
  <c r="N48" i="3"/>
  <c r="V48" i="3"/>
  <c r="S48" i="3"/>
  <c r="C48" i="3"/>
  <c r="B48" i="3"/>
  <c r="O47" i="3"/>
  <c r="N47" i="3"/>
  <c r="V47" i="3"/>
  <c r="S47" i="3"/>
  <c r="C47" i="3"/>
  <c r="B47" i="3"/>
  <c r="O46" i="3"/>
  <c r="N46" i="3"/>
  <c r="V46" i="3"/>
  <c r="S46" i="3"/>
  <c r="C46" i="3"/>
  <c r="B46" i="3"/>
  <c r="O45" i="3"/>
  <c r="N45" i="3"/>
  <c r="V45" i="3"/>
  <c r="S45" i="3"/>
  <c r="C45" i="3"/>
  <c r="B45" i="3"/>
  <c r="O44" i="3"/>
  <c r="N44" i="3"/>
  <c r="V44" i="3"/>
  <c r="S44" i="3"/>
  <c r="C44" i="3"/>
  <c r="B44" i="3"/>
  <c r="O43" i="3"/>
  <c r="N43" i="3"/>
  <c r="P43" i="3" s="1"/>
  <c r="V43" i="3"/>
  <c r="S43" i="3"/>
  <c r="C43" i="3"/>
  <c r="B43" i="3"/>
  <c r="O42" i="3"/>
  <c r="N42" i="3"/>
  <c r="V42" i="3"/>
  <c r="S42" i="3"/>
  <c r="C42" i="3"/>
  <c r="B42" i="3"/>
  <c r="O41" i="3"/>
  <c r="N41" i="3"/>
  <c r="V41" i="3"/>
  <c r="S41" i="3"/>
  <c r="C41" i="3"/>
  <c r="B41" i="3"/>
  <c r="O40" i="3"/>
  <c r="N40" i="3"/>
  <c r="V40" i="3"/>
  <c r="S40" i="3"/>
  <c r="C40" i="3"/>
  <c r="B40" i="3"/>
  <c r="O39" i="3"/>
  <c r="N39" i="3"/>
  <c r="V39" i="3"/>
  <c r="S39" i="3"/>
  <c r="C39" i="3"/>
  <c r="B39" i="3"/>
  <c r="O38" i="3"/>
  <c r="N38" i="3"/>
  <c r="V38" i="3"/>
  <c r="S38" i="3"/>
  <c r="C38" i="3"/>
  <c r="B38" i="3"/>
  <c r="O37" i="3"/>
  <c r="N37" i="3"/>
  <c r="V37" i="3"/>
  <c r="S37" i="3"/>
  <c r="C37" i="3"/>
  <c r="B37" i="3"/>
  <c r="O36" i="3"/>
  <c r="N36" i="3"/>
  <c r="V36" i="3"/>
  <c r="S36" i="3"/>
  <c r="C36" i="3"/>
  <c r="B36" i="3"/>
  <c r="O35" i="3"/>
  <c r="N35" i="3"/>
  <c r="V35" i="3"/>
  <c r="S35" i="3"/>
  <c r="C35" i="3"/>
  <c r="B35" i="3"/>
  <c r="V34" i="3"/>
  <c r="S34" i="3"/>
  <c r="C34" i="3"/>
  <c r="B34" i="3"/>
  <c r="V33" i="3"/>
  <c r="S33" i="3"/>
  <c r="C33" i="3"/>
  <c r="B33" i="3"/>
  <c r="O32" i="3"/>
  <c r="N32" i="3"/>
  <c r="V32" i="3"/>
  <c r="S32" i="3"/>
  <c r="C32" i="3"/>
  <c r="B32" i="3"/>
  <c r="O31" i="3"/>
  <c r="N31" i="3"/>
  <c r="V31" i="3"/>
  <c r="S31" i="3"/>
  <c r="C31" i="3"/>
  <c r="B31" i="3"/>
  <c r="O30" i="3"/>
  <c r="N30" i="3"/>
  <c r="V30" i="3"/>
  <c r="S30" i="3"/>
  <c r="C30" i="3"/>
  <c r="B30" i="3"/>
  <c r="O29" i="3"/>
  <c r="N29" i="3"/>
  <c r="V29" i="3"/>
  <c r="S29" i="3"/>
  <c r="C29" i="3"/>
  <c r="B29" i="3"/>
  <c r="O28" i="3"/>
  <c r="N28" i="3"/>
  <c r="V28" i="3"/>
  <c r="S28" i="3"/>
  <c r="C28" i="3"/>
  <c r="B28" i="3"/>
  <c r="V27" i="3"/>
  <c r="S27" i="3"/>
  <c r="C27" i="3"/>
  <c r="B27" i="3"/>
  <c r="V26" i="3"/>
  <c r="S26" i="3"/>
  <c r="C26" i="3"/>
  <c r="B26" i="3"/>
  <c r="O25" i="3"/>
  <c r="N25" i="3"/>
  <c r="V25" i="3"/>
  <c r="S25" i="3"/>
  <c r="C25" i="3"/>
  <c r="B25" i="3"/>
  <c r="O24" i="3"/>
  <c r="N24" i="3"/>
  <c r="V24" i="3"/>
  <c r="S24" i="3"/>
  <c r="C24" i="3"/>
  <c r="B24" i="3"/>
  <c r="O23" i="3"/>
  <c r="N23" i="3"/>
  <c r="V23" i="3"/>
  <c r="S23" i="3"/>
  <c r="C23" i="3"/>
  <c r="B23" i="3"/>
  <c r="O22" i="3"/>
  <c r="P22" i="3" s="1"/>
  <c r="N22" i="3"/>
  <c r="V22" i="3"/>
  <c r="S22" i="3"/>
  <c r="C22" i="3"/>
  <c r="B22" i="3"/>
  <c r="V21" i="3"/>
  <c r="S21" i="3"/>
  <c r="C21" i="3"/>
  <c r="B21" i="3"/>
  <c r="O20" i="3"/>
  <c r="N20" i="3"/>
  <c r="V20" i="3"/>
  <c r="S20" i="3"/>
  <c r="C20" i="3"/>
  <c r="B20" i="3"/>
  <c r="O19" i="3"/>
  <c r="N19" i="3"/>
  <c r="V19" i="3"/>
  <c r="S19" i="3"/>
  <c r="C19" i="3"/>
  <c r="B19" i="3"/>
  <c r="O18" i="3"/>
  <c r="N18" i="3"/>
  <c r="V18" i="3"/>
  <c r="S18" i="3"/>
  <c r="C18" i="3"/>
  <c r="B18" i="3"/>
  <c r="O17" i="3"/>
  <c r="N17" i="3"/>
  <c r="V17" i="3"/>
  <c r="S17" i="3"/>
  <c r="C17" i="3"/>
  <c r="B17" i="3"/>
  <c r="O16" i="3"/>
  <c r="N16" i="3"/>
  <c r="V16" i="3"/>
  <c r="S16" i="3"/>
  <c r="C16" i="3"/>
  <c r="B16" i="3"/>
  <c r="O15" i="3"/>
  <c r="N15" i="3"/>
  <c r="P15" i="3" s="1"/>
  <c r="V15" i="3"/>
  <c r="S15" i="3"/>
  <c r="C15" i="3"/>
  <c r="B15" i="3"/>
  <c r="O14" i="3"/>
  <c r="N14" i="3"/>
  <c r="P14" i="3" s="1"/>
  <c r="V14" i="3"/>
  <c r="S14" i="3"/>
  <c r="C14" i="3"/>
  <c r="B14" i="3"/>
  <c r="O13" i="3"/>
  <c r="N13" i="3"/>
  <c r="V13" i="3"/>
  <c r="S13" i="3"/>
  <c r="C13" i="3"/>
  <c r="B13" i="3"/>
  <c r="O12" i="3"/>
  <c r="N12" i="3"/>
  <c r="V12" i="3"/>
  <c r="S12" i="3"/>
  <c r="C12" i="3"/>
  <c r="B12" i="3"/>
  <c r="O11" i="3"/>
  <c r="N11" i="3"/>
  <c r="V11" i="3"/>
  <c r="S11" i="3"/>
  <c r="C11" i="3"/>
  <c r="B11" i="3"/>
  <c r="O10" i="3"/>
  <c r="N10" i="3"/>
  <c r="V10" i="3"/>
  <c r="S10" i="3"/>
  <c r="C10" i="3"/>
  <c r="B10" i="3"/>
  <c r="O9" i="3"/>
  <c r="N9" i="3"/>
  <c r="V9" i="3"/>
  <c r="S9" i="3"/>
  <c r="C9" i="3"/>
  <c r="B9" i="3"/>
  <c r="O8" i="3"/>
  <c r="N8" i="3"/>
  <c r="V8" i="3"/>
  <c r="S8" i="3"/>
  <c r="C8" i="3"/>
  <c r="B8" i="3"/>
  <c r="O7" i="3"/>
  <c r="N7" i="3"/>
  <c r="V7" i="3"/>
  <c r="S7" i="3"/>
  <c r="C7" i="3"/>
  <c r="B7" i="3"/>
  <c r="O6" i="3"/>
  <c r="N6" i="3"/>
  <c r="P6" i="3" s="1"/>
  <c r="V6" i="3"/>
  <c r="S6" i="3"/>
  <c r="C6" i="3"/>
  <c r="B6" i="3"/>
  <c r="O5" i="3"/>
  <c r="N5" i="3"/>
  <c r="P5" i="3" s="1"/>
  <c r="V5" i="3"/>
  <c r="S5" i="3"/>
  <c r="C5" i="3"/>
  <c r="B5" i="3"/>
  <c r="O4" i="3"/>
  <c r="N4" i="3"/>
  <c r="V4" i="3"/>
  <c r="S4" i="3"/>
  <c r="C4" i="3"/>
  <c r="B4" i="3"/>
  <c r="O3" i="3"/>
  <c r="N3" i="3"/>
  <c r="V3" i="3"/>
  <c r="S3" i="3"/>
  <c r="C3" i="3"/>
  <c r="B3" i="3"/>
  <c r="O2" i="3"/>
  <c r="N2" i="3"/>
  <c r="U199" i="3"/>
  <c r="T199" i="3"/>
  <c r="S2" i="3"/>
  <c r="C2" i="3"/>
  <c r="B2" i="3"/>
  <c r="P49" i="3" l="1"/>
  <c r="P117" i="3"/>
  <c r="P17" i="3"/>
  <c r="P146" i="3"/>
  <c r="P167" i="3"/>
  <c r="P35" i="3"/>
  <c r="P155" i="3"/>
  <c r="P41" i="3"/>
  <c r="P119" i="3"/>
  <c r="P38" i="3"/>
  <c r="P182" i="3"/>
  <c r="P47" i="3"/>
  <c r="P7" i="3"/>
  <c r="P16" i="3"/>
  <c r="P170" i="3"/>
  <c r="P25" i="3"/>
  <c r="P136" i="3"/>
  <c r="P39" i="3"/>
  <c r="P48" i="3"/>
  <c r="P57" i="3"/>
  <c r="P172" i="3"/>
  <c r="P181" i="3"/>
  <c r="S199" i="3"/>
  <c r="P111" i="3"/>
  <c r="P147" i="3"/>
  <c r="P153" i="3"/>
  <c r="P51" i="3"/>
  <c r="P75" i="3"/>
  <c r="P120" i="3"/>
  <c r="P129" i="3"/>
  <c r="P150" i="3"/>
  <c r="P60" i="3"/>
  <c r="P72" i="3"/>
  <c r="P78" i="3"/>
  <c r="P8" i="3"/>
  <c r="P23" i="3"/>
  <c r="P165" i="3"/>
  <c r="P168" i="3"/>
  <c r="P171" i="3"/>
  <c r="P126" i="3"/>
  <c r="P132" i="3"/>
  <c r="P81" i="3"/>
  <c r="P85" i="3"/>
  <c r="P94" i="3"/>
  <c r="P127" i="3"/>
  <c r="P90" i="3"/>
  <c r="P97" i="3"/>
  <c r="P189" i="3"/>
  <c r="P123" i="3"/>
  <c r="P135" i="3"/>
  <c r="P185" i="3"/>
  <c r="P154" i="3"/>
  <c r="P70" i="3"/>
  <c r="G199" i="3"/>
  <c r="P87" i="3"/>
  <c r="P176" i="3"/>
  <c r="P37" i="3"/>
  <c r="P110" i="3"/>
  <c r="P113" i="3"/>
  <c r="J199" i="3"/>
  <c r="P46" i="3"/>
  <c r="P61" i="3"/>
  <c r="P24" i="3"/>
  <c r="P28" i="3"/>
  <c r="P122" i="3"/>
  <c r="P125" i="3"/>
  <c r="P128" i="3"/>
  <c r="P32" i="3"/>
  <c r="P144" i="3"/>
  <c r="P42" i="3"/>
  <c r="P52" i="3"/>
  <c r="P73" i="3"/>
  <c r="P76" i="3"/>
  <c r="P83" i="3"/>
  <c r="P137" i="3"/>
  <c r="P190" i="3"/>
  <c r="P193" i="3"/>
  <c r="P196" i="3"/>
  <c r="M199" i="3"/>
  <c r="P141" i="3"/>
  <c r="P191" i="3"/>
  <c r="P138" i="3"/>
  <c r="P36" i="3"/>
  <c r="P99" i="3"/>
  <c r="P104" i="3"/>
  <c r="P50" i="3"/>
  <c r="P74" i="3"/>
  <c r="P77" i="3"/>
  <c r="P158" i="3"/>
  <c r="P161" i="3"/>
  <c r="P11" i="3"/>
  <c r="P64" i="3"/>
  <c r="P93" i="3"/>
  <c r="P96" i="3"/>
  <c r="P108" i="3"/>
  <c r="P131" i="3"/>
  <c r="P134" i="3"/>
  <c r="P157" i="3"/>
  <c r="P160" i="3"/>
  <c r="P29" i="3"/>
  <c r="P44" i="3"/>
  <c r="P3" i="3"/>
  <c r="P20" i="3"/>
  <c r="P53" i="3"/>
  <c r="P82" i="3"/>
  <c r="P140" i="3"/>
  <c r="P143" i="3"/>
  <c r="P166" i="3"/>
  <c r="P169" i="3"/>
  <c r="P58" i="3"/>
  <c r="P102" i="3"/>
  <c r="P151" i="3"/>
  <c r="P174" i="3"/>
  <c r="P45" i="3"/>
  <c r="P59" i="3"/>
  <c r="P103" i="3"/>
  <c r="P149" i="3"/>
  <c r="P152" i="3"/>
  <c r="P175" i="3"/>
  <c r="P178" i="3"/>
  <c r="P192" i="3"/>
  <c r="P195" i="3"/>
  <c r="P198" i="3"/>
  <c r="P148" i="3"/>
  <c r="P177" i="3"/>
  <c r="P194" i="3"/>
  <c r="P30" i="3"/>
  <c r="P9" i="3"/>
  <c r="P12" i="3"/>
  <c r="P62" i="3"/>
  <c r="P68" i="3"/>
  <c r="P91" i="3"/>
  <c r="P106" i="3"/>
  <c r="P184" i="3"/>
  <c r="P187" i="3"/>
  <c r="P18" i="3"/>
  <c r="P54" i="3"/>
  <c r="P40" i="3"/>
  <c r="P86" i="3"/>
  <c r="P115" i="3"/>
  <c r="P121" i="3"/>
  <c r="P124" i="3"/>
  <c r="P179" i="3"/>
  <c r="P31" i="3"/>
  <c r="P13" i="3"/>
  <c r="P63" i="3"/>
  <c r="P69" i="3"/>
  <c r="P92" i="3"/>
  <c r="P4" i="3"/>
  <c r="P10" i="3"/>
  <c r="P95" i="3"/>
  <c r="P107" i="3"/>
  <c r="P130" i="3"/>
  <c r="P156" i="3"/>
  <c r="P159" i="3"/>
  <c r="P162" i="3"/>
  <c r="P188" i="3"/>
  <c r="N199" i="3"/>
  <c r="O199" i="3"/>
  <c r="P199" i="3" s="1"/>
  <c r="P19" i="3"/>
  <c r="P55" i="3"/>
  <c r="P84" i="3"/>
  <c r="P139" i="3"/>
  <c r="V199" i="3"/>
  <c r="V2" i="3"/>
  <c r="P2" i="3"/>
</calcChain>
</file>

<file path=xl/sharedStrings.xml><?xml version="1.0" encoding="utf-8"?>
<sst xmlns="http://schemas.openxmlformats.org/spreadsheetml/2006/main" count="416" uniqueCount="416">
  <si>
    <t>store_id</t>
  </si>
  <si>
    <t>Address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</si>
  <si>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</si>
  <si>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</si>
  <si>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</si>
  <si>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</si>
  <si>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</si>
  <si>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</si>
  <si>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</si>
  <si>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</si>
  <si>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</si>
  <si>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</si>
  <si>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</si>
  <si>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</si>
  <si>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</si>
  <si>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</si>
  <si>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</si>
  <si>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</si>
  <si>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</si>
  <si>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</si>
  <si>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</si>
  <si>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</si>
  <si>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</si>
  <si>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</si>
  <si>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</si>
  <si>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</si>
  <si>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</si>
  <si>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</si>
  <si>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</si>
  <si>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</si>
  <si>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</si>
  <si>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</si>
  <si>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</si>
  <si>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</si>
  <si>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</si>
  <si>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</si>
  <si>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</si>
  <si>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</si>
  <si>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</si>
  <si>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</si>
  <si>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</si>
  <si>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</si>
  <si>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</si>
  <si>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</si>
  <si>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</si>
  <si>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</si>
  <si>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</si>
  <si>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</si>
  <si>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</si>
  <si>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</si>
  <si>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</si>
  <si>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</si>
  <si>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</si>
  <si>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</si>
  <si>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</si>
  <si>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</si>
  <si>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</si>
  <si>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</si>
  <si>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</si>
  <si>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</si>
  <si>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</si>
  <si>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</si>
  <si>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</si>
  <si>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</si>
  <si>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</si>
  <si>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</si>
  <si>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</si>
  <si>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</si>
  <si>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</si>
  <si>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</si>
  <si>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</si>
  <si>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</si>
  <si>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</si>
  <si>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</si>
  <si>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</si>
  <si>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</si>
  <si>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</si>
  <si>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</si>
  <si>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</si>
  <si>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</si>
  <si>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</si>
  <si>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</si>
  <si>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</si>
  <si>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</si>
  <si>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</si>
  <si>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</si>
  <si>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</si>
  <si>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</si>
  <si>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</si>
  <si>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</si>
  <si>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</si>
  <si>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</si>
  <si>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</si>
  <si>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</si>
  <si>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</si>
  <si>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</si>
  <si>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</si>
  <si>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</si>
  <si>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</si>
  <si>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</si>
  <si>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</si>
  <si>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</si>
  <si>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</si>
  <si>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</si>
  <si>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</si>
  <si>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</si>
  <si>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</si>
  <si>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</si>
  <si>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</si>
  <si>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</si>
  <si>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</si>
  <si>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</si>
  <si>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</si>
  <si>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</si>
  <si>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</si>
  <si>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</si>
  <si>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</si>
  <si>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</si>
  <si>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</si>
  <si>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</si>
  <si>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</si>
  <si>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</si>
  <si>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</si>
  <si>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</si>
  <si>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</si>
  <si>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</si>
  <si>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</si>
  <si>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</si>
  <si>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</si>
  <si>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</si>
  <si>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</si>
  <si>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</si>
  <si>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</si>
  <si>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</si>
  <si>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</si>
  <si>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</si>
  <si>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</si>
  <si>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</si>
  <si>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</si>
  <si>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</si>
  <si>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</si>
  <si>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</si>
  <si>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</si>
  <si>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</si>
  <si>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</si>
  <si>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</si>
  <si>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</si>
  <si>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</si>
  <si>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</si>
  <si>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</si>
  <si>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</si>
  <si>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</si>
  <si>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</si>
  <si>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</si>
  <si>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</si>
  <si>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</si>
  <si>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</si>
  <si>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</si>
  <si>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</si>
  <si>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</si>
  <si>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</si>
  <si>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</si>
  <si>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</si>
  <si>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</si>
  <si>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</si>
  <si>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</si>
  <si>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</si>
  <si>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</si>
  <si>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</si>
  <si>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</si>
  <si>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</si>
  <si>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</si>
  <si>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</si>
  <si>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</si>
  <si>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</si>
  <si>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</si>
  <si>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</si>
  <si>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</si>
  <si>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</si>
  <si>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</si>
  <si>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</si>
  <si>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</si>
  <si>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</si>
  <si>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</si>
  <si>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</si>
  <si>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</si>
  <si>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</si>
  <si>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</si>
  <si>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</si>
  <si>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</si>
  <si>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</si>
  <si>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</si>
  <si>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</si>
  <si>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</si>
  <si>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</si>
  <si>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</si>
  <si>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</si>
  <si>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</si>
  <si>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</si>
  <si>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</si>
  <si>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</si>
  <si>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</si>
  <si>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</si>
  <si>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</si>
  <si>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</si>
  <si>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</si>
  <si>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</si>
  <si>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</si>
  <si>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</si>
  <si>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</si>
  <si>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</si>
  <si>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</si>
  <si>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</si>
  <si>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</si>
  <si>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</si>
  <si>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</si>
  <si>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</si>
  <si>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</si>
  <si>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</si>
  <si>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</si>
  <si>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</si>
  <si>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</si>
  <si>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</si>
  <si>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</si>
  <si>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</si>
  <si>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</si>
  <si>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</si>
  <si>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</si>
  <si>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</si>
  <si>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</si>
  <si>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</si>
  <si>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</si>
  <si>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</si>
  <si>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</si>
  <si>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</si>
  <si>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</si>
  <si>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</si>
  <si>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</si>
  <si>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</si>
  <si>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</si>
  <si>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</si>
  <si>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</si>
  <si>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</si>
  <si>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</si>
  <si>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</si>
  <si>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</si>
  <si>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</si>
  <si>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</si>
  <si>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</si>
  <si>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</si>
  <si>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</si>
  <si>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</si>
  <si>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</si>
  <si>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</si>
  <si>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</si>
  <si>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</si>
  <si>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</si>
  <si>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</si>
  <si>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</si>
  <si>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</si>
  <si>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</si>
  <si>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</si>
  <si>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</si>
  <si>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</si>
  <si>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</si>
  <si>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</si>
  <si>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</si>
  <si>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</si>
  <si>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</si>
  <si>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</si>
  <si>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</si>
  <si>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</si>
  <si>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</si>
  <si>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</si>
  <si>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</si>
  <si>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</si>
  <si>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</si>
  <si>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</si>
  <si>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</si>
  <si>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</si>
  <si>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</si>
  <si>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</si>
  <si>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</si>
  <si>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</si>
  <si>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</si>
  <si>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</si>
  <si>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</si>
  <si>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</si>
  <si>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</si>
  <si>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</si>
  <si>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</si>
  <si>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</si>
  <si>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</si>
  <si>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</si>
  <si>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</si>
  <si>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</si>
  <si>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</si>
  <si>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</si>
  <si>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</si>
  <si>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</si>
  <si>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</si>
  <si>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</si>
  <si>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</si>
  <si>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</si>
  <si>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</si>
  <si>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</si>
  <si>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</si>
  <si>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</si>
  <si>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</si>
  <si>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</si>
  <si>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</si>
  <si>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</si>
  <si>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</si>
  <si>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</si>
  <si>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</si>
  <si>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</si>
  <si>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</si>
  <si>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</si>
  <si>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</si>
  <si>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</si>
  <si>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</si>
  <si>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</si>
  <si>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</si>
  <si>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</si>
  <si>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</si>
  <si>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</si>
  <si>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</si>
  <si>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</si>
  <si>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</si>
  <si>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</si>
  <si>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</si>
  <si>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</si>
  <si>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</si>
  <si>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</si>
  <si>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</si>
  <si>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</si>
  <si>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</si>
  <si>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</si>
  <si>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</si>
  <si>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</si>
  <si>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</si>
  <si>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</si>
  <si>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</si>
  <si>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</si>
  <si>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</si>
  <si>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</si>
  <si>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</si>
  <si>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</si>
  <si>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</si>
  <si>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</si>
  <si>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</si>
  <si>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</si>
  <si>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</si>
  <si>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</si>
  <si>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</si>
  <si>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</si>
  <si>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</si>
  <si>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</si>
  <si>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</si>
  <si>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</si>
  <si>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</si>
  <si>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</si>
  <si>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</si>
  <si>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</si>
  <si>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</si>
  <si>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</si>
  <si>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</si>
  <si>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</si>
  <si>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</si>
  <si>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</si>
  <si>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</si>
  <si>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</si>
  <si>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</si>
  <si>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</si>
  <si>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</si>
  <si>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</si>
  <si>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</si>
  <si>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</si>
  <si>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</si>
  <si>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</si>
  <si>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</si>
  <si>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</si>
  <si>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</si>
  <si>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</si>
  <si>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</si>
  <si>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</si>
  <si>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</si>
  <si>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</si>
  <si>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</si>
  <si>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</si>
  <si>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</si>
  <si>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</si>
  <si>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</si>
  <si>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</si>
  <si>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</si>
  <si>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</si>
  <si>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</si>
  <si>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</si>
  <si>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</si>
  <si>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</si>
  <si>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</si>
  <si>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</si>
  <si>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</si>
  <si>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</si>
  <si>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</si>
  <si>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StoreType</t>
  </si>
  <si>
    <t>Hardware</t>
  </si>
  <si>
    <t>20260521~0527_Total_Member_Amt_Mix</t>
  </si>
  <si>
    <t>20260514~0527_Total_Amt</t>
  </si>
  <si>
    <t>20260514~0527_Total_Member_Amt</t>
  </si>
  <si>
    <t>20260514~0528_SOK_Total_Amt</t>
  </si>
  <si>
    <t>20260514~0528_SOK_Total_Member_Amt</t>
  </si>
  <si>
    <t>20260521~0528_SOK_Total_Member_Amt_Mix</t>
  </si>
  <si>
    <t>Before(2025M12~2025M2)_Total_Amt</t>
  </si>
  <si>
    <t>Before(2025M12~2025M2)_Total_Member_Amt</t>
  </si>
  <si>
    <t>Before(2025M12~2025M2)_Total_Member_Amt_Mix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</si>
</sst>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D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0" fillId="0" borderId="0"/>
  </cellStyleXfs>
  <cellXfs count="16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wrapText="1"/>
    </xf>
    <xf numFmtId="3" fontId="5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10" fontId="8" fillId="0" borderId="0" xfId="0" applyNumberFormat="1" applyFont="1"/>
    <xf numFmtId="0" fontId="9" fillId="0" borderId="0" xfId="1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1" fillId="5" borderId="0" xfId="1" applyNumberFormat="1" applyFill="1"/>
    <xf numFmtId="10" fontId="9" fillId="5" borderId="0" xfId="0" applyNumberFormat="1" applyFont="1" applyFill="1"/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zzahuthk-my.sharepoint.com/personal/lenlin_jrghk_com/Documents/Documents/CRM/TW%20Kiosk%20Member%20Sales%20Mix%20Issue/20260514_19_memberSalesMix.xlsx" TargetMode="External"/><Relationship Id="rId1" Type="http://schemas.openxmlformats.org/officeDocument/2006/relationships/externalLinkPath" Target="https://pizzahuthk-my.sharepoint.com/personal/lenlin_jrghk_com/Documents/Documents/CRM/TW%20Kiosk%20Member%20Sales%20Mix%20Issue/20260514_19_memberSalesMix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PHT/MAIN/PIZZAHUT.TWN/FAD_DEPT/03budget/P&amp;L/2002LF-P&amp;L(Jun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PHT/MAIN/PIZZAHUT.TWN/FAD_DEPT/04budget/Template/HC%20Planning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92.168.1.151/STELLA/Stella&#31199;&#37329;&#20132;&#25509;&#36039;&#26009;/Rental/JFSRent/&#31199;&#37329;&#25187;&#32371;&#31237;/&#32371;&#31237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92.168.1.151/dept_fad/My%20Documents/COS-BUD/COS%20Budget/2014%20Budget%20data/2014%20COS%20M8%20LF/2014%20File%20M8/4.COS%20model-2014M8%20LF%20YTM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0.200.13.32/gzcg/PHD/2010/Redbook/10p02/Redbook/5.%20PHD%20RB%20P21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UKEQVSB01/ERUtility/TELECOM/Telecom%20new/Companies/Portugal%20Telecom/Models/Work%20in%20Progress/Portugal%20Teleco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Sghhyp03/planning/Yum/P10%2007/2008%20AOP%20Financial%20Plan_18%20Oc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0.215.11.248/mkt_demo_mgt/settings/Desktop/San%20Shang/Addresss/&#19977;&#21830;&#30334;&#36008;&#21508;&#24215;-&#38651;&#35441;.&#22320;&#223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twnfil06.jffr.com/public$/GL/&#26757;&#29645;/BUD/2013BUD/FT/GL/Peggy/&#34218;&#36039;/STAFF/YUM-STAFF/2005/YUM2005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2"/>
      <sheetName val="v1 (for data team)"/>
      <sheetName val="SOK May14-28"/>
      <sheetName val="HardwareList"/>
      <sheetName val="v1 (backup)"/>
    </sheetNames>
    <sheetDataSet>
      <sheetData sheetId="0"/>
      <sheetData sheetId="1"/>
      <sheetData sheetId="2"/>
      <sheetData sheetId="3">
        <row r="1">
          <cell r="A1" t="str">
            <v>shopcode</v>
          </cell>
          <cell r="B1" t="str">
            <v>餐廳名稱</v>
          </cell>
          <cell r="C1" t="str">
            <v>店型</v>
          </cell>
          <cell r="D1" t="str">
            <v>型號</v>
          </cell>
          <cell r="E1" t="str">
            <v>kiosk總數</v>
          </cell>
          <cell r="F1" t="str">
            <v>.16</v>
          </cell>
          <cell r="G1" t="str">
            <v>.17</v>
          </cell>
          <cell r="H1" t="str">
            <v>.18</v>
          </cell>
          <cell r="I1" t="str">
            <v>.19</v>
          </cell>
        </row>
        <row r="2">
          <cell r="A2" t="str">
            <v>TWB506</v>
          </cell>
          <cell r="B2" t="str">
            <v>屏東逢甲</v>
          </cell>
          <cell r="C2" t="str">
            <v>一般店</v>
          </cell>
          <cell r="D2" t="str">
            <v>V4</v>
          </cell>
          <cell r="E2">
            <v>2</v>
          </cell>
          <cell r="F2" t="str">
            <v>Y</v>
          </cell>
          <cell r="G2" t="str">
            <v>Y</v>
          </cell>
          <cell r="H2" t="str">
            <v>N</v>
          </cell>
          <cell r="I2" t="str">
            <v>N</v>
          </cell>
        </row>
        <row r="3">
          <cell r="A3" t="str">
            <v>TWB513</v>
          </cell>
          <cell r="B3" t="str">
            <v>鳳山中山</v>
          </cell>
          <cell r="C3" t="str">
            <v>一般店</v>
          </cell>
          <cell r="D3" t="str">
            <v>V4</v>
          </cell>
          <cell r="E3">
            <v>2</v>
          </cell>
          <cell r="F3" t="str">
            <v>Y</v>
          </cell>
          <cell r="G3" t="str">
            <v>Y</v>
          </cell>
          <cell r="H3" t="str">
            <v>N</v>
          </cell>
          <cell r="I3" t="str">
            <v>N</v>
          </cell>
        </row>
        <row r="4">
          <cell r="A4" t="str">
            <v>TWB516</v>
          </cell>
          <cell r="B4" t="str">
            <v>中壢中正</v>
          </cell>
          <cell r="C4" t="str">
            <v>一般店</v>
          </cell>
          <cell r="D4" t="str">
            <v>V2</v>
          </cell>
          <cell r="E4">
            <v>2</v>
          </cell>
          <cell r="F4" t="str">
            <v>Y</v>
          </cell>
          <cell r="G4" t="str">
            <v>Y</v>
          </cell>
          <cell r="H4" t="str">
            <v>N</v>
          </cell>
          <cell r="I4" t="str">
            <v>N</v>
          </cell>
        </row>
        <row r="5">
          <cell r="A5" t="str">
            <v>TWB522</v>
          </cell>
          <cell r="B5" t="str">
            <v>新店北新</v>
          </cell>
          <cell r="C5" t="str">
            <v>數位店</v>
          </cell>
          <cell r="D5" t="str">
            <v>D2</v>
          </cell>
          <cell r="E5">
            <v>3</v>
          </cell>
          <cell r="F5" t="str">
            <v>Y</v>
          </cell>
          <cell r="G5" t="str">
            <v>Y</v>
          </cell>
          <cell r="H5" t="str">
            <v>Y</v>
          </cell>
          <cell r="I5" t="str">
            <v>N</v>
          </cell>
        </row>
        <row r="6">
          <cell r="A6" t="str">
            <v>TWB528</v>
          </cell>
          <cell r="B6" t="str">
            <v>台中豐原</v>
          </cell>
          <cell r="C6" t="str">
            <v>數位店</v>
          </cell>
          <cell r="D6" t="str">
            <v>V4</v>
          </cell>
          <cell r="E6">
            <v>4</v>
          </cell>
          <cell r="F6" t="str">
            <v>Y</v>
          </cell>
          <cell r="G6" t="str">
            <v>Y</v>
          </cell>
          <cell r="H6" t="str">
            <v>Y</v>
          </cell>
          <cell r="I6" t="str">
            <v>Y</v>
          </cell>
        </row>
        <row r="7">
          <cell r="A7" t="str">
            <v>TWB533</v>
          </cell>
          <cell r="B7" t="str">
            <v>台北士林</v>
          </cell>
          <cell r="C7" t="str">
            <v>一般店</v>
          </cell>
          <cell r="D7" t="str">
            <v>V2</v>
          </cell>
          <cell r="E7">
            <v>2</v>
          </cell>
          <cell r="F7" t="str">
            <v>Y</v>
          </cell>
          <cell r="G7" t="str">
            <v>Y</v>
          </cell>
          <cell r="H7" t="str">
            <v>N</v>
          </cell>
          <cell r="I7" t="str">
            <v>N</v>
          </cell>
        </row>
        <row r="8">
          <cell r="A8" t="str">
            <v>TWB537</v>
          </cell>
          <cell r="B8" t="str">
            <v>基隆忠二</v>
          </cell>
          <cell r="C8" t="str">
            <v>一般店</v>
          </cell>
          <cell r="D8" t="str">
            <v>V4</v>
          </cell>
          <cell r="E8">
            <v>0</v>
          </cell>
        </row>
        <row r="9">
          <cell r="A9" t="str">
            <v>TWB544</v>
          </cell>
          <cell r="B9" t="str">
            <v>中壢中和</v>
          </cell>
          <cell r="C9" t="str">
            <v>一般店</v>
          </cell>
          <cell r="D9" t="str">
            <v>V2</v>
          </cell>
          <cell r="E9">
            <v>2</v>
          </cell>
          <cell r="F9" t="str">
            <v>Y</v>
          </cell>
          <cell r="G9" t="str">
            <v>Y</v>
          </cell>
          <cell r="H9" t="str">
            <v>N</v>
          </cell>
          <cell r="I9" t="str">
            <v>N</v>
          </cell>
        </row>
        <row r="10">
          <cell r="A10" t="str">
            <v>TWB550</v>
          </cell>
          <cell r="B10" t="str">
            <v>嘉義垂楊</v>
          </cell>
          <cell r="C10" t="str">
            <v>數位店</v>
          </cell>
          <cell r="D10" t="str">
            <v>V4</v>
          </cell>
          <cell r="E10">
            <v>3</v>
          </cell>
          <cell r="F10" t="str">
            <v>Y</v>
          </cell>
          <cell r="G10" t="str">
            <v>Y</v>
          </cell>
          <cell r="H10" t="str">
            <v>Y</v>
          </cell>
          <cell r="I10" t="str">
            <v>N</v>
          </cell>
        </row>
        <row r="11">
          <cell r="A11" t="str">
            <v>TWB553</v>
          </cell>
          <cell r="B11" t="str">
            <v>高雄岡山</v>
          </cell>
          <cell r="C11" t="str">
            <v>一般店</v>
          </cell>
          <cell r="D11" t="str">
            <v>V3</v>
          </cell>
          <cell r="E11">
            <v>2</v>
          </cell>
          <cell r="F11" t="str">
            <v>Y</v>
          </cell>
          <cell r="G11" t="str">
            <v>Y</v>
          </cell>
          <cell r="H11" t="str">
            <v>N</v>
          </cell>
          <cell r="I11" t="str">
            <v>N</v>
          </cell>
        </row>
        <row r="12">
          <cell r="A12" t="str">
            <v>TWB556</v>
          </cell>
          <cell r="B12" t="str">
            <v>台南崇明</v>
          </cell>
          <cell r="C12" t="str">
            <v>一般店</v>
          </cell>
          <cell r="D12" t="str">
            <v>V2*.16, V3*.17</v>
          </cell>
          <cell r="E12">
            <v>2</v>
          </cell>
          <cell r="F12" t="str">
            <v>Y</v>
          </cell>
          <cell r="G12" t="str">
            <v>Y</v>
          </cell>
          <cell r="H12" t="str">
            <v>N</v>
          </cell>
          <cell r="I12" t="str">
            <v>N</v>
          </cell>
        </row>
        <row r="13">
          <cell r="A13" t="str">
            <v>TWB559</v>
          </cell>
          <cell r="B13" t="str">
            <v>高雄三多</v>
          </cell>
          <cell r="C13" t="str">
            <v>一般店</v>
          </cell>
          <cell r="D13" t="str">
            <v>V4</v>
          </cell>
          <cell r="E13">
            <v>2</v>
          </cell>
          <cell r="F13" t="str">
            <v>Y</v>
          </cell>
          <cell r="G13" t="str">
            <v>Y</v>
          </cell>
          <cell r="H13" t="str">
            <v>N</v>
          </cell>
          <cell r="I13" t="str">
            <v>N</v>
          </cell>
        </row>
        <row r="14">
          <cell r="A14" t="str">
            <v>TWB561</v>
          </cell>
          <cell r="B14" t="str">
            <v>新店光明</v>
          </cell>
          <cell r="C14" t="str">
            <v>一般店</v>
          </cell>
          <cell r="D14" t="str">
            <v>V4</v>
          </cell>
          <cell r="E14">
            <v>2</v>
          </cell>
          <cell r="F14" t="str">
            <v>Y</v>
          </cell>
          <cell r="G14" t="str">
            <v>Y</v>
          </cell>
          <cell r="H14" t="str">
            <v>N</v>
          </cell>
          <cell r="I14" t="str">
            <v>N</v>
          </cell>
        </row>
        <row r="15">
          <cell r="A15" t="str">
            <v>TWB562</v>
          </cell>
          <cell r="B15" t="str">
            <v>新竹竹北</v>
          </cell>
          <cell r="C15" t="str">
            <v>數位店</v>
          </cell>
          <cell r="D15" t="str">
            <v>V4</v>
          </cell>
          <cell r="E15">
            <v>4</v>
          </cell>
          <cell r="F15" t="str">
            <v>Y</v>
          </cell>
          <cell r="G15" t="str">
            <v>Y</v>
          </cell>
          <cell r="H15" t="str">
            <v>Y</v>
          </cell>
          <cell r="I15" t="str">
            <v>Y</v>
          </cell>
        </row>
        <row r="16">
          <cell r="A16" t="str">
            <v>TWB568</v>
          </cell>
          <cell r="B16" t="str">
            <v>彰化員林</v>
          </cell>
          <cell r="C16" t="str">
            <v>數位店</v>
          </cell>
          <cell r="D16" t="str">
            <v>V4</v>
          </cell>
          <cell r="E16">
            <v>4</v>
          </cell>
          <cell r="F16" t="str">
            <v>Y</v>
          </cell>
          <cell r="G16" t="str">
            <v>Y</v>
          </cell>
          <cell r="H16" t="str">
            <v>Y</v>
          </cell>
          <cell r="I16" t="str">
            <v>Y</v>
          </cell>
        </row>
        <row r="17">
          <cell r="A17" t="str">
            <v>TWB570</v>
          </cell>
          <cell r="B17" t="str">
            <v>台南永康</v>
          </cell>
          <cell r="C17" t="str">
            <v>一般店</v>
          </cell>
          <cell r="D17" t="str">
            <v>V4</v>
          </cell>
          <cell r="E17">
            <v>2</v>
          </cell>
          <cell r="F17" t="str">
            <v>Y</v>
          </cell>
          <cell r="G17" t="str">
            <v>Y</v>
          </cell>
          <cell r="H17" t="str">
            <v>N</v>
          </cell>
          <cell r="I17" t="str">
            <v>N</v>
          </cell>
        </row>
        <row r="18">
          <cell r="A18" t="str">
            <v>TWB576</v>
          </cell>
          <cell r="B18" t="str">
            <v>高雄楠梓二</v>
          </cell>
          <cell r="C18" t="str">
            <v>數位店</v>
          </cell>
          <cell r="D18" t="str">
            <v>V4</v>
          </cell>
          <cell r="E18">
            <v>4</v>
          </cell>
          <cell r="F18" t="str">
            <v>Y</v>
          </cell>
          <cell r="G18" t="str">
            <v>Y</v>
          </cell>
          <cell r="H18" t="str">
            <v>Y</v>
          </cell>
          <cell r="I18" t="str">
            <v>Y</v>
          </cell>
        </row>
        <row r="19">
          <cell r="A19" t="str">
            <v>TWB580</v>
          </cell>
          <cell r="B19" t="str">
            <v>苗栗頭份</v>
          </cell>
          <cell r="C19" t="str">
            <v>一般店</v>
          </cell>
          <cell r="D19" t="str">
            <v>D1</v>
          </cell>
          <cell r="E19">
            <v>2</v>
          </cell>
          <cell r="F19" t="str">
            <v>Y</v>
          </cell>
          <cell r="G19" t="str">
            <v>Y</v>
          </cell>
          <cell r="H19" t="str">
            <v>N</v>
          </cell>
          <cell r="I19" t="str">
            <v>N</v>
          </cell>
        </row>
        <row r="20">
          <cell r="A20" t="str">
            <v>TWB582</v>
          </cell>
          <cell r="B20" t="str">
            <v>雲林虎尾</v>
          </cell>
          <cell r="C20" t="str">
            <v>數位店</v>
          </cell>
          <cell r="D20" t="str">
            <v>V4</v>
          </cell>
          <cell r="E20">
            <v>4</v>
          </cell>
          <cell r="F20" t="str">
            <v>Y</v>
          </cell>
          <cell r="G20" t="str">
            <v>Y</v>
          </cell>
          <cell r="H20" t="str">
            <v>Y</v>
          </cell>
          <cell r="I20" t="str">
            <v>Y</v>
          </cell>
        </row>
        <row r="21">
          <cell r="A21" t="str">
            <v>TWB585</v>
          </cell>
          <cell r="B21" t="str">
            <v>大里國光</v>
          </cell>
          <cell r="C21" t="str">
            <v>一般店</v>
          </cell>
          <cell r="D21" t="str">
            <v>V4</v>
          </cell>
          <cell r="E21">
            <v>2</v>
          </cell>
          <cell r="F21" t="str">
            <v>Y</v>
          </cell>
          <cell r="G21" t="str">
            <v>Y</v>
          </cell>
          <cell r="H21" t="str">
            <v>N</v>
          </cell>
          <cell r="I21" t="str">
            <v>N</v>
          </cell>
        </row>
        <row r="22">
          <cell r="A22" t="str">
            <v>TWB587</v>
          </cell>
          <cell r="B22" t="str">
            <v>新竹民生</v>
          </cell>
          <cell r="C22" t="str">
            <v>數位店</v>
          </cell>
          <cell r="D22" t="str">
            <v>V4</v>
          </cell>
          <cell r="E22">
            <v>4</v>
          </cell>
          <cell r="F22" t="str">
            <v>Y</v>
          </cell>
          <cell r="G22" t="str">
            <v>Y</v>
          </cell>
          <cell r="H22" t="str">
            <v>Y</v>
          </cell>
          <cell r="I22" t="str">
            <v>Y</v>
          </cell>
        </row>
        <row r="23">
          <cell r="A23" t="str">
            <v>TWB593</v>
          </cell>
          <cell r="B23" t="str">
            <v>台中大雅</v>
          </cell>
          <cell r="C23" t="str">
            <v>一般店</v>
          </cell>
          <cell r="D23" t="str">
            <v>V4</v>
          </cell>
          <cell r="E23">
            <v>2</v>
          </cell>
          <cell r="F23" t="str">
            <v>Y</v>
          </cell>
          <cell r="G23" t="str">
            <v>Y</v>
          </cell>
          <cell r="H23" t="str">
            <v>N</v>
          </cell>
          <cell r="I23" t="str">
            <v>N</v>
          </cell>
        </row>
        <row r="24">
          <cell r="A24" t="str">
            <v>TWB594</v>
          </cell>
          <cell r="B24" t="str">
            <v>新竹亞太</v>
          </cell>
          <cell r="C24" t="str">
            <v>一般店</v>
          </cell>
          <cell r="D24" t="str">
            <v>V2</v>
          </cell>
          <cell r="E24">
            <v>2</v>
          </cell>
          <cell r="F24" t="str">
            <v>Y</v>
          </cell>
          <cell r="G24" t="str">
            <v>Y</v>
          </cell>
          <cell r="H24" t="str">
            <v>N</v>
          </cell>
          <cell r="I24" t="str">
            <v>N</v>
          </cell>
        </row>
        <row r="25">
          <cell r="A25" t="str">
            <v>TWB597</v>
          </cell>
          <cell r="B25" t="str">
            <v>新營中正</v>
          </cell>
          <cell r="C25" t="str">
            <v>一般店</v>
          </cell>
          <cell r="D25" t="str">
            <v>V4</v>
          </cell>
          <cell r="E25">
            <v>2</v>
          </cell>
          <cell r="F25" t="str">
            <v>Y</v>
          </cell>
          <cell r="G25" t="str">
            <v>Y</v>
          </cell>
          <cell r="H25" t="str">
            <v>N</v>
          </cell>
          <cell r="I25" t="str">
            <v>N</v>
          </cell>
        </row>
        <row r="26">
          <cell r="A26" t="str">
            <v>TWB600</v>
          </cell>
          <cell r="B26" t="str">
            <v>淡水竹圍</v>
          </cell>
          <cell r="C26" t="str">
            <v>一般店</v>
          </cell>
          <cell r="D26" t="str">
            <v>V4</v>
          </cell>
          <cell r="E26">
            <v>2</v>
          </cell>
          <cell r="F26" t="str">
            <v>Y</v>
          </cell>
          <cell r="G26" t="str">
            <v>Y</v>
          </cell>
          <cell r="H26" t="str">
            <v>N</v>
          </cell>
          <cell r="I26" t="str">
            <v>N</v>
          </cell>
        </row>
        <row r="27">
          <cell r="A27" t="str">
            <v>TWI007</v>
          </cell>
          <cell r="B27" t="str">
            <v>彰化中山</v>
          </cell>
          <cell r="C27" t="str">
            <v>一般店</v>
          </cell>
          <cell r="D27" t="str">
            <v>V4</v>
          </cell>
          <cell r="E27">
            <v>2</v>
          </cell>
          <cell r="F27" t="str">
            <v>Y</v>
          </cell>
          <cell r="G27" t="str">
            <v>Y</v>
          </cell>
          <cell r="H27" t="str">
            <v>N</v>
          </cell>
          <cell r="I27" t="str">
            <v>N</v>
          </cell>
        </row>
        <row r="28">
          <cell r="A28" t="str">
            <v>TWI008</v>
          </cell>
          <cell r="B28" t="str">
            <v>永和中正</v>
          </cell>
          <cell r="C28" t="str">
            <v>一般店</v>
          </cell>
          <cell r="D28" t="str">
            <v>V3</v>
          </cell>
          <cell r="E28">
            <v>2</v>
          </cell>
          <cell r="F28" t="str">
            <v>Y</v>
          </cell>
          <cell r="G28" t="str">
            <v>Y</v>
          </cell>
          <cell r="H28" t="str">
            <v>N</v>
          </cell>
          <cell r="I28" t="str">
            <v>N</v>
          </cell>
        </row>
        <row r="29">
          <cell r="A29" t="str">
            <v>TWI010</v>
          </cell>
          <cell r="B29" t="str">
            <v>台中文心</v>
          </cell>
          <cell r="C29" t="str">
            <v>一般店</v>
          </cell>
          <cell r="D29" t="str">
            <v>V2</v>
          </cell>
          <cell r="E29">
            <v>2</v>
          </cell>
          <cell r="F29" t="str">
            <v>Y</v>
          </cell>
          <cell r="G29" t="str">
            <v>Y</v>
          </cell>
          <cell r="H29" t="str">
            <v>N</v>
          </cell>
          <cell r="I29" t="str">
            <v>N</v>
          </cell>
        </row>
        <row r="30">
          <cell r="A30" t="str">
            <v>TWI011</v>
          </cell>
          <cell r="B30" t="str">
            <v>樹林中山</v>
          </cell>
          <cell r="C30" t="str">
            <v>一般店</v>
          </cell>
          <cell r="D30" t="str">
            <v>V3</v>
          </cell>
          <cell r="E30">
            <v>2</v>
          </cell>
          <cell r="F30" t="str">
            <v>Y</v>
          </cell>
          <cell r="G30" t="str">
            <v>Y</v>
          </cell>
          <cell r="H30" t="str">
            <v>N</v>
          </cell>
          <cell r="I30" t="str">
            <v>N</v>
          </cell>
        </row>
        <row r="31">
          <cell r="A31" t="str">
            <v>TWI012</v>
          </cell>
          <cell r="B31" t="str">
            <v>台南中華</v>
          </cell>
          <cell r="C31" t="str">
            <v>數位店</v>
          </cell>
          <cell r="D31" t="str">
            <v>V4</v>
          </cell>
          <cell r="E31">
            <v>4</v>
          </cell>
          <cell r="F31" t="str">
            <v>Y</v>
          </cell>
          <cell r="G31" t="str">
            <v>Y</v>
          </cell>
          <cell r="H31" t="str">
            <v>Y</v>
          </cell>
          <cell r="I31" t="str">
            <v>Y</v>
          </cell>
        </row>
        <row r="32">
          <cell r="A32" t="str">
            <v>TWI013</v>
          </cell>
          <cell r="B32" t="str">
            <v>新竹光復</v>
          </cell>
          <cell r="C32" t="str">
            <v>數位店</v>
          </cell>
          <cell r="D32" t="str">
            <v>V4</v>
          </cell>
          <cell r="E32">
            <v>3</v>
          </cell>
          <cell r="F32" t="str">
            <v>Y</v>
          </cell>
          <cell r="G32" t="str">
            <v>Y</v>
          </cell>
          <cell r="H32" t="str">
            <v>Y</v>
          </cell>
          <cell r="I32" t="str">
            <v>N</v>
          </cell>
        </row>
        <row r="33">
          <cell r="A33" t="str">
            <v>TWI018</v>
          </cell>
          <cell r="B33" t="str">
            <v>林口復興</v>
          </cell>
          <cell r="C33" t="str">
            <v>數位店</v>
          </cell>
          <cell r="D33" t="str">
            <v>V4</v>
          </cell>
          <cell r="E33">
            <v>3</v>
          </cell>
          <cell r="F33" t="str">
            <v>Y</v>
          </cell>
          <cell r="G33" t="str">
            <v>Y</v>
          </cell>
          <cell r="H33" t="str">
            <v>Y</v>
          </cell>
          <cell r="I33" t="str">
            <v>N</v>
          </cell>
        </row>
        <row r="34">
          <cell r="A34" t="str">
            <v>TWI019</v>
          </cell>
          <cell r="B34" t="str">
            <v>板橋埔墘</v>
          </cell>
          <cell r="C34" t="str">
            <v>一般店</v>
          </cell>
          <cell r="D34" t="str">
            <v>V3</v>
          </cell>
          <cell r="E34">
            <v>2</v>
          </cell>
          <cell r="F34" t="str">
            <v>Y</v>
          </cell>
          <cell r="G34" t="str">
            <v>Y</v>
          </cell>
          <cell r="H34" t="str">
            <v>N</v>
          </cell>
          <cell r="I34" t="str">
            <v>N</v>
          </cell>
        </row>
        <row r="35">
          <cell r="A35" t="str">
            <v>TWI021</v>
          </cell>
          <cell r="B35" t="str">
            <v>台中永福</v>
          </cell>
          <cell r="C35" t="str">
            <v>一般店</v>
          </cell>
          <cell r="D35" t="str">
            <v>V2</v>
          </cell>
          <cell r="E35">
            <v>2</v>
          </cell>
          <cell r="F35" t="str">
            <v>Y</v>
          </cell>
          <cell r="G35" t="str">
            <v>Y</v>
          </cell>
          <cell r="H35" t="str">
            <v>N</v>
          </cell>
          <cell r="I35" t="str">
            <v>N</v>
          </cell>
        </row>
        <row r="36">
          <cell r="A36" t="str">
            <v>TWI022</v>
          </cell>
          <cell r="B36" t="str">
            <v>三重三和</v>
          </cell>
          <cell r="C36" t="str">
            <v>數位店</v>
          </cell>
          <cell r="D36" t="str">
            <v>V4</v>
          </cell>
          <cell r="E36">
            <v>3</v>
          </cell>
          <cell r="F36" t="str">
            <v>Y</v>
          </cell>
          <cell r="G36" t="str">
            <v>Y</v>
          </cell>
          <cell r="H36" t="str">
            <v>Y</v>
          </cell>
          <cell r="I36" t="str">
            <v>N</v>
          </cell>
        </row>
        <row r="37">
          <cell r="A37" t="str">
            <v>TWI023</v>
          </cell>
          <cell r="B37" t="str">
            <v>中和興南</v>
          </cell>
          <cell r="C37" t="str">
            <v>一般店</v>
          </cell>
          <cell r="D37" t="str">
            <v>V3</v>
          </cell>
          <cell r="E37">
            <v>2</v>
          </cell>
          <cell r="F37" t="str">
            <v>Y</v>
          </cell>
          <cell r="G37" t="str">
            <v>Y</v>
          </cell>
          <cell r="H37" t="str">
            <v>N</v>
          </cell>
          <cell r="I37" t="str">
            <v>N</v>
          </cell>
        </row>
        <row r="38">
          <cell r="A38" t="str">
            <v>TWI024</v>
          </cell>
          <cell r="B38" t="str">
            <v>新莊中港</v>
          </cell>
          <cell r="C38" t="str">
            <v>一般店</v>
          </cell>
          <cell r="D38" t="str">
            <v>V3</v>
          </cell>
          <cell r="E38">
            <v>2</v>
          </cell>
          <cell r="F38" t="str">
            <v>Y</v>
          </cell>
          <cell r="G38" t="str">
            <v>Y</v>
          </cell>
          <cell r="H38" t="str">
            <v>N</v>
          </cell>
          <cell r="I38" t="str">
            <v>N</v>
          </cell>
        </row>
        <row r="39">
          <cell r="A39" t="str">
            <v>TWI025</v>
          </cell>
          <cell r="B39" t="str">
            <v>苗栗中正</v>
          </cell>
          <cell r="C39" t="str">
            <v>一般店</v>
          </cell>
          <cell r="D39" t="str">
            <v>V3</v>
          </cell>
          <cell r="E39">
            <v>2</v>
          </cell>
          <cell r="F39" t="str">
            <v>Y</v>
          </cell>
          <cell r="G39" t="str">
            <v>Y</v>
          </cell>
          <cell r="H39" t="str">
            <v>N</v>
          </cell>
          <cell r="I39" t="str">
            <v>N</v>
          </cell>
        </row>
        <row r="40">
          <cell r="A40" t="str">
            <v>TWI031</v>
          </cell>
          <cell r="B40" t="str">
            <v>彰化金馬</v>
          </cell>
          <cell r="C40" t="str">
            <v>一般店</v>
          </cell>
          <cell r="D40" t="str">
            <v>V4</v>
          </cell>
          <cell r="E40">
            <v>2</v>
          </cell>
          <cell r="F40" t="str">
            <v>Y</v>
          </cell>
          <cell r="G40" t="str">
            <v>Y</v>
          </cell>
          <cell r="H40" t="str">
            <v>N</v>
          </cell>
          <cell r="I40" t="str">
            <v>N</v>
          </cell>
        </row>
        <row r="41">
          <cell r="A41" t="str">
            <v>TWI035</v>
          </cell>
          <cell r="B41" t="str">
            <v>台中五權西</v>
          </cell>
          <cell r="C41" t="str">
            <v>數位店</v>
          </cell>
          <cell r="D41" t="str">
            <v>V4</v>
          </cell>
          <cell r="E41">
            <v>4</v>
          </cell>
          <cell r="F41" t="str">
            <v>Y</v>
          </cell>
          <cell r="G41" t="str">
            <v>Y</v>
          </cell>
          <cell r="H41" t="str">
            <v>Y</v>
          </cell>
          <cell r="I41" t="str">
            <v>Y</v>
          </cell>
        </row>
        <row r="42">
          <cell r="A42" t="str">
            <v>TWI036</v>
          </cell>
          <cell r="B42" t="str">
            <v>嘉義忠孝</v>
          </cell>
          <cell r="C42" t="str">
            <v>一般店</v>
          </cell>
          <cell r="D42" t="str">
            <v>V2</v>
          </cell>
          <cell r="E42">
            <v>1</v>
          </cell>
          <cell r="F42" t="str">
            <v>Y</v>
          </cell>
          <cell r="G42" t="str">
            <v>N</v>
          </cell>
          <cell r="H42" t="str">
            <v>N</v>
          </cell>
          <cell r="I42" t="str">
            <v>N</v>
          </cell>
        </row>
        <row r="43">
          <cell r="A43" t="str">
            <v>TWI038</v>
          </cell>
          <cell r="B43" t="str">
            <v>鳳山五甲一</v>
          </cell>
          <cell r="C43" t="str">
            <v>數位店</v>
          </cell>
          <cell r="D43" t="str">
            <v>V4</v>
          </cell>
          <cell r="E43">
            <v>4</v>
          </cell>
          <cell r="F43" t="str">
            <v>Y</v>
          </cell>
          <cell r="G43" t="str">
            <v>Y</v>
          </cell>
          <cell r="H43" t="str">
            <v>Y</v>
          </cell>
          <cell r="I43" t="str">
            <v>Y</v>
          </cell>
        </row>
        <row r="44">
          <cell r="A44" t="str">
            <v>TWI040</v>
          </cell>
          <cell r="B44" t="str">
            <v>台中五權</v>
          </cell>
          <cell r="C44" t="str">
            <v>數位店</v>
          </cell>
          <cell r="D44" t="str">
            <v>V4</v>
          </cell>
          <cell r="E44">
            <v>4</v>
          </cell>
          <cell r="F44" t="str">
            <v>Y</v>
          </cell>
          <cell r="G44" t="str">
            <v>Y</v>
          </cell>
          <cell r="H44" t="str">
            <v>Y</v>
          </cell>
          <cell r="I44" t="str">
            <v>Y</v>
          </cell>
        </row>
        <row r="45">
          <cell r="A45" t="str">
            <v>TWI041</v>
          </cell>
          <cell r="B45" t="str">
            <v>楊梅中山</v>
          </cell>
          <cell r="C45" t="str">
            <v>一般店</v>
          </cell>
          <cell r="D45" t="str">
            <v>V4</v>
          </cell>
          <cell r="E45">
            <v>2</v>
          </cell>
          <cell r="F45" t="str">
            <v>Y</v>
          </cell>
          <cell r="G45" t="str">
            <v>Y</v>
          </cell>
          <cell r="H45" t="str">
            <v>N</v>
          </cell>
          <cell r="I45" t="str">
            <v>N</v>
          </cell>
        </row>
        <row r="46">
          <cell r="A46" t="str">
            <v>TWI043</v>
          </cell>
          <cell r="B46" t="str">
            <v>高雄大順二</v>
          </cell>
          <cell r="C46" t="str">
            <v>一般店</v>
          </cell>
          <cell r="D46" t="str">
            <v>V3</v>
          </cell>
          <cell r="E46">
            <v>2</v>
          </cell>
          <cell r="F46" t="str">
            <v>Y</v>
          </cell>
          <cell r="G46" t="str">
            <v>Y</v>
          </cell>
          <cell r="H46" t="str">
            <v>N</v>
          </cell>
          <cell r="I46" t="str">
            <v>N</v>
          </cell>
        </row>
        <row r="47">
          <cell r="A47" t="str">
            <v>TWI044</v>
          </cell>
          <cell r="B47" t="str">
            <v>高雄自由</v>
          </cell>
          <cell r="C47" t="str">
            <v>一般店</v>
          </cell>
          <cell r="D47" t="str">
            <v>V3</v>
          </cell>
          <cell r="E47">
            <v>2</v>
          </cell>
          <cell r="F47" t="str">
            <v>Y</v>
          </cell>
          <cell r="G47" t="str">
            <v>Y</v>
          </cell>
          <cell r="H47" t="str">
            <v>N</v>
          </cell>
          <cell r="I47" t="str">
            <v>N</v>
          </cell>
        </row>
        <row r="48">
          <cell r="A48" t="str">
            <v>TWI046</v>
          </cell>
          <cell r="B48" t="str">
            <v>高雄沿海</v>
          </cell>
          <cell r="C48" t="str">
            <v>一般店</v>
          </cell>
          <cell r="D48" t="str">
            <v>V3</v>
          </cell>
          <cell r="E48">
            <v>2</v>
          </cell>
          <cell r="F48" t="str">
            <v>Y</v>
          </cell>
          <cell r="G48" t="str">
            <v>Y</v>
          </cell>
          <cell r="H48" t="str">
            <v>N</v>
          </cell>
          <cell r="I48" t="str">
            <v>N</v>
          </cell>
        </row>
        <row r="49">
          <cell r="A49" t="str">
            <v>TWI047</v>
          </cell>
          <cell r="B49" t="str">
            <v>台南中華西</v>
          </cell>
          <cell r="C49" t="str">
            <v>一般店</v>
          </cell>
          <cell r="D49" t="str">
            <v>V3</v>
          </cell>
          <cell r="E49">
            <v>2</v>
          </cell>
          <cell r="F49" t="str">
            <v>Y</v>
          </cell>
          <cell r="G49" t="str">
            <v>Y</v>
          </cell>
          <cell r="H49" t="str">
            <v>N</v>
          </cell>
          <cell r="I49" t="str">
            <v>N</v>
          </cell>
        </row>
        <row r="50">
          <cell r="A50" t="str">
            <v>TWI054</v>
          </cell>
          <cell r="B50" t="str">
            <v>嘉義中興</v>
          </cell>
          <cell r="C50" t="str">
            <v>一般店</v>
          </cell>
          <cell r="D50" t="str">
            <v>V3</v>
          </cell>
          <cell r="E50">
            <v>2</v>
          </cell>
          <cell r="F50" t="str">
            <v>Y</v>
          </cell>
          <cell r="G50" t="str">
            <v>Y</v>
          </cell>
          <cell r="H50" t="str">
            <v>N</v>
          </cell>
          <cell r="I50" t="str">
            <v>N</v>
          </cell>
        </row>
        <row r="51">
          <cell r="A51" t="str">
            <v>TWI056</v>
          </cell>
          <cell r="B51" t="str">
            <v>中和福祥</v>
          </cell>
          <cell r="C51" t="str">
            <v>一般店</v>
          </cell>
          <cell r="D51" t="str">
            <v>V2</v>
          </cell>
          <cell r="E51">
            <v>2</v>
          </cell>
          <cell r="F51" t="str">
            <v>Y</v>
          </cell>
          <cell r="G51" t="str">
            <v>Y</v>
          </cell>
          <cell r="H51" t="str">
            <v>N</v>
          </cell>
          <cell r="I51" t="str">
            <v>N</v>
          </cell>
        </row>
        <row r="52">
          <cell r="A52" t="str">
            <v>TWI062</v>
          </cell>
          <cell r="B52" t="str">
            <v>龍潭北龍</v>
          </cell>
          <cell r="C52" t="str">
            <v>數位店</v>
          </cell>
          <cell r="D52" t="str">
            <v>V4</v>
          </cell>
          <cell r="E52">
            <v>3</v>
          </cell>
          <cell r="F52" t="str">
            <v>Y</v>
          </cell>
          <cell r="G52" t="str">
            <v>Y</v>
          </cell>
          <cell r="H52" t="str">
            <v>Y</v>
          </cell>
          <cell r="I52" t="str">
            <v>N</v>
          </cell>
        </row>
        <row r="53">
          <cell r="A53" t="str">
            <v>TWI063</v>
          </cell>
          <cell r="B53" t="str">
            <v>台中沙鹿</v>
          </cell>
          <cell r="C53" t="str">
            <v>數位店</v>
          </cell>
          <cell r="D53" t="str">
            <v>V4</v>
          </cell>
          <cell r="E53">
            <v>4</v>
          </cell>
          <cell r="F53" t="str">
            <v>Y</v>
          </cell>
          <cell r="G53" t="str">
            <v>Y</v>
          </cell>
          <cell r="H53" t="str">
            <v>Y</v>
          </cell>
          <cell r="I53" t="str">
            <v>Y</v>
          </cell>
        </row>
        <row r="54">
          <cell r="A54" t="str">
            <v>TWI064</v>
          </cell>
          <cell r="B54" t="str">
            <v>南投埔里</v>
          </cell>
          <cell r="C54" t="str">
            <v>一般店</v>
          </cell>
          <cell r="D54" t="str">
            <v>V2</v>
          </cell>
          <cell r="E54">
            <v>2</v>
          </cell>
          <cell r="F54" t="str">
            <v>Y</v>
          </cell>
          <cell r="G54" t="str">
            <v>Y</v>
          </cell>
          <cell r="H54" t="str">
            <v>N</v>
          </cell>
          <cell r="I54" t="str">
            <v>N</v>
          </cell>
        </row>
        <row r="55">
          <cell r="A55" t="str">
            <v>TWI065</v>
          </cell>
          <cell r="B55" t="str">
            <v>台東新生</v>
          </cell>
          <cell r="C55" t="str">
            <v>一般店</v>
          </cell>
          <cell r="D55" t="str">
            <v>V4</v>
          </cell>
          <cell r="E55">
            <v>2</v>
          </cell>
          <cell r="F55" t="str">
            <v>Y</v>
          </cell>
          <cell r="G55" t="str">
            <v>Y</v>
          </cell>
          <cell r="H55" t="str">
            <v>N</v>
          </cell>
          <cell r="I55" t="str">
            <v>N</v>
          </cell>
        </row>
        <row r="56">
          <cell r="A56" t="str">
            <v>TWI066</v>
          </cell>
          <cell r="B56" t="str">
            <v>新竹竹東</v>
          </cell>
          <cell r="C56" t="str">
            <v>一般店</v>
          </cell>
          <cell r="D56" t="str">
            <v>V4</v>
          </cell>
          <cell r="E56">
            <v>2</v>
          </cell>
          <cell r="F56" t="str">
            <v>Y</v>
          </cell>
          <cell r="G56" t="str">
            <v>Y</v>
          </cell>
          <cell r="H56" t="str">
            <v>N</v>
          </cell>
          <cell r="I56" t="str">
            <v>N</v>
          </cell>
        </row>
        <row r="57">
          <cell r="A57" t="str">
            <v>TWI067</v>
          </cell>
          <cell r="B57" t="str">
            <v>台北內湖</v>
          </cell>
          <cell r="C57" t="str">
            <v>數位店</v>
          </cell>
          <cell r="D57" t="str">
            <v>V4</v>
          </cell>
          <cell r="E57">
            <v>4</v>
          </cell>
          <cell r="F57" t="str">
            <v>Y</v>
          </cell>
          <cell r="G57" t="str">
            <v>Y</v>
          </cell>
          <cell r="H57" t="str">
            <v>Y</v>
          </cell>
          <cell r="I57" t="str">
            <v>Y</v>
          </cell>
        </row>
        <row r="58">
          <cell r="A58" t="str">
            <v>TWI068</v>
          </cell>
          <cell r="B58" t="str">
            <v>北投光明</v>
          </cell>
          <cell r="C58" t="str">
            <v>一般店</v>
          </cell>
          <cell r="D58" t="str">
            <v>V4</v>
          </cell>
          <cell r="E58">
            <v>2</v>
          </cell>
          <cell r="F58" t="str">
            <v>Y</v>
          </cell>
          <cell r="G58" t="str">
            <v>Y</v>
          </cell>
          <cell r="H58">
            <v>0</v>
          </cell>
          <cell r="I58">
            <v>0</v>
          </cell>
        </row>
        <row r="59">
          <cell r="A59" t="str">
            <v>TWI069</v>
          </cell>
          <cell r="B59" t="str">
            <v>太平中山</v>
          </cell>
          <cell r="C59" t="str">
            <v>一般店</v>
          </cell>
          <cell r="D59" t="str">
            <v>V3</v>
          </cell>
          <cell r="E59">
            <v>2</v>
          </cell>
          <cell r="F59" t="str">
            <v>Y</v>
          </cell>
          <cell r="G59" t="str">
            <v>Y</v>
          </cell>
          <cell r="H59" t="str">
            <v>N</v>
          </cell>
          <cell r="I59" t="str">
            <v>N</v>
          </cell>
        </row>
        <row r="60">
          <cell r="A60" t="str">
            <v>TWI071</v>
          </cell>
          <cell r="B60" t="str">
            <v>台中烏日</v>
          </cell>
          <cell r="C60" t="str">
            <v>一般店</v>
          </cell>
          <cell r="D60" t="str">
            <v>V4</v>
          </cell>
          <cell r="E60">
            <v>2</v>
          </cell>
          <cell r="F60" t="str">
            <v>Y</v>
          </cell>
          <cell r="G60" t="str">
            <v>Y</v>
          </cell>
          <cell r="H60" t="str">
            <v>N</v>
          </cell>
          <cell r="I60" t="str">
            <v>N</v>
          </cell>
        </row>
        <row r="61">
          <cell r="A61" t="str">
            <v>TWI075</v>
          </cell>
          <cell r="B61" t="str">
            <v>淡水中山</v>
          </cell>
          <cell r="C61" t="str">
            <v>數位店</v>
          </cell>
          <cell r="D61" t="str">
            <v>V4</v>
          </cell>
          <cell r="E61">
            <v>4</v>
          </cell>
          <cell r="F61" t="str">
            <v>Y</v>
          </cell>
          <cell r="G61" t="str">
            <v>Y</v>
          </cell>
          <cell r="H61" t="str">
            <v>Y</v>
          </cell>
          <cell r="I61" t="str">
            <v>Y</v>
          </cell>
        </row>
        <row r="62">
          <cell r="A62" t="str">
            <v>TWI080</v>
          </cell>
          <cell r="B62" t="str">
            <v>台北承德</v>
          </cell>
          <cell r="C62" t="str">
            <v>數位店</v>
          </cell>
          <cell r="D62" t="str">
            <v>V4</v>
          </cell>
          <cell r="E62">
            <v>4</v>
          </cell>
          <cell r="F62" t="str">
            <v>Y</v>
          </cell>
          <cell r="G62" t="str">
            <v>Y</v>
          </cell>
          <cell r="H62" t="str">
            <v>Y</v>
          </cell>
          <cell r="I62" t="str">
            <v>Y</v>
          </cell>
        </row>
        <row r="63">
          <cell r="A63" t="str">
            <v>TWI081</v>
          </cell>
          <cell r="B63" t="str">
            <v>台南東門</v>
          </cell>
          <cell r="C63" t="str">
            <v>一般店</v>
          </cell>
          <cell r="D63" t="str">
            <v>V3</v>
          </cell>
          <cell r="E63">
            <v>2</v>
          </cell>
          <cell r="F63" t="str">
            <v>Y</v>
          </cell>
          <cell r="G63" t="str">
            <v>Y</v>
          </cell>
          <cell r="H63" t="str">
            <v>N</v>
          </cell>
          <cell r="I63" t="str">
            <v>N</v>
          </cell>
        </row>
        <row r="64">
          <cell r="A64" t="str">
            <v>TWI083</v>
          </cell>
          <cell r="B64" t="str">
            <v>花蓮中正</v>
          </cell>
          <cell r="C64" t="str">
            <v>一般店</v>
          </cell>
          <cell r="D64" t="str">
            <v>V2</v>
          </cell>
          <cell r="E64">
            <v>2</v>
          </cell>
          <cell r="F64" t="str">
            <v>Y</v>
          </cell>
          <cell r="G64" t="str">
            <v>Y</v>
          </cell>
          <cell r="H64" t="str">
            <v>N</v>
          </cell>
          <cell r="I64" t="str">
            <v>N</v>
          </cell>
        </row>
        <row r="65">
          <cell r="A65" t="str">
            <v>TWI084</v>
          </cell>
          <cell r="B65" t="str">
            <v>中壢民族</v>
          </cell>
          <cell r="C65" t="str">
            <v>一般店</v>
          </cell>
          <cell r="D65" t="str">
            <v>V2</v>
          </cell>
          <cell r="E65">
            <v>2</v>
          </cell>
          <cell r="F65" t="str">
            <v>Y</v>
          </cell>
          <cell r="G65" t="str">
            <v>Y</v>
          </cell>
          <cell r="H65" t="str">
            <v>N</v>
          </cell>
          <cell r="I65" t="str">
            <v>N</v>
          </cell>
        </row>
        <row r="66">
          <cell r="A66" t="str">
            <v>TWI086</v>
          </cell>
          <cell r="B66" t="str">
            <v>基隆仁一</v>
          </cell>
          <cell r="C66" t="str">
            <v>一般店</v>
          </cell>
          <cell r="D66" t="str">
            <v>V3</v>
          </cell>
          <cell r="E66">
            <v>2</v>
          </cell>
          <cell r="F66" t="str">
            <v>Y</v>
          </cell>
          <cell r="G66" t="str">
            <v>Y</v>
          </cell>
          <cell r="H66" t="str">
            <v>N</v>
          </cell>
          <cell r="I66" t="str">
            <v>N</v>
          </cell>
        </row>
        <row r="67">
          <cell r="A67" t="str">
            <v>TWI088</v>
          </cell>
          <cell r="B67" t="str">
            <v>高雄站前</v>
          </cell>
          <cell r="C67" t="str">
            <v>一般店</v>
          </cell>
          <cell r="D67" t="str">
            <v>D1</v>
          </cell>
          <cell r="E67">
            <v>2</v>
          </cell>
          <cell r="F67" t="str">
            <v>Y</v>
          </cell>
          <cell r="G67" t="str">
            <v>Y</v>
          </cell>
          <cell r="H67" t="str">
            <v>N</v>
          </cell>
          <cell r="I67" t="str">
            <v>N</v>
          </cell>
        </row>
        <row r="68">
          <cell r="A68" t="str">
            <v>TWI089</v>
          </cell>
          <cell r="B68" t="str">
            <v>高雄中華五</v>
          </cell>
          <cell r="C68" t="str">
            <v>一般店</v>
          </cell>
          <cell r="D68" t="str">
            <v>V3</v>
          </cell>
          <cell r="E68">
            <v>2</v>
          </cell>
          <cell r="F68" t="str">
            <v>Y</v>
          </cell>
          <cell r="G68" t="str">
            <v>Y</v>
          </cell>
          <cell r="H68" t="str">
            <v>N</v>
          </cell>
          <cell r="I68" t="str">
            <v>N</v>
          </cell>
        </row>
        <row r="69">
          <cell r="A69" t="str">
            <v>TWI093</v>
          </cell>
          <cell r="B69" t="str">
            <v>林口文化</v>
          </cell>
          <cell r="C69" t="str">
            <v>一般店</v>
          </cell>
          <cell r="D69" t="str">
            <v>V4</v>
          </cell>
          <cell r="E69">
            <v>2</v>
          </cell>
          <cell r="F69" t="str">
            <v>Y</v>
          </cell>
          <cell r="G69" t="str">
            <v>Y</v>
          </cell>
          <cell r="H69" t="str">
            <v>N</v>
          </cell>
          <cell r="I69" t="str">
            <v>N</v>
          </cell>
        </row>
        <row r="70">
          <cell r="A70" t="str">
            <v>TWI095</v>
          </cell>
          <cell r="B70" t="str">
            <v>中壢環中東</v>
          </cell>
          <cell r="C70" t="str">
            <v>數位店</v>
          </cell>
          <cell r="D70" t="str">
            <v>V4</v>
          </cell>
          <cell r="E70">
            <v>3</v>
          </cell>
          <cell r="F70" t="str">
            <v>Y</v>
          </cell>
          <cell r="G70" t="str">
            <v>Y</v>
          </cell>
          <cell r="H70" t="str">
            <v>Y</v>
          </cell>
          <cell r="I70" t="str">
            <v>N</v>
          </cell>
        </row>
        <row r="71">
          <cell r="A71" t="str">
            <v>TWI097</v>
          </cell>
          <cell r="B71" t="str">
            <v>三重重新二</v>
          </cell>
          <cell r="C71" t="str">
            <v>數位店</v>
          </cell>
          <cell r="D71" t="str">
            <v>V4*.16 .17, D2*.18</v>
          </cell>
          <cell r="E71">
            <v>3</v>
          </cell>
          <cell r="F71" t="str">
            <v>Y</v>
          </cell>
          <cell r="G71" t="str">
            <v>Y</v>
          </cell>
          <cell r="H71" t="str">
            <v>Y</v>
          </cell>
          <cell r="I71" t="str">
            <v>N</v>
          </cell>
        </row>
        <row r="72">
          <cell r="A72" t="str">
            <v>TWI098</v>
          </cell>
          <cell r="B72" t="str">
            <v>桃園大興西</v>
          </cell>
          <cell r="C72" t="str">
            <v>一般店</v>
          </cell>
          <cell r="D72" t="str">
            <v>V4</v>
          </cell>
          <cell r="E72">
            <v>2</v>
          </cell>
          <cell r="F72" t="str">
            <v>Y</v>
          </cell>
          <cell r="G72" t="str">
            <v>Y</v>
          </cell>
          <cell r="H72" t="str">
            <v>N</v>
          </cell>
          <cell r="I72" t="str">
            <v>N</v>
          </cell>
        </row>
        <row r="73">
          <cell r="A73" t="str">
            <v>TWI099</v>
          </cell>
          <cell r="B73" t="str">
            <v>南崁中正</v>
          </cell>
          <cell r="C73" t="str">
            <v>一般店</v>
          </cell>
          <cell r="D73" t="str">
            <v>V3</v>
          </cell>
          <cell r="E73">
            <v>2</v>
          </cell>
          <cell r="F73" t="str">
            <v>Y</v>
          </cell>
          <cell r="G73" t="str">
            <v>Y</v>
          </cell>
          <cell r="H73" t="str">
            <v>N</v>
          </cell>
          <cell r="I73" t="str">
            <v>N</v>
          </cell>
        </row>
        <row r="74">
          <cell r="A74" t="str">
            <v>TWI100</v>
          </cell>
          <cell r="B74" t="str">
            <v>台南西門二</v>
          </cell>
          <cell r="C74" t="str">
            <v>一般店</v>
          </cell>
          <cell r="D74" t="str">
            <v>V3</v>
          </cell>
          <cell r="E74">
            <v>2</v>
          </cell>
          <cell r="F74" t="str">
            <v>Y</v>
          </cell>
          <cell r="G74" t="str">
            <v>Y</v>
          </cell>
          <cell r="H74" t="str">
            <v>N</v>
          </cell>
          <cell r="I74" t="str">
            <v>N</v>
          </cell>
        </row>
        <row r="75">
          <cell r="A75" t="str">
            <v>TWI103</v>
          </cell>
          <cell r="B75" t="str">
            <v>台北南京東二</v>
          </cell>
          <cell r="C75" t="str">
            <v>數位店</v>
          </cell>
          <cell r="D75" t="str">
            <v>V3*.16~18, D2*.19</v>
          </cell>
          <cell r="E75">
            <v>4</v>
          </cell>
          <cell r="F75" t="str">
            <v>Y</v>
          </cell>
          <cell r="G75" t="str">
            <v>Y</v>
          </cell>
          <cell r="H75" t="str">
            <v>Y</v>
          </cell>
          <cell r="I75" t="str">
            <v>Y</v>
          </cell>
        </row>
        <row r="76">
          <cell r="A76" t="str">
            <v>TWI104</v>
          </cell>
          <cell r="B76" t="str">
            <v>台北雙連</v>
          </cell>
          <cell r="C76" t="str">
            <v>一般店</v>
          </cell>
          <cell r="D76" t="str">
            <v>V4</v>
          </cell>
          <cell r="E76">
            <v>1</v>
          </cell>
          <cell r="F76" t="str">
            <v>Y</v>
          </cell>
          <cell r="G76" t="str">
            <v>N</v>
          </cell>
          <cell r="H76" t="str">
            <v>N</v>
          </cell>
          <cell r="I76" t="str">
            <v>N</v>
          </cell>
        </row>
        <row r="77">
          <cell r="A77" t="str">
            <v>TWI105</v>
          </cell>
          <cell r="B77" t="str">
            <v>板橋新埔</v>
          </cell>
          <cell r="C77" t="str">
            <v>數位店</v>
          </cell>
          <cell r="D77" t="str">
            <v>V4*.16,D2*.17.18</v>
          </cell>
          <cell r="E77">
            <v>3</v>
          </cell>
          <cell r="F77" t="str">
            <v>Y</v>
          </cell>
          <cell r="G77" t="str">
            <v>Y</v>
          </cell>
          <cell r="H77" t="str">
            <v>Y</v>
          </cell>
          <cell r="I77" t="str">
            <v>N</v>
          </cell>
        </row>
        <row r="78">
          <cell r="A78" t="str">
            <v>TWI108</v>
          </cell>
          <cell r="B78" t="str">
            <v>南投草屯</v>
          </cell>
          <cell r="C78" t="str">
            <v>一般店</v>
          </cell>
          <cell r="D78" t="str">
            <v>D2</v>
          </cell>
          <cell r="E78">
            <v>2</v>
          </cell>
          <cell r="F78" t="str">
            <v>Y</v>
          </cell>
          <cell r="G78" t="str">
            <v>Y</v>
          </cell>
          <cell r="H78" t="str">
            <v>N</v>
          </cell>
          <cell r="I78" t="str">
            <v>N</v>
          </cell>
        </row>
        <row r="79">
          <cell r="A79" t="str">
            <v>TWI110</v>
          </cell>
          <cell r="B79" t="str">
            <v>屏東自由</v>
          </cell>
          <cell r="C79" t="str">
            <v>一般店</v>
          </cell>
          <cell r="D79" t="str">
            <v>D2</v>
          </cell>
          <cell r="E79">
            <v>2</v>
          </cell>
          <cell r="F79" t="str">
            <v>Y</v>
          </cell>
          <cell r="G79" t="str">
            <v>Y</v>
          </cell>
          <cell r="H79" t="str">
            <v>N</v>
          </cell>
          <cell r="I79" t="str">
            <v>N</v>
          </cell>
        </row>
        <row r="80">
          <cell r="A80" t="str">
            <v>TWI115</v>
          </cell>
          <cell r="B80" t="str">
            <v>新莊幸福</v>
          </cell>
          <cell r="C80" t="str">
            <v>一般店</v>
          </cell>
          <cell r="D80" t="str">
            <v>V3</v>
          </cell>
          <cell r="E80">
            <v>2</v>
          </cell>
          <cell r="F80" t="str">
            <v>Y</v>
          </cell>
          <cell r="G80" t="str">
            <v>Y</v>
          </cell>
          <cell r="H80" t="str">
            <v>N</v>
          </cell>
          <cell r="I80" t="str">
            <v>N</v>
          </cell>
        </row>
        <row r="81">
          <cell r="A81" t="str">
            <v>TWI119</v>
          </cell>
          <cell r="B81" t="str">
            <v>三峽北大</v>
          </cell>
          <cell r="C81" t="str">
            <v>數位店</v>
          </cell>
          <cell r="D81" t="str">
            <v>V4</v>
          </cell>
          <cell r="E81">
            <v>4</v>
          </cell>
          <cell r="F81" t="str">
            <v>Y</v>
          </cell>
          <cell r="G81" t="str">
            <v>Y</v>
          </cell>
          <cell r="H81" t="str">
            <v>Y</v>
          </cell>
          <cell r="I81" t="str">
            <v>Y</v>
          </cell>
        </row>
        <row r="82">
          <cell r="A82" t="str">
            <v>TWI120</v>
          </cell>
          <cell r="B82" t="str">
            <v>台北莊敬</v>
          </cell>
          <cell r="C82" t="str">
            <v>一般店</v>
          </cell>
          <cell r="D82" t="str">
            <v>D1</v>
          </cell>
          <cell r="E82">
            <v>2</v>
          </cell>
          <cell r="F82" t="str">
            <v>Y</v>
          </cell>
          <cell r="G82" t="str">
            <v>Y</v>
          </cell>
          <cell r="H82" t="str">
            <v>N</v>
          </cell>
          <cell r="I82" t="str">
            <v>N</v>
          </cell>
        </row>
        <row r="83">
          <cell r="A83" t="str">
            <v>TWI125</v>
          </cell>
          <cell r="B83" t="str">
            <v>彰化鹿港</v>
          </cell>
          <cell r="C83" t="str">
            <v>一般店</v>
          </cell>
          <cell r="D83" t="str">
            <v>V4</v>
          </cell>
          <cell r="E83">
            <v>1</v>
          </cell>
          <cell r="F83" t="str">
            <v>Y</v>
          </cell>
          <cell r="G83" t="str">
            <v>N</v>
          </cell>
          <cell r="H83" t="str">
            <v>N</v>
          </cell>
          <cell r="I83" t="str">
            <v>N</v>
          </cell>
        </row>
        <row r="84">
          <cell r="A84" t="str">
            <v>TWI126</v>
          </cell>
          <cell r="B84" t="str">
            <v>土城金城</v>
          </cell>
          <cell r="C84" t="str">
            <v>一般店</v>
          </cell>
          <cell r="D84" t="str">
            <v>V3</v>
          </cell>
          <cell r="E84">
            <v>2</v>
          </cell>
          <cell r="F84" t="str">
            <v>Y</v>
          </cell>
          <cell r="G84" t="str">
            <v>Y</v>
          </cell>
          <cell r="H84" t="str">
            <v>N</v>
          </cell>
          <cell r="I84" t="str">
            <v>N</v>
          </cell>
        </row>
        <row r="85">
          <cell r="A85" t="str">
            <v>TWI127</v>
          </cell>
          <cell r="B85" t="str">
            <v>斗六民生</v>
          </cell>
          <cell r="C85" t="str">
            <v>數位店</v>
          </cell>
          <cell r="D85" t="str">
            <v>V4</v>
          </cell>
          <cell r="E85">
            <v>4</v>
          </cell>
          <cell r="F85" t="str">
            <v>Y</v>
          </cell>
          <cell r="G85" t="str">
            <v>Y</v>
          </cell>
          <cell r="H85" t="str">
            <v>Y</v>
          </cell>
          <cell r="I85" t="str">
            <v>Y</v>
          </cell>
        </row>
        <row r="86">
          <cell r="A86" t="str">
            <v>TWI128</v>
          </cell>
          <cell r="B86" t="str">
            <v>泰山明志</v>
          </cell>
          <cell r="C86" t="str">
            <v>一般店</v>
          </cell>
          <cell r="D86" t="str">
            <v>V4</v>
          </cell>
          <cell r="E86">
            <v>2</v>
          </cell>
          <cell r="F86" t="str">
            <v>Y</v>
          </cell>
          <cell r="G86" t="str">
            <v>Y</v>
          </cell>
          <cell r="H86" t="str">
            <v>N</v>
          </cell>
          <cell r="I86" t="str">
            <v>N</v>
          </cell>
        </row>
        <row r="87">
          <cell r="A87" t="str">
            <v>TWI129</v>
          </cell>
          <cell r="B87" t="str">
            <v>汐止中興</v>
          </cell>
          <cell r="C87" t="str">
            <v>一般店</v>
          </cell>
          <cell r="D87" t="str">
            <v>V3</v>
          </cell>
          <cell r="E87">
            <v>1</v>
          </cell>
          <cell r="F87" t="str">
            <v>Y</v>
          </cell>
          <cell r="G87" t="str">
            <v>N</v>
          </cell>
          <cell r="H87" t="str">
            <v>N</v>
          </cell>
          <cell r="I87" t="str">
            <v>N</v>
          </cell>
        </row>
        <row r="88">
          <cell r="A88" t="str">
            <v>TWI131</v>
          </cell>
          <cell r="B88" t="str">
            <v>台中潭子</v>
          </cell>
          <cell r="C88" t="str">
            <v>一般店</v>
          </cell>
          <cell r="D88" t="str">
            <v>V3</v>
          </cell>
          <cell r="E88">
            <v>2</v>
          </cell>
          <cell r="F88" t="str">
            <v>Y</v>
          </cell>
          <cell r="G88" t="str">
            <v>Y</v>
          </cell>
          <cell r="H88" t="str">
            <v>N</v>
          </cell>
          <cell r="I88" t="str">
            <v>N</v>
          </cell>
        </row>
        <row r="89">
          <cell r="A89" t="str">
            <v>TWI132</v>
          </cell>
          <cell r="B89" t="str">
            <v>台中後車站</v>
          </cell>
          <cell r="C89" t="str">
            <v>一般店</v>
          </cell>
          <cell r="D89" t="str">
            <v>V3</v>
          </cell>
          <cell r="E89">
            <v>2</v>
          </cell>
          <cell r="F89" t="str">
            <v>Y</v>
          </cell>
          <cell r="G89" t="str">
            <v>Y</v>
          </cell>
          <cell r="H89" t="str">
            <v>N</v>
          </cell>
          <cell r="I89" t="str">
            <v>N</v>
          </cell>
        </row>
        <row r="90">
          <cell r="A90" t="str">
            <v>TWI133</v>
          </cell>
          <cell r="B90" t="str">
            <v>新竹新豐</v>
          </cell>
          <cell r="C90" t="str">
            <v>數位店</v>
          </cell>
          <cell r="D90" t="str">
            <v>V4</v>
          </cell>
          <cell r="E90">
            <v>3</v>
          </cell>
          <cell r="F90" t="str">
            <v>Y</v>
          </cell>
          <cell r="G90" t="str">
            <v>Y</v>
          </cell>
          <cell r="H90" t="str">
            <v>Y</v>
          </cell>
          <cell r="I90" t="str">
            <v>N</v>
          </cell>
        </row>
        <row r="91">
          <cell r="A91" t="str">
            <v>TWI134</v>
          </cell>
          <cell r="B91" t="str">
            <v>文山興隆</v>
          </cell>
          <cell r="C91" t="str">
            <v>一般店</v>
          </cell>
          <cell r="D91" t="str">
            <v>V4</v>
          </cell>
          <cell r="E91">
            <v>2</v>
          </cell>
          <cell r="F91" t="str">
            <v>Y</v>
          </cell>
          <cell r="G91" t="str">
            <v>Y</v>
          </cell>
          <cell r="H91" t="str">
            <v>N</v>
          </cell>
          <cell r="I91" t="str">
            <v>N</v>
          </cell>
        </row>
        <row r="92">
          <cell r="A92" t="str">
            <v>TWI135</v>
          </cell>
          <cell r="B92" t="str">
            <v>台北南港</v>
          </cell>
          <cell r="C92" t="str">
            <v>一般店</v>
          </cell>
          <cell r="D92" t="str">
            <v>V3</v>
          </cell>
          <cell r="E92">
            <v>1</v>
          </cell>
          <cell r="F92" t="str">
            <v>Y</v>
          </cell>
          <cell r="G92" t="str">
            <v>N</v>
          </cell>
          <cell r="H92" t="str">
            <v>N</v>
          </cell>
          <cell r="I92" t="str">
            <v>N</v>
          </cell>
        </row>
        <row r="93">
          <cell r="A93" t="str">
            <v>TWI136</v>
          </cell>
          <cell r="B93" t="str">
            <v>大里中興二</v>
          </cell>
          <cell r="C93" t="str">
            <v>一般店</v>
          </cell>
          <cell r="D93" t="str">
            <v>V3</v>
          </cell>
          <cell r="E93">
            <v>2</v>
          </cell>
          <cell r="F93" t="str">
            <v>Y</v>
          </cell>
          <cell r="G93" t="str">
            <v>Y</v>
          </cell>
          <cell r="H93" t="str">
            <v>N</v>
          </cell>
          <cell r="I93" t="str">
            <v>N</v>
          </cell>
        </row>
        <row r="94">
          <cell r="A94" t="str">
            <v>TWI137</v>
          </cell>
          <cell r="B94" t="str">
            <v>桃園大園</v>
          </cell>
          <cell r="C94" t="str">
            <v>一般店</v>
          </cell>
          <cell r="D94" t="str">
            <v>V3</v>
          </cell>
          <cell r="E94">
            <v>2</v>
          </cell>
          <cell r="F94" t="str">
            <v>Y</v>
          </cell>
          <cell r="G94" t="str">
            <v>Y</v>
          </cell>
          <cell r="H94" t="str">
            <v>N</v>
          </cell>
          <cell r="I94" t="str">
            <v>N</v>
          </cell>
        </row>
        <row r="95">
          <cell r="A95" t="str">
            <v>TWI138</v>
          </cell>
          <cell r="B95" t="str">
            <v>羅東興東</v>
          </cell>
          <cell r="C95" t="str">
            <v>一般店</v>
          </cell>
          <cell r="D95" t="str">
            <v>V4</v>
          </cell>
          <cell r="E95">
            <v>2</v>
          </cell>
          <cell r="F95" t="str">
            <v>Y</v>
          </cell>
          <cell r="G95" t="str">
            <v>Y</v>
          </cell>
          <cell r="H95" t="str">
            <v>N</v>
          </cell>
          <cell r="I95" t="str">
            <v>N</v>
          </cell>
        </row>
        <row r="96">
          <cell r="A96" t="str">
            <v>TWI139</v>
          </cell>
          <cell r="B96" t="str">
            <v>台南善化</v>
          </cell>
          <cell r="C96" t="str">
            <v>數位店</v>
          </cell>
          <cell r="D96" t="str">
            <v>V4</v>
          </cell>
          <cell r="E96">
            <v>4</v>
          </cell>
          <cell r="F96" t="str">
            <v>Y</v>
          </cell>
          <cell r="G96" t="str">
            <v>Y</v>
          </cell>
          <cell r="H96" t="str">
            <v>Y</v>
          </cell>
          <cell r="I96" t="str">
            <v>Y</v>
          </cell>
        </row>
        <row r="97">
          <cell r="A97" t="str">
            <v>TWI140</v>
          </cell>
          <cell r="B97" t="str">
            <v>宜蘭舊城</v>
          </cell>
          <cell r="C97" t="str">
            <v>數位店</v>
          </cell>
          <cell r="D97" t="str">
            <v>V4</v>
          </cell>
          <cell r="E97">
            <v>3</v>
          </cell>
          <cell r="F97" t="str">
            <v>Y</v>
          </cell>
          <cell r="G97" t="str">
            <v>Y</v>
          </cell>
          <cell r="H97" t="str">
            <v>Y</v>
          </cell>
          <cell r="I97" t="str">
            <v>N</v>
          </cell>
        </row>
        <row r="98">
          <cell r="A98" t="str">
            <v>TWI141</v>
          </cell>
          <cell r="B98" t="str">
            <v>汐止大同</v>
          </cell>
          <cell r="C98" t="str">
            <v>一般店</v>
          </cell>
          <cell r="D98" t="str">
            <v>V2</v>
          </cell>
          <cell r="E98">
            <v>1</v>
          </cell>
          <cell r="F98" t="str">
            <v>Y</v>
          </cell>
          <cell r="G98" t="str">
            <v>N</v>
          </cell>
          <cell r="H98" t="str">
            <v>N</v>
          </cell>
          <cell r="I98" t="str">
            <v>N</v>
          </cell>
        </row>
        <row r="99">
          <cell r="A99" t="str">
            <v>TWI142</v>
          </cell>
          <cell r="B99" t="str">
            <v>桃園桃鶯</v>
          </cell>
          <cell r="C99" t="str">
            <v>一般店</v>
          </cell>
          <cell r="D99" t="str">
            <v>V4</v>
          </cell>
          <cell r="E99">
            <v>2</v>
          </cell>
          <cell r="F99" t="str">
            <v>Y</v>
          </cell>
          <cell r="G99" t="str">
            <v>Y</v>
          </cell>
          <cell r="H99" t="str">
            <v>N</v>
          </cell>
          <cell r="I99" t="str">
            <v>N</v>
          </cell>
        </row>
        <row r="100">
          <cell r="A100" t="str">
            <v>TWI143</v>
          </cell>
          <cell r="B100" t="str">
            <v>台南海佃</v>
          </cell>
          <cell r="C100" t="str">
            <v>一般店</v>
          </cell>
          <cell r="D100" t="str">
            <v>V4</v>
          </cell>
          <cell r="E100">
            <v>2</v>
          </cell>
          <cell r="F100" t="str">
            <v>Y</v>
          </cell>
          <cell r="G100" t="str">
            <v>Y</v>
          </cell>
          <cell r="H100" t="str">
            <v>N</v>
          </cell>
          <cell r="I100" t="str">
            <v>N</v>
          </cell>
        </row>
        <row r="101">
          <cell r="A101" t="str">
            <v>TWI144</v>
          </cell>
          <cell r="B101" t="str">
            <v>竹北自強</v>
          </cell>
          <cell r="C101" t="str">
            <v>一般店</v>
          </cell>
          <cell r="D101" t="str">
            <v>V4</v>
          </cell>
          <cell r="E101">
            <v>2</v>
          </cell>
          <cell r="F101" t="str">
            <v>Y</v>
          </cell>
          <cell r="G101" t="str">
            <v>Y</v>
          </cell>
          <cell r="H101" t="str">
            <v>N</v>
          </cell>
          <cell r="I101" t="str">
            <v>N</v>
          </cell>
        </row>
        <row r="102">
          <cell r="A102" t="str">
            <v>TWI145</v>
          </cell>
          <cell r="B102" t="str">
            <v>台北萬大</v>
          </cell>
          <cell r="C102" t="str">
            <v>一般店</v>
          </cell>
          <cell r="D102" t="str">
            <v>V4</v>
          </cell>
          <cell r="E102">
            <v>2</v>
          </cell>
          <cell r="F102" t="str">
            <v>Y</v>
          </cell>
          <cell r="G102" t="str">
            <v>Y</v>
          </cell>
          <cell r="H102" t="str">
            <v>N</v>
          </cell>
          <cell r="I102" t="str">
            <v>N</v>
          </cell>
        </row>
        <row r="103">
          <cell r="A103" t="str">
            <v>TWI146</v>
          </cell>
          <cell r="B103" t="str">
            <v>台北八德</v>
          </cell>
          <cell r="C103" t="str">
            <v>數位店</v>
          </cell>
          <cell r="D103" t="str">
            <v>V4*.16,D2*.17.18</v>
          </cell>
          <cell r="E103">
            <v>3</v>
          </cell>
          <cell r="F103" t="str">
            <v>Y</v>
          </cell>
          <cell r="G103" t="str">
            <v>Y</v>
          </cell>
          <cell r="H103" t="str">
            <v>Y</v>
          </cell>
          <cell r="I103" t="str">
            <v>N</v>
          </cell>
        </row>
        <row r="104">
          <cell r="A104" t="str">
            <v>TWI147</v>
          </cell>
          <cell r="B104" t="str">
            <v>高雄文化</v>
          </cell>
          <cell r="C104" t="str">
            <v>一般店</v>
          </cell>
          <cell r="D104" t="str">
            <v>D2</v>
          </cell>
          <cell r="E104">
            <v>1</v>
          </cell>
          <cell r="F104" t="str">
            <v>Y</v>
          </cell>
          <cell r="G104" t="str">
            <v>N</v>
          </cell>
          <cell r="H104" t="str">
            <v>N</v>
          </cell>
          <cell r="I104" t="str">
            <v>N</v>
          </cell>
        </row>
        <row r="105">
          <cell r="A105" t="str">
            <v>TWI148</v>
          </cell>
          <cell r="B105" t="str">
            <v>南投南崗</v>
          </cell>
          <cell r="C105" t="str">
            <v>一般店</v>
          </cell>
          <cell r="D105" t="str">
            <v>D2</v>
          </cell>
          <cell r="E105">
            <v>2</v>
          </cell>
          <cell r="F105" t="str">
            <v>Y</v>
          </cell>
          <cell r="G105" t="str">
            <v>Y</v>
          </cell>
          <cell r="H105" t="str">
            <v>N</v>
          </cell>
          <cell r="I105" t="str">
            <v>N</v>
          </cell>
        </row>
        <row r="106">
          <cell r="A106" t="str">
            <v>TWI149</v>
          </cell>
          <cell r="B106" t="str">
            <v>板橋中山二</v>
          </cell>
          <cell r="C106" t="str">
            <v>數位店</v>
          </cell>
          <cell r="D106" t="str">
            <v>V4</v>
          </cell>
          <cell r="E106">
            <v>3</v>
          </cell>
          <cell r="F106" t="str">
            <v>Y</v>
          </cell>
          <cell r="G106" t="str">
            <v>Y</v>
          </cell>
          <cell r="H106" t="str">
            <v>Y</v>
          </cell>
          <cell r="I106" t="str">
            <v>N</v>
          </cell>
        </row>
        <row r="107">
          <cell r="A107" t="str">
            <v>TWI150</v>
          </cell>
          <cell r="B107" t="str">
            <v>台南成大</v>
          </cell>
          <cell r="C107" t="str">
            <v>一般店</v>
          </cell>
          <cell r="D107" t="str">
            <v>V2</v>
          </cell>
          <cell r="E107">
            <v>2</v>
          </cell>
          <cell r="F107" t="str">
            <v>Y</v>
          </cell>
          <cell r="G107" t="str">
            <v>Y</v>
          </cell>
          <cell r="H107" t="str">
            <v>N</v>
          </cell>
          <cell r="I107" t="str">
            <v>N</v>
          </cell>
        </row>
        <row r="108">
          <cell r="A108" t="str">
            <v>TWI151</v>
          </cell>
          <cell r="B108" t="str">
            <v>永和中山</v>
          </cell>
          <cell r="C108" t="str">
            <v>一般店</v>
          </cell>
          <cell r="D108" t="str">
            <v>D1</v>
          </cell>
          <cell r="E108">
            <v>2</v>
          </cell>
          <cell r="F108" t="str">
            <v>Y</v>
          </cell>
          <cell r="G108" t="str">
            <v>Y</v>
          </cell>
          <cell r="H108" t="str">
            <v>N</v>
          </cell>
          <cell r="I108" t="str">
            <v>N</v>
          </cell>
        </row>
        <row r="109">
          <cell r="A109" t="str">
            <v>TWI152</v>
          </cell>
          <cell r="B109" t="str">
            <v>新莊輔大</v>
          </cell>
          <cell r="C109" t="str">
            <v>一般店</v>
          </cell>
          <cell r="D109" t="str">
            <v>V4</v>
          </cell>
          <cell r="E109">
            <v>2</v>
          </cell>
          <cell r="F109" t="str">
            <v>Y</v>
          </cell>
          <cell r="G109" t="str">
            <v>Y</v>
          </cell>
          <cell r="H109" t="str">
            <v>N</v>
          </cell>
          <cell r="I109" t="str">
            <v>N</v>
          </cell>
        </row>
        <row r="110">
          <cell r="A110" t="str">
            <v>TWI153</v>
          </cell>
          <cell r="B110" t="str">
            <v>天母中山</v>
          </cell>
          <cell r="C110" t="str">
            <v>一般店</v>
          </cell>
          <cell r="D110" t="str">
            <v>D2</v>
          </cell>
          <cell r="E110">
            <v>2</v>
          </cell>
          <cell r="F110" t="str">
            <v>Y</v>
          </cell>
          <cell r="G110" t="str">
            <v>Y</v>
          </cell>
          <cell r="H110" t="str">
            <v>N</v>
          </cell>
          <cell r="I110" t="str">
            <v>N</v>
          </cell>
        </row>
        <row r="111">
          <cell r="A111" t="str">
            <v>TWI154</v>
          </cell>
          <cell r="B111" t="str">
            <v>新竹清大</v>
          </cell>
          <cell r="C111" t="str">
            <v>一般店</v>
          </cell>
          <cell r="D111" t="str">
            <v>V2*.16.17,V3*.18</v>
          </cell>
          <cell r="E111">
            <v>3</v>
          </cell>
          <cell r="F111" t="str">
            <v>Y</v>
          </cell>
          <cell r="G111" t="str">
            <v>Y</v>
          </cell>
          <cell r="H111" t="str">
            <v>Y</v>
          </cell>
          <cell r="I111" t="str">
            <v>N</v>
          </cell>
        </row>
        <row r="112">
          <cell r="A112" t="str">
            <v>TWI155</v>
          </cell>
          <cell r="B112" t="str">
            <v>文山木柵</v>
          </cell>
          <cell r="C112" t="str">
            <v>一般店</v>
          </cell>
          <cell r="D112" t="str">
            <v>V3</v>
          </cell>
          <cell r="E112">
            <v>2</v>
          </cell>
          <cell r="F112" t="str">
            <v>Y</v>
          </cell>
          <cell r="G112" t="str">
            <v>Y</v>
          </cell>
          <cell r="H112" t="str">
            <v>N</v>
          </cell>
          <cell r="I112" t="str">
            <v>N</v>
          </cell>
        </row>
        <row r="113">
          <cell r="A113" t="str">
            <v>TWI156</v>
          </cell>
          <cell r="B113" t="str">
            <v>高雄後昌</v>
          </cell>
          <cell r="C113" t="str">
            <v>數位店</v>
          </cell>
          <cell r="D113" t="str">
            <v>V4</v>
          </cell>
          <cell r="E113">
            <v>4</v>
          </cell>
          <cell r="F113" t="str">
            <v>Y</v>
          </cell>
          <cell r="G113" t="str">
            <v>Y</v>
          </cell>
          <cell r="H113" t="str">
            <v>Y</v>
          </cell>
          <cell r="I113" t="str">
            <v>Y</v>
          </cell>
        </row>
        <row r="114">
          <cell r="A114" t="str">
            <v>TWI158</v>
          </cell>
          <cell r="B114" t="str">
            <v>台南金華</v>
          </cell>
          <cell r="C114" t="str">
            <v>一般店</v>
          </cell>
          <cell r="D114" t="str">
            <v>V4</v>
          </cell>
          <cell r="E114">
            <v>1</v>
          </cell>
          <cell r="F114" t="str">
            <v>Y</v>
          </cell>
          <cell r="G114" t="str">
            <v>N</v>
          </cell>
          <cell r="H114" t="str">
            <v>N</v>
          </cell>
          <cell r="I114" t="str">
            <v>N</v>
          </cell>
        </row>
        <row r="115">
          <cell r="A115" t="str">
            <v>TWI159</v>
          </cell>
          <cell r="B115" t="str">
            <v>台中站前</v>
          </cell>
          <cell r="C115" t="str">
            <v>一般店</v>
          </cell>
          <cell r="D115" t="str">
            <v>V4</v>
          </cell>
          <cell r="E115">
            <v>2</v>
          </cell>
          <cell r="F115" t="str">
            <v>Y</v>
          </cell>
          <cell r="G115" t="str">
            <v>Y</v>
          </cell>
          <cell r="H115" t="str">
            <v>N</v>
          </cell>
          <cell r="I115" t="str">
            <v>N</v>
          </cell>
        </row>
        <row r="116">
          <cell r="A116" t="str">
            <v>TWI160</v>
          </cell>
          <cell r="B116" t="str">
            <v>士林文昌</v>
          </cell>
          <cell r="C116" t="str">
            <v>一般店</v>
          </cell>
          <cell r="D116" t="str">
            <v>V2</v>
          </cell>
          <cell r="E116">
            <v>2</v>
          </cell>
          <cell r="F116" t="str">
            <v>Y</v>
          </cell>
          <cell r="G116" t="str">
            <v>Y</v>
          </cell>
          <cell r="H116" t="str">
            <v>N</v>
          </cell>
          <cell r="I116" t="str">
            <v>N</v>
          </cell>
        </row>
        <row r="117">
          <cell r="A117" t="str">
            <v>TWI161</v>
          </cell>
          <cell r="B117" t="str">
            <v>楊梅大成</v>
          </cell>
          <cell r="C117" t="str">
            <v>一般店</v>
          </cell>
          <cell r="D117" t="str">
            <v>V3</v>
          </cell>
          <cell r="E117">
            <v>2</v>
          </cell>
          <cell r="F117" t="str">
            <v>Y</v>
          </cell>
          <cell r="G117" t="str">
            <v>Y</v>
          </cell>
          <cell r="H117" t="str">
            <v>N</v>
          </cell>
          <cell r="I117" t="str">
            <v>N</v>
          </cell>
        </row>
        <row r="118">
          <cell r="A118" t="str">
            <v>TWI162</v>
          </cell>
          <cell r="B118" t="str">
            <v>三重正義</v>
          </cell>
          <cell r="C118" t="str">
            <v>一般店</v>
          </cell>
          <cell r="D118" t="str">
            <v>V3</v>
          </cell>
          <cell r="E118">
            <v>2</v>
          </cell>
          <cell r="F118" t="str">
            <v>Y</v>
          </cell>
          <cell r="G118" t="str">
            <v>Y</v>
          </cell>
          <cell r="H118" t="str">
            <v>N</v>
          </cell>
          <cell r="I118" t="str">
            <v>N</v>
          </cell>
        </row>
        <row r="119">
          <cell r="A119" t="str">
            <v>TWI163</v>
          </cell>
          <cell r="B119" t="str">
            <v>西屯家樂福</v>
          </cell>
          <cell r="C119" t="str">
            <v>一般店</v>
          </cell>
          <cell r="D119" t="str">
            <v>V3</v>
          </cell>
          <cell r="E119">
            <v>2</v>
          </cell>
          <cell r="F119" t="str">
            <v>Y</v>
          </cell>
          <cell r="G119" t="str">
            <v>Y</v>
          </cell>
          <cell r="H119" t="str">
            <v>N</v>
          </cell>
          <cell r="I119" t="str">
            <v>N</v>
          </cell>
        </row>
        <row r="120">
          <cell r="A120" t="str">
            <v>TWI164</v>
          </cell>
          <cell r="B120" t="str">
            <v>五股成泰</v>
          </cell>
          <cell r="C120" t="str">
            <v>一般店</v>
          </cell>
          <cell r="D120" t="str">
            <v>V4</v>
          </cell>
          <cell r="E120">
            <v>2</v>
          </cell>
          <cell r="F120" t="str">
            <v>Y</v>
          </cell>
          <cell r="G120" t="str">
            <v>Y</v>
          </cell>
          <cell r="H120" t="str">
            <v>N</v>
          </cell>
          <cell r="I120" t="str">
            <v>N</v>
          </cell>
        </row>
        <row r="121">
          <cell r="A121" t="str">
            <v>TWI165</v>
          </cell>
          <cell r="B121" t="str">
            <v>桃園南平</v>
          </cell>
          <cell r="C121" t="str">
            <v>一般店</v>
          </cell>
          <cell r="D121" t="str">
            <v>V4</v>
          </cell>
          <cell r="E121">
            <v>2</v>
          </cell>
          <cell r="F121" t="str">
            <v>Y</v>
          </cell>
          <cell r="G121" t="str">
            <v>Y</v>
          </cell>
          <cell r="H121" t="str">
            <v>N</v>
          </cell>
          <cell r="I121" t="str">
            <v>N</v>
          </cell>
        </row>
        <row r="122">
          <cell r="A122" t="str">
            <v>TWI166</v>
          </cell>
          <cell r="B122" t="str">
            <v>台北南昌</v>
          </cell>
          <cell r="C122" t="str">
            <v>一般店</v>
          </cell>
          <cell r="D122" t="str">
            <v>V4</v>
          </cell>
          <cell r="E122">
            <v>2</v>
          </cell>
          <cell r="F122" t="str">
            <v>Y</v>
          </cell>
          <cell r="G122" t="str">
            <v>Y</v>
          </cell>
          <cell r="H122" t="str">
            <v>N</v>
          </cell>
          <cell r="I122" t="str">
            <v>N</v>
          </cell>
        </row>
        <row r="123">
          <cell r="A123" t="str">
            <v>TWI167</v>
          </cell>
          <cell r="B123" t="str">
            <v>桃園介壽</v>
          </cell>
          <cell r="C123" t="str">
            <v>一般店</v>
          </cell>
          <cell r="D123" t="str">
            <v>V4</v>
          </cell>
          <cell r="E123">
            <v>2</v>
          </cell>
          <cell r="F123" t="str">
            <v>Y</v>
          </cell>
          <cell r="G123" t="str">
            <v>Y</v>
          </cell>
          <cell r="H123" t="str">
            <v>N</v>
          </cell>
          <cell r="I123" t="str">
            <v>N</v>
          </cell>
        </row>
        <row r="124">
          <cell r="A124" t="str">
            <v>TWI168</v>
          </cell>
          <cell r="B124" t="str">
            <v>鳳山青年</v>
          </cell>
          <cell r="C124" t="str">
            <v>數位店</v>
          </cell>
          <cell r="D124" t="str">
            <v>V4</v>
          </cell>
          <cell r="E124">
            <v>4</v>
          </cell>
          <cell r="F124" t="str">
            <v>Y</v>
          </cell>
          <cell r="G124" t="str">
            <v>Y</v>
          </cell>
          <cell r="H124" t="str">
            <v>Y</v>
          </cell>
          <cell r="I124" t="str">
            <v>Y</v>
          </cell>
        </row>
        <row r="125">
          <cell r="A125" t="str">
            <v>TWI169</v>
          </cell>
          <cell r="B125" t="str">
            <v>淡水中山二</v>
          </cell>
          <cell r="C125" t="str">
            <v>一般店</v>
          </cell>
          <cell r="D125" t="str">
            <v>V2*.16, V3*.17</v>
          </cell>
          <cell r="E125">
            <v>2</v>
          </cell>
          <cell r="F125" t="str">
            <v>Y</v>
          </cell>
          <cell r="G125" t="str">
            <v>Y</v>
          </cell>
          <cell r="H125" t="str">
            <v>N</v>
          </cell>
          <cell r="I125" t="str">
            <v>N</v>
          </cell>
        </row>
        <row r="126">
          <cell r="A126" t="str">
            <v>TWI170</v>
          </cell>
          <cell r="B126" t="str">
            <v>彰化和美</v>
          </cell>
          <cell r="C126" t="str">
            <v>一般店</v>
          </cell>
          <cell r="D126" t="str">
            <v>V2</v>
          </cell>
          <cell r="E126">
            <v>1</v>
          </cell>
          <cell r="F126" t="str">
            <v>Y</v>
          </cell>
          <cell r="G126" t="str">
            <v>N</v>
          </cell>
          <cell r="H126" t="str">
            <v>N</v>
          </cell>
          <cell r="I126" t="str">
            <v>N</v>
          </cell>
        </row>
        <row r="127">
          <cell r="A127" t="str">
            <v>TWI171</v>
          </cell>
          <cell r="B127" t="str">
            <v>台中河南</v>
          </cell>
          <cell r="C127" t="str">
            <v>一般店</v>
          </cell>
          <cell r="D127" t="str">
            <v>V2</v>
          </cell>
          <cell r="E127">
            <v>2</v>
          </cell>
          <cell r="F127" t="str">
            <v>Y</v>
          </cell>
          <cell r="G127" t="str">
            <v>Y</v>
          </cell>
          <cell r="H127" t="str">
            <v>N</v>
          </cell>
          <cell r="I127" t="str">
            <v>N</v>
          </cell>
        </row>
        <row r="128">
          <cell r="A128" t="str">
            <v>TWI172</v>
          </cell>
          <cell r="B128" t="str">
            <v>台中五權西二</v>
          </cell>
          <cell r="C128" t="str">
            <v>一般店</v>
          </cell>
          <cell r="D128" t="str">
            <v>V4</v>
          </cell>
          <cell r="E128">
            <v>2</v>
          </cell>
          <cell r="F128" t="str">
            <v>Y</v>
          </cell>
          <cell r="G128" t="str">
            <v>Y</v>
          </cell>
          <cell r="H128" t="str">
            <v>N</v>
          </cell>
          <cell r="I128" t="str">
            <v>N</v>
          </cell>
        </row>
        <row r="129">
          <cell r="A129" t="str">
            <v>TWI173</v>
          </cell>
          <cell r="B129" t="str">
            <v>苗栗竹南</v>
          </cell>
          <cell r="C129" t="str">
            <v>一般店</v>
          </cell>
          <cell r="D129" t="str">
            <v>D1</v>
          </cell>
          <cell r="E129">
            <v>2</v>
          </cell>
          <cell r="F129" t="str">
            <v>Y</v>
          </cell>
          <cell r="G129" t="str">
            <v>Y</v>
          </cell>
          <cell r="H129" t="str">
            <v>N</v>
          </cell>
          <cell r="I129" t="str">
            <v>N</v>
          </cell>
        </row>
        <row r="130">
          <cell r="A130" t="str">
            <v>TWI174</v>
          </cell>
          <cell r="B130" t="str">
            <v>台北南京東三</v>
          </cell>
          <cell r="C130" t="str">
            <v>一般店</v>
          </cell>
          <cell r="D130" t="str">
            <v>V2</v>
          </cell>
          <cell r="E130">
            <v>2</v>
          </cell>
          <cell r="F130" t="str">
            <v>Y</v>
          </cell>
          <cell r="G130" t="str">
            <v>Y</v>
          </cell>
          <cell r="H130" t="str">
            <v>N</v>
          </cell>
          <cell r="I130" t="str">
            <v>N</v>
          </cell>
        </row>
        <row r="131">
          <cell r="A131" t="str">
            <v>TWI176</v>
          </cell>
          <cell r="B131" t="str">
            <v>台中福星</v>
          </cell>
          <cell r="C131" t="str">
            <v>一般店</v>
          </cell>
          <cell r="D131" t="str">
            <v>V4</v>
          </cell>
          <cell r="E131">
            <v>2</v>
          </cell>
          <cell r="F131" t="str">
            <v>Y</v>
          </cell>
          <cell r="G131" t="str">
            <v>Y</v>
          </cell>
          <cell r="H131" t="str">
            <v>N</v>
          </cell>
          <cell r="I131" t="str">
            <v>N</v>
          </cell>
        </row>
        <row r="132">
          <cell r="A132" t="str">
            <v>TWI177</v>
          </cell>
          <cell r="B132" t="str">
            <v>高雄青海</v>
          </cell>
          <cell r="C132" t="str">
            <v>一般店</v>
          </cell>
          <cell r="D132" t="str">
            <v>V4</v>
          </cell>
          <cell r="E132">
            <v>2</v>
          </cell>
          <cell r="F132" t="str">
            <v>Y</v>
          </cell>
          <cell r="G132" t="str">
            <v>Y</v>
          </cell>
          <cell r="H132" t="str">
            <v>N</v>
          </cell>
          <cell r="I132" t="str">
            <v>N</v>
          </cell>
        </row>
        <row r="133">
          <cell r="A133" t="str">
            <v>TWI178</v>
          </cell>
          <cell r="B133" t="str">
            <v>台北光復</v>
          </cell>
          <cell r="C133" t="str">
            <v>一般店</v>
          </cell>
          <cell r="D133" t="str">
            <v>D2</v>
          </cell>
          <cell r="E133">
            <v>2</v>
          </cell>
          <cell r="F133" t="str">
            <v>Y</v>
          </cell>
          <cell r="G133" t="str">
            <v>Y</v>
          </cell>
          <cell r="H133" t="str">
            <v>N</v>
          </cell>
          <cell r="I133" t="str">
            <v>N</v>
          </cell>
        </row>
        <row r="134">
          <cell r="A134" t="str">
            <v>TWI179</v>
          </cell>
          <cell r="B134" t="str">
            <v>桃園大竹</v>
          </cell>
          <cell r="C134" t="str">
            <v>一般店</v>
          </cell>
          <cell r="D134" t="str">
            <v>V4</v>
          </cell>
          <cell r="E134">
            <v>2</v>
          </cell>
          <cell r="F134" t="str">
            <v>Y</v>
          </cell>
          <cell r="G134" t="str">
            <v>Y</v>
          </cell>
          <cell r="H134" t="str">
            <v>N</v>
          </cell>
          <cell r="I134" t="str">
            <v>N</v>
          </cell>
        </row>
        <row r="135">
          <cell r="A135" t="str">
            <v>TWI180</v>
          </cell>
          <cell r="B135" t="str">
            <v>高雄崇德</v>
          </cell>
          <cell r="C135" t="str">
            <v>一般店</v>
          </cell>
          <cell r="D135" t="str">
            <v>V4</v>
          </cell>
          <cell r="E135">
            <v>2</v>
          </cell>
          <cell r="F135" t="str">
            <v>Y</v>
          </cell>
          <cell r="G135" t="str">
            <v>Y</v>
          </cell>
          <cell r="H135" t="str">
            <v>N</v>
          </cell>
          <cell r="I135" t="str">
            <v>N</v>
          </cell>
        </row>
        <row r="136">
          <cell r="A136" t="str">
            <v>TWI181</v>
          </cell>
          <cell r="B136" t="str">
            <v>板橋雙十</v>
          </cell>
          <cell r="C136" t="str">
            <v>一般店</v>
          </cell>
          <cell r="D136" t="str">
            <v>V3</v>
          </cell>
          <cell r="E136">
            <v>2</v>
          </cell>
          <cell r="F136" t="str">
            <v>Y</v>
          </cell>
          <cell r="G136" t="str">
            <v>Y</v>
          </cell>
          <cell r="H136" t="str">
            <v>N</v>
          </cell>
          <cell r="I136" t="str">
            <v>N</v>
          </cell>
        </row>
        <row r="137">
          <cell r="A137" t="str">
            <v>TWI182</v>
          </cell>
          <cell r="B137" t="str">
            <v>桃園萬壽</v>
          </cell>
          <cell r="C137" t="str">
            <v>一般店</v>
          </cell>
          <cell r="D137" t="str">
            <v>V4</v>
          </cell>
          <cell r="E137">
            <v>2</v>
          </cell>
          <cell r="F137" t="str">
            <v>Y</v>
          </cell>
          <cell r="G137" t="str">
            <v>Y</v>
          </cell>
          <cell r="H137" t="str">
            <v>N</v>
          </cell>
          <cell r="I137" t="str">
            <v>N</v>
          </cell>
        </row>
        <row r="138">
          <cell r="A138" t="str">
            <v>TWI183</v>
          </cell>
          <cell r="B138" t="str">
            <v>桃園中山二</v>
          </cell>
          <cell r="C138" t="str">
            <v>一般店</v>
          </cell>
          <cell r="D138" t="str">
            <v>V4</v>
          </cell>
          <cell r="E138">
            <v>2</v>
          </cell>
          <cell r="F138" t="str">
            <v>Y</v>
          </cell>
          <cell r="G138" t="str">
            <v>Y</v>
          </cell>
          <cell r="H138" t="str">
            <v>N</v>
          </cell>
          <cell r="I138" t="str">
            <v>N</v>
          </cell>
        </row>
        <row r="139">
          <cell r="A139" t="str">
            <v>TWI184</v>
          </cell>
          <cell r="B139" t="str">
            <v>台中文心二</v>
          </cell>
          <cell r="C139" t="str">
            <v>一般店</v>
          </cell>
          <cell r="D139" t="str">
            <v>V4</v>
          </cell>
          <cell r="E139">
            <v>2</v>
          </cell>
          <cell r="F139" t="str">
            <v>Y</v>
          </cell>
          <cell r="G139" t="str">
            <v>Y</v>
          </cell>
          <cell r="H139" t="str">
            <v>N</v>
          </cell>
          <cell r="I139" t="str">
            <v>N</v>
          </cell>
        </row>
        <row r="140">
          <cell r="A140" t="str">
            <v>TWI185</v>
          </cell>
          <cell r="B140" t="str">
            <v>台中文心三</v>
          </cell>
          <cell r="C140" t="str">
            <v>一般店</v>
          </cell>
          <cell r="D140" t="str">
            <v>V4</v>
          </cell>
          <cell r="E140">
            <v>2</v>
          </cell>
          <cell r="F140" t="str">
            <v>Y</v>
          </cell>
          <cell r="G140" t="str">
            <v>Y</v>
          </cell>
          <cell r="H140" t="str">
            <v>N</v>
          </cell>
          <cell r="I140" t="str">
            <v>N</v>
          </cell>
        </row>
        <row r="141">
          <cell r="A141" t="str">
            <v>TWI186</v>
          </cell>
          <cell r="B141" t="str">
            <v>屏東潮州</v>
          </cell>
          <cell r="C141" t="str">
            <v>一般店</v>
          </cell>
          <cell r="D141" t="str">
            <v>V2</v>
          </cell>
          <cell r="E141">
            <v>2</v>
          </cell>
          <cell r="F141" t="str">
            <v>Y</v>
          </cell>
          <cell r="G141" t="str">
            <v>Y</v>
          </cell>
          <cell r="H141" t="str">
            <v>N</v>
          </cell>
          <cell r="I141" t="str">
            <v>N</v>
          </cell>
        </row>
        <row r="142">
          <cell r="A142" t="str">
            <v>TWI187</v>
          </cell>
          <cell r="B142" t="str">
            <v>土城中央</v>
          </cell>
          <cell r="C142" t="str">
            <v>一般店</v>
          </cell>
          <cell r="D142" t="str">
            <v>V4</v>
          </cell>
          <cell r="E142">
            <v>2</v>
          </cell>
          <cell r="F142" t="str">
            <v>Y</v>
          </cell>
          <cell r="G142" t="str">
            <v>Y</v>
          </cell>
          <cell r="H142" t="str">
            <v>N</v>
          </cell>
          <cell r="I142" t="str">
            <v>N</v>
          </cell>
        </row>
        <row r="143">
          <cell r="A143" t="str">
            <v>TWI188</v>
          </cell>
          <cell r="B143" t="str">
            <v>內湖瑞光</v>
          </cell>
          <cell r="C143" t="str">
            <v>一般店</v>
          </cell>
          <cell r="D143" t="str">
            <v>V3</v>
          </cell>
          <cell r="E143">
            <v>2</v>
          </cell>
          <cell r="F143" t="str">
            <v>Y</v>
          </cell>
          <cell r="G143" t="str">
            <v>Y</v>
          </cell>
          <cell r="H143" t="str">
            <v>N</v>
          </cell>
          <cell r="I143" t="str">
            <v>N</v>
          </cell>
        </row>
        <row r="144">
          <cell r="A144" t="str">
            <v>TWI189</v>
          </cell>
          <cell r="B144" t="str">
            <v>嘉義民雄</v>
          </cell>
          <cell r="C144" t="str">
            <v>一般店</v>
          </cell>
          <cell r="D144" t="str">
            <v>V3</v>
          </cell>
          <cell r="E144">
            <v>2</v>
          </cell>
          <cell r="F144" t="str">
            <v>Y</v>
          </cell>
          <cell r="G144" t="str">
            <v>Y</v>
          </cell>
          <cell r="H144" t="str">
            <v>N</v>
          </cell>
          <cell r="I144" t="str">
            <v>N</v>
          </cell>
        </row>
        <row r="145">
          <cell r="A145" t="str">
            <v>TWI190</v>
          </cell>
          <cell r="B145" t="str">
            <v>桃園大溪</v>
          </cell>
          <cell r="C145" t="str">
            <v>一般店</v>
          </cell>
          <cell r="D145" t="str">
            <v>V4</v>
          </cell>
          <cell r="E145">
            <v>1</v>
          </cell>
          <cell r="F145" t="str">
            <v>Y</v>
          </cell>
          <cell r="G145" t="str">
            <v>N</v>
          </cell>
          <cell r="H145" t="str">
            <v>N</v>
          </cell>
          <cell r="I145" t="str">
            <v>N</v>
          </cell>
        </row>
        <row r="146">
          <cell r="A146" t="str">
            <v>TWI191</v>
          </cell>
          <cell r="B146" t="str">
            <v>台中公益</v>
          </cell>
          <cell r="C146" t="str">
            <v>一般店</v>
          </cell>
          <cell r="D146" t="str">
            <v>V3</v>
          </cell>
          <cell r="E146">
            <v>2</v>
          </cell>
          <cell r="F146" t="str">
            <v>Y</v>
          </cell>
          <cell r="G146" t="str">
            <v>Y</v>
          </cell>
          <cell r="H146" t="str">
            <v>N</v>
          </cell>
          <cell r="I146" t="str">
            <v>N</v>
          </cell>
        </row>
        <row r="147">
          <cell r="A147" t="str">
            <v>TWI193</v>
          </cell>
          <cell r="B147" t="str">
            <v>新北鶯歌</v>
          </cell>
          <cell r="C147" t="str">
            <v>一般店</v>
          </cell>
          <cell r="D147" t="str">
            <v>V4</v>
          </cell>
          <cell r="E147">
            <v>1</v>
          </cell>
          <cell r="F147" t="str">
            <v>Y</v>
          </cell>
          <cell r="G147" t="str">
            <v>N</v>
          </cell>
          <cell r="H147" t="str">
            <v>N</v>
          </cell>
          <cell r="I147" t="str">
            <v>N</v>
          </cell>
        </row>
        <row r="148">
          <cell r="A148" t="str">
            <v>TWI194</v>
          </cell>
          <cell r="B148" t="str">
            <v>新店安康</v>
          </cell>
          <cell r="C148" t="str">
            <v>一般店</v>
          </cell>
          <cell r="D148" t="str">
            <v>V4</v>
          </cell>
          <cell r="E148">
            <v>2</v>
          </cell>
          <cell r="F148" t="str">
            <v>Y</v>
          </cell>
          <cell r="G148" t="str">
            <v>Y</v>
          </cell>
          <cell r="H148" t="str">
            <v>N</v>
          </cell>
          <cell r="I148" t="str">
            <v>N</v>
          </cell>
        </row>
        <row r="149">
          <cell r="A149" t="str">
            <v>TWI195</v>
          </cell>
          <cell r="B149" t="str">
            <v>彰化北斗</v>
          </cell>
          <cell r="C149" t="str">
            <v>一般店</v>
          </cell>
          <cell r="D149" t="str">
            <v>V3</v>
          </cell>
          <cell r="E149">
            <v>1</v>
          </cell>
          <cell r="F149" t="str">
            <v>Y</v>
          </cell>
          <cell r="G149" t="str">
            <v>N</v>
          </cell>
          <cell r="H149" t="str">
            <v>N</v>
          </cell>
          <cell r="I149" t="str">
            <v>N</v>
          </cell>
        </row>
        <row r="150">
          <cell r="A150" t="str">
            <v>TWI197</v>
          </cell>
          <cell r="B150" t="str">
            <v>中和員山</v>
          </cell>
          <cell r="C150" t="str">
            <v>一般店</v>
          </cell>
          <cell r="D150" t="str">
            <v>V4</v>
          </cell>
          <cell r="E150">
            <v>2</v>
          </cell>
          <cell r="F150" t="str">
            <v>Y</v>
          </cell>
          <cell r="G150" t="str">
            <v>Y</v>
          </cell>
          <cell r="H150" t="str">
            <v>N</v>
          </cell>
          <cell r="I150" t="str">
            <v>N</v>
          </cell>
        </row>
        <row r="151">
          <cell r="A151" t="str">
            <v>TWI198</v>
          </cell>
          <cell r="B151" t="str">
            <v>台北東湖三</v>
          </cell>
          <cell r="C151" t="str">
            <v>一般店</v>
          </cell>
          <cell r="D151" t="str">
            <v>D2</v>
          </cell>
          <cell r="E151">
            <v>1</v>
          </cell>
          <cell r="F151" t="str">
            <v>Y</v>
          </cell>
          <cell r="G151" t="str">
            <v>N</v>
          </cell>
          <cell r="H151" t="str">
            <v>N</v>
          </cell>
          <cell r="I151" t="str">
            <v>N</v>
          </cell>
        </row>
        <row r="152">
          <cell r="A152" t="str">
            <v>TWI199</v>
          </cell>
          <cell r="B152" t="str">
            <v>宜蘭礁溪</v>
          </cell>
          <cell r="C152" t="str">
            <v>一般店</v>
          </cell>
          <cell r="D152" t="str">
            <v>V3</v>
          </cell>
          <cell r="E152">
            <v>2</v>
          </cell>
          <cell r="F152" t="str">
            <v>Y</v>
          </cell>
          <cell r="G152" t="str">
            <v>Y</v>
          </cell>
          <cell r="H152" t="str">
            <v>N</v>
          </cell>
          <cell r="I152" t="str">
            <v>N</v>
          </cell>
        </row>
        <row r="153">
          <cell r="A153" t="str">
            <v>TWI200</v>
          </cell>
          <cell r="B153" t="str">
            <v>台中崇德</v>
          </cell>
          <cell r="C153" t="str">
            <v>一般店</v>
          </cell>
          <cell r="D153" t="str">
            <v>V2</v>
          </cell>
          <cell r="E153">
            <v>1</v>
          </cell>
          <cell r="F153" t="str">
            <v>Y</v>
          </cell>
          <cell r="G153" t="str">
            <v>N</v>
          </cell>
          <cell r="H153" t="str">
            <v>N</v>
          </cell>
          <cell r="I153" t="str">
            <v>N</v>
          </cell>
        </row>
        <row r="154">
          <cell r="A154" t="str">
            <v>TWI201</v>
          </cell>
          <cell r="B154" t="str">
            <v>桃園台茂</v>
          </cell>
          <cell r="C154" t="str">
            <v>一般店</v>
          </cell>
          <cell r="D154" t="str">
            <v>V2</v>
          </cell>
          <cell r="E154">
            <v>1</v>
          </cell>
          <cell r="F154" t="str">
            <v>Y</v>
          </cell>
          <cell r="G154" t="str">
            <v>N</v>
          </cell>
          <cell r="H154" t="str">
            <v>N</v>
          </cell>
          <cell r="I154" t="str">
            <v>N</v>
          </cell>
        </row>
        <row r="155">
          <cell r="A155" t="str">
            <v>TWI202</v>
          </cell>
          <cell r="B155" t="str">
            <v>板橋忠孝</v>
          </cell>
          <cell r="C155" t="str">
            <v>一般店</v>
          </cell>
          <cell r="D155" t="str">
            <v>D2</v>
          </cell>
          <cell r="E155">
            <v>1</v>
          </cell>
          <cell r="F155" t="str">
            <v>Y</v>
          </cell>
          <cell r="G155" t="str">
            <v>N</v>
          </cell>
          <cell r="H155" t="str">
            <v>N</v>
          </cell>
          <cell r="I155" t="str">
            <v>N</v>
          </cell>
        </row>
        <row r="156">
          <cell r="A156" t="str">
            <v>TWI203</v>
          </cell>
          <cell r="B156" t="str">
            <v>新竹湖口</v>
          </cell>
          <cell r="C156" t="str">
            <v>一般店</v>
          </cell>
          <cell r="D156" t="str">
            <v>V1</v>
          </cell>
          <cell r="E156">
            <v>1</v>
          </cell>
          <cell r="F156" t="str">
            <v>Y</v>
          </cell>
          <cell r="G156" t="str">
            <v>N</v>
          </cell>
          <cell r="H156" t="str">
            <v>N</v>
          </cell>
          <cell r="I156" t="str">
            <v>N</v>
          </cell>
        </row>
        <row r="157">
          <cell r="A157" t="str">
            <v>TWI204</v>
          </cell>
          <cell r="B157" t="str">
            <v>雲林北港</v>
          </cell>
          <cell r="C157" t="str">
            <v>一般店</v>
          </cell>
          <cell r="D157" t="str">
            <v>V4</v>
          </cell>
          <cell r="E157">
            <v>1</v>
          </cell>
          <cell r="F157" t="str">
            <v>Y</v>
          </cell>
          <cell r="G157" t="str">
            <v>N</v>
          </cell>
          <cell r="H157" t="str">
            <v>N</v>
          </cell>
          <cell r="I157" t="str">
            <v>N</v>
          </cell>
        </row>
        <row r="158">
          <cell r="A158" t="str">
            <v>TWI206</v>
          </cell>
          <cell r="B158" t="str">
            <v>台中中清</v>
          </cell>
          <cell r="C158" t="str">
            <v>一般店</v>
          </cell>
          <cell r="D158" t="str">
            <v>V4</v>
          </cell>
          <cell r="E158">
            <v>1</v>
          </cell>
          <cell r="F158" t="str">
            <v>Y</v>
          </cell>
          <cell r="G158" t="str">
            <v>N</v>
          </cell>
          <cell r="H158" t="str">
            <v>N</v>
          </cell>
          <cell r="I158" t="str">
            <v>N</v>
          </cell>
        </row>
        <row r="159">
          <cell r="A159" t="str">
            <v>TWI207</v>
          </cell>
          <cell r="B159" t="str">
            <v>台南大灣</v>
          </cell>
          <cell r="C159" t="str">
            <v>一般店</v>
          </cell>
          <cell r="D159" t="str">
            <v>V3</v>
          </cell>
          <cell r="E159">
            <v>2</v>
          </cell>
          <cell r="F159" t="str">
            <v>Y</v>
          </cell>
          <cell r="G159" t="str">
            <v>Y</v>
          </cell>
          <cell r="H159" t="str">
            <v>N</v>
          </cell>
          <cell r="I159" t="str">
            <v>N</v>
          </cell>
        </row>
        <row r="160">
          <cell r="A160" t="str">
            <v>TWI208</v>
          </cell>
          <cell r="B160" t="str">
            <v>台南民族</v>
          </cell>
          <cell r="C160" t="str">
            <v>一般店</v>
          </cell>
          <cell r="D160" t="str">
            <v>V4</v>
          </cell>
          <cell r="E160">
            <v>1</v>
          </cell>
          <cell r="F160" t="str">
            <v>Y</v>
          </cell>
          <cell r="G160" t="str">
            <v>N</v>
          </cell>
          <cell r="H160" t="str">
            <v>N</v>
          </cell>
          <cell r="I160" t="str">
            <v>N</v>
          </cell>
        </row>
        <row r="161">
          <cell r="A161" t="str">
            <v>TWI209</v>
          </cell>
          <cell r="B161" t="str">
            <v>中壢環中東二</v>
          </cell>
          <cell r="C161" t="str">
            <v>一般店</v>
          </cell>
          <cell r="D161" t="str">
            <v>V4</v>
          </cell>
          <cell r="E161">
            <v>2</v>
          </cell>
          <cell r="F161" t="str">
            <v>Y</v>
          </cell>
          <cell r="G161" t="str">
            <v>Y</v>
          </cell>
          <cell r="H161" t="str">
            <v>N</v>
          </cell>
          <cell r="I161" t="str">
            <v>N</v>
          </cell>
        </row>
        <row r="162">
          <cell r="A162" t="str">
            <v>TWI210</v>
          </cell>
          <cell r="B162" t="str">
            <v>台中清水</v>
          </cell>
          <cell r="C162" t="str">
            <v>一般店</v>
          </cell>
          <cell r="D162" t="str">
            <v>V4</v>
          </cell>
          <cell r="E162">
            <v>2</v>
          </cell>
          <cell r="F162" t="str">
            <v>Y</v>
          </cell>
          <cell r="G162" t="str">
            <v>Y</v>
          </cell>
          <cell r="H162" t="str">
            <v>N</v>
          </cell>
          <cell r="I162" t="str">
            <v>N</v>
          </cell>
        </row>
        <row r="163">
          <cell r="A163" t="str">
            <v>TWI211</v>
          </cell>
          <cell r="B163" t="str">
            <v>花蓮吉安</v>
          </cell>
          <cell r="C163" t="str">
            <v>一般店</v>
          </cell>
          <cell r="D163" t="str">
            <v>V3</v>
          </cell>
          <cell r="E163">
            <v>2</v>
          </cell>
          <cell r="F163" t="str">
            <v>Y</v>
          </cell>
          <cell r="G163" t="str">
            <v>Y</v>
          </cell>
          <cell r="H163" t="str">
            <v>N</v>
          </cell>
          <cell r="I163" t="str">
            <v>N</v>
          </cell>
        </row>
        <row r="164">
          <cell r="A164" t="str">
            <v>TWI212</v>
          </cell>
          <cell r="B164" t="str">
            <v>彰化花壇</v>
          </cell>
          <cell r="C164" t="str">
            <v>一般店</v>
          </cell>
          <cell r="D164" t="str">
            <v>V4</v>
          </cell>
          <cell r="E164">
            <v>1</v>
          </cell>
          <cell r="F164" t="str">
            <v>Y</v>
          </cell>
          <cell r="G164" t="str">
            <v>N</v>
          </cell>
          <cell r="H164" t="str">
            <v>N</v>
          </cell>
          <cell r="I164" t="str">
            <v>N</v>
          </cell>
        </row>
        <row r="165">
          <cell r="A165" t="str">
            <v>TWI213</v>
          </cell>
          <cell r="B165" t="str">
            <v>高雄鼎中</v>
          </cell>
          <cell r="C165" t="str">
            <v>一般店</v>
          </cell>
          <cell r="D165" t="str">
            <v>V4</v>
          </cell>
          <cell r="E165">
            <v>1</v>
          </cell>
          <cell r="F165" t="str">
            <v>Y</v>
          </cell>
          <cell r="G165" t="str">
            <v>N</v>
          </cell>
          <cell r="H165" t="str">
            <v>N</v>
          </cell>
          <cell r="I165" t="str">
            <v>N</v>
          </cell>
        </row>
        <row r="166">
          <cell r="A166" t="str">
            <v>TWI214</v>
          </cell>
          <cell r="B166" t="str">
            <v>新竹中正</v>
          </cell>
          <cell r="C166" t="str">
            <v>數位店</v>
          </cell>
          <cell r="D166" t="str">
            <v>V4</v>
          </cell>
          <cell r="E166">
            <v>4</v>
          </cell>
          <cell r="F166" t="str">
            <v>Y</v>
          </cell>
          <cell r="G166" t="str">
            <v>Y</v>
          </cell>
          <cell r="H166" t="str">
            <v>Y</v>
          </cell>
          <cell r="I166" t="str">
            <v>Y</v>
          </cell>
        </row>
        <row r="167">
          <cell r="A167" t="str">
            <v>TWI215</v>
          </cell>
          <cell r="B167" t="str">
            <v>高雄仁武</v>
          </cell>
          <cell r="C167" t="str">
            <v>一般店</v>
          </cell>
          <cell r="D167" t="str">
            <v>V4</v>
          </cell>
          <cell r="E167">
            <v>1</v>
          </cell>
          <cell r="F167" t="str">
            <v>Y</v>
          </cell>
          <cell r="G167" t="str">
            <v>N</v>
          </cell>
          <cell r="H167" t="str">
            <v>N</v>
          </cell>
          <cell r="I167" t="str">
            <v>N</v>
          </cell>
        </row>
        <row r="168">
          <cell r="A168" t="str">
            <v>TWI216</v>
          </cell>
          <cell r="B168" t="str">
            <v>屏東東港</v>
          </cell>
          <cell r="C168" t="str">
            <v>一般店</v>
          </cell>
          <cell r="D168" t="str">
            <v>V4</v>
          </cell>
          <cell r="E168">
            <v>1</v>
          </cell>
          <cell r="F168" t="str">
            <v>Y</v>
          </cell>
          <cell r="G168" t="str">
            <v>N</v>
          </cell>
          <cell r="H168" t="str">
            <v>N</v>
          </cell>
          <cell r="I168" t="str">
            <v>N</v>
          </cell>
        </row>
        <row r="169">
          <cell r="A169" t="str">
            <v>TWI217</v>
          </cell>
          <cell r="B169" t="str">
            <v>台北復興南</v>
          </cell>
          <cell r="C169" t="str">
            <v>一般店</v>
          </cell>
          <cell r="D169" t="str">
            <v>V4</v>
          </cell>
          <cell r="E169">
            <v>1</v>
          </cell>
          <cell r="F169" t="str">
            <v>Y</v>
          </cell>
          <cell r="G169" t="str">
            <v>N</v>
          </cell>
          <cell r="H169" t="str">
            <v>N</v>
          </cell>
          <cell r="I169" t="str">
            <v>N</v>
          </cell>
        </row>
        <row r="170">
          <cell r="A170" t="str">
            <v>TWI218</v>
          </cell>
          <cell r="B170" t="str">
            <v>新北八里</v>
          </cell>
          <cell r="C170" t="str">
            <v>一般店</v>
          </cell>
          <cell r="D170" t="str">
            <v>V4</v>
          </cell>
          <cell r="E170">
            <v>2</v>
          </cell>
          <cell r="F170" t="str">
            <v>Y</v>
          </cell>
          <cell r="G170" t="str">
            <v>Y</v>
          </cell>
          <cell r="H170" t="str">
            <v>N</v>
          </cell>
          <cell r="I170" t="str">
            <v>N</v>
          </cell>
        </row>
        <row r="171">
          <cell r="A171" t="str">
            <v>TWI219</v>
          </cell>
          <cell r="B171" t="str">
            <v>台中東海</v>
          </cell>
          <cell r="C171" t="str">
            <v>一般店</v>
          </cell>
          <cell r="D171" t="str">
            <v>V4</v>
          </cell>
          <cell r="E171">
            <v>2</v>
          </cell>
          <cell r="F171" t="str">
            <v>Y</v>
          </cell>
          <cell r="G171" t="str">
            <v>Y</v>
          </cell>
          <cell r="H171" t="str">
            <v>N</v>
          </cell>
          <cell r="I171" t="str">
            <v>N</v>
          </cell>
        </row>
        <row r="172">
          <cell r="A172" t="str">
            <v>TWI220</v>
          </cell>
          <cell r="B172" t="str">
            <v>內湖金龍</v>
          </cell>
          <cell r="C172" t="str">
            <v>一般店</v>
          </cell>
          <cell r="D172" t="str">
            <v>D1*.16 .17, V2*18</v>
          </cell>
          <cell r="E172">
            <v>3</v>
          </cell>
          <cell r="F172" t="str">
            <v>Y</v>
          </cell>
          <cell r="G172" t="str">
            <v>Y</v>
          </cell>
          <cell r="H172" t="str">
            <v>Y</v>
          </cell>
          <cell r="I172" t="str">
            <v>N</v>
          </cell>
        </row>
        <row r="173">
          <cell r="A173" t="str">
            <v>TWI221</v>
          </cell>
          <cell r="B173" t="str">
            <v>新營復興</v>
          </cell>
          <cell r="C173" t="str">
            <v>一般店</v>
          </cell>
          <cell r="D173" t="str">
            <v>V4</v>
          </cell>
          <cell r="E173">
            <v>1</v>
          </cell>
          <cell r="F173" t="str">
            <v>Y</v>
          </cell>
          <cell r="G173" t="str">
            <v>N</v>
          </cell>
          <cell r="H173" t="str">
            <v>N</v>
          </cell>
          <cell r="I173" t="str">
            <v>N</v>
          </cell>
        </row>
        <row r="174">
          <cell r="A174" t="str">
            <v>TWI222</v>
          </cell>
          <cell r="B174" t="str">
            <v>台中大甲</v>
          </cell>
          <cell r="C174" t="str">
            <v>一般店</v>
          </cell>
          <cell r="D174" t="str">
            <v>V4</v>
          </cell>
          <cell r="E174">
            <v>1</v>
          </cell>
          <cell r="F174" t="str">
            <v>Y</v>
          </cell>
          <cell r="G174" t="str">
            <v>N</v>
          </cell>
          <cell r="H174" t="str">
            <v>N</v>
          </cell>
          <cell r="I174" t="str">
            <v>N</v>
          </cell>
        </row>
        <row r="175">
          <cell r="A175" t="str">
            <v>TWI223</v>
          </cell>
          <cell r="B175" t="str">
            <v>台北石牌二</v>
          </cell>
          <cell r="C175" t="str">
            <v>數位店</v>
          </cell>
          <cell r="D175" t="str">
            <v>V4</v>
          </cell>
          <cell r="E175">
            <v>3</v>
          </cell>
          <cell r="F175" t="str">
            <v>N</v>
          </cell>
          <cell r="G175" t="str">
            <v>Y</v>
          </cell>
          <cell r="H175" t="str">
            <v>Y</v>
          </cell>
          <cell r="I175" t="str">
            <v>Y</v>
          </cell>
        </row>
        <row r="176">
          <cell r="A176" t="str">
            <v>TWI224</v>
          </cell>
          <cell r="B176" t="str">
            <v>高雄瑞隆</v>
          </cell>
          <cell r="C176" t="str">
            <v>一般店</v>
          </cell>
          <cell r="D176" t="str">
            <v>V4</v>
          </cell>
          <cell r="E176">
            <v>2</v>
          </cell>
          <cell r="F176" t="str">
            <v>Y</v>
          </cell>
          <cell r="G176" t="str">
            <v>Y</v>
          </cell>
          <cell r="H176" t="str">
            <v>N</v>
          </cell>
          <cell r="I176" t="str">
            <v>N</v>
          </cell>
        </row>
        <row r="177">
          <cell r="A177" t="str">
            <v>TWI225</v>
          </cell>
          <cell r="B177" t="str">
            <v>台南佳里</v>
          </cell>
          <cell r="C177" t="str">
            <v>一般店</v>
          </cell>
          <cell r="D177" t="str">
            <v>V4</v>
          </cell>
          <cell r="E177">
            <v>2</v>
          </cell>
          <cell r="F177" t="str">
            <v>Y</v>
          </cell>
          <cell r="G177" t="str">
            <v>Y</v>
          </cell>
          <cell r="H177" t="str">
            <v>N</v>
          </cell>
          <cell r="I177" t="str">
            <v>N</v>
          </cell>
        </row>
        <row r="178">
          <cell r="A178" t="str">
            <v>TWI226</v>
          </cell>
          <cell r="B178" t="str">
            <v>蘆洲長榮</v>
          </cell>
          <cell r="C178" t="str">
            <v>一般店</v>
          </cell>
          <cell r="D178" t="str">
            <v>V4</v>
          </cell>
          <cell r="E178">
            <v>2</v>
          </cell>
          <cell r="F178" t="str">
            <v>Y</v>
          </cell>
          <cell r="G178" t="str">
            <v>Y</v>
          </cell>
          <cell r="H178" t="str">
            <v>N</v>
          </cell>
          <cell r="I178" t="str">
            <v>N</v>
          </cell>
        </row>
        <row r="179">
          <cell r="A179" t="str">
            <v>TWI227</v>
          </cell>
          <cell r="B179" t="str">
            <v>桃園新屋</v>
          </cell>
          <cell r="C179" t="str">
            <v>一般店</v>
          </cell>
          <cell r="D179" t="str">
            <v>V4</v>
          </cell>
          <cell r="E179">
            <v>1</v>
          </cell>
          <cell r="F179" t="str">
            <v>Y</v>
          </cell>
          <cell r="G179" t="str">
            <v>N</v>
          </cell>
          <cell r="H179" t="str">
            <v>N</v>
          </cell>
          <cell r="I179" t="str">
            <v>N</v>
          </cell>
        </row>
        <row r="180">
          <cell r="A180" t="str">
            <v>TWI228</v>
          </cell>
          <cell r="B180" t="str">
            <v>台中霧峰</v>
          </cell>
          <cell r="C180" t="str">
            <v>一般店</v>
          </cell>
          <cell r="D180" t="str">
            <v>D2</v>
          </cell>
          <cell r="E180">
            <v>2</v>
          </cell>
          <cell r="F180" t="str">
            <v>Y</v>
          </cell>
          <cell r="G180" t="str">
            <v>Y</v>
          </cell>
          <cell r="H180" t="str">
            <v>N</v>
          </cell>
          <cell r="I180" t="str">
            <v>N</v>
          </cell>
        </row>
        <row r="181">
          <cell r="A181" t="str">
            <v>TWI229</v>
          </cell>
          <cell r="B181" t="str">
            <v>北投中央</v>
          </cell>
          <cell r="C181" t="str">
            <v>一般店</v>
          </cell>
          <cell r="D181" t="str">
            <v>V4</v>
          </cell>
          <cell r="E181">
            <v>1</v>
          </cell>
          <cell r="F181" t="str">
            <v>Y</v>
          </cell>
          <cell r="G181" t="str">
            <v>N</v>
          </cell>
          <cell r="H181" t="str">
            <v>N</v>
          </cell>
          <cell r="I181" t="str">
            <v>N</v>
          </cell>
        </row>
        <row r="182">
          <cell r="A182" t="str">
            <v>TWI230</v>
          </cell>
          <cell r="B182" t="str">
            <v>中和景安</v>
          </cell>
          <cell r="C182" t="str">
            <v>一般店</v>
          </cell>
          <cell r="D182" t="str">
            <v>V4</v>
          </cell>
          <cell r="E182">
            <v>1</v>
          </cell>
          <cell r="F182" t="str">
            <v>Y</v>
          </cell>
          <cell r="G182" t="str">
            <v>N</v>
          </cell>
          <cell r="H182" t="str">
            <v>N</v>
          </cell>
          <cell r="I182" t="str">
            <v>N</v>
          </cell>
        </row>
        <row r="183">
          <cell r="A183" t="str">
            <v>TWI231</v>
          </cell>
          <cell r="B183" t="str">
            <v>南投竹山</v>
          </cell>
          <cell r="C183" t="str">
            <v>一般店</v>
          </cell>
          <cell r="D183" t="str">
            <v>D2</v>
          </cell>
          <cell r="E183">
            <v>2</v>
          </cell>
          <cell r="F183" t="str">
            <v>Y</v>
          </cell>
          <cell r="G183" t="str">
            <v>Y</v>
          </cell>
          <cell r="H183" t="str">
            <v>N</v>
          </cell>
          <cell r="I183" t="str">
            <v>N</v>
          </cell>
        </row>
        <row r="184">
          <cell r="A184" t="str">
            <v>TWI232</v>
          </cell>
          <cell r="B184" t="str">
            <v>斗六民生二</v>
          </cell>
          <cell r="C184" t="str">
            <v>一般店</v>
          </cell>
          <cell r="D184" t="str">
            <v>D2</v>
          </cell>
          <cell r="E184">
            <v>2</v>
          </cell>
          <cell r="F184" t="str">
            <v>Y</v>
          </cell>
          <cell r="G184" t="str">
            <v>Y</v>
          </cell>
          <cell r="H184" t="str">
            <v>N</v>
          </cell>
          <cell r="I184" t="str">
            <v>N</v>
          </cell>
        </row>
        <row r="185">
          <cell r="A185" t="str">
            <v>TWI233</v>
          </cell>
          <cell r="B185" t="str">
            <v>宜蘭蘇澳</v>
          </cell>
          <cell r="C185" t="str">
            <v>一般店</v>
          </cell>
          <cell r="D185" t="str">
            <v>D2</v>
          </cell>
          <cell r="E185">
            <v>1</v>
          </cell>
          <cell r="F185" t="str">
            <v>Y</v>
          </cell>
          <cell r="G185" t="str">
            <v>N</v>
          </cell>
          <cell r="H185" t="str">
            <v>N</v>
          </cell>
          <cell r="I185" t="str">
            <v>N</v>
          </cell>
        </row>
        <row r="186">
          <cell r="A186" t="str">
            <v>TWI234</v>
          </cell>
          <cell r="B186" t="str">
            <v>基隆深溪</v>
          </cell>
          <cell r="C186" t="str">
            <v>一般店</v>
          </cell>
          <cell r="D186" t="str">
            <v>V4</v>
          </cell>
          <cell r="E186">
            <v>2</v>
          </cell>
          <cell r="F186" t="str">
            <v>Y</v>
          </cell>
          <cell r="G186" t="str">
            <v>Y</v>
          </cell>
          <cell r="H186" t="str">
            <v>N</v>
          </cell>
          <cell r="I186" t="str">
            <v>N</v>
          </cell>
        </row>
        <row r="187">
          <cell r="A187" t="str">
            <v>TWI235</v>
          </cell>
          <cell r="B187" t="str">
            <v>竹北中華</v>
          </cell>
          <cell r="C187" t="str">
            <v>一般店</v>
          </cell>
          <cell r="D187" t="str">
            <v>V4</v>
          </cell>
          <cell r="E187">
            <v>2</v>
          </cell>
          <cell r="F187" t="str">
            <v>Y</v>
          </cell>
          <cell r="G187" t="str">
            <v>Y</v>
          </cell>
          <cell r="H187" t="str">
            <v>N</v>
          </cell>
          <cell r="I187" t="str">
            <v>N</v>
          </cell>
        </row>
        <row r="188">
          <cell r="A188" t="str">
            <v>TWI236</v>
          </cell>
          <cell r="B188" t="str">
            <v>嘉義朴子</v>
          </cell>
          <cell r="C188" t="str">
            <v>一般店</v>
          </cell>
          <cell r="D188" t="str">
            <v>V3</v>
          </cell>
          <cell r="E188">
            <v>2</v>
          </cell>
          <cell r="F188" t="str">
            <v>Y</v>
          </cell>
          <cell r="G188" t="str">
            <v>Y</v>
          </cell>
          <cell r="H188" t="str">
            <v>N</v>
          </cell>
          <cell r="I188" t="str">
            <v>N</v>
          </cell>
        </row>
        <row r="189">
          <cell r="A189" t="str">
            <v>TWI237</v>
          </cell>
          <cell r="B189" t="str">
            <v>台北重慶</v>
          </cell>
          <cell r="C189" t="str">
            <v>一般店</v>
          </cell>
          <cell r="D189" t="str">
            <v>V4</v>
          </cell>
          <cell r="E189">
            <v>1</v>
          </cell>
          <cell r="F189" t="str">
            <v>Y</v>
          </cell>
          <cell r="G189" t="str">
            <v>N</v>
          </cell>
          <cell r="H189" t="str">
            <v>N</v>
          </cell>
          <cell r="I189" t="str">
            <v>N</v>
          </cell>
        </row>
        <row r="190">
          <cell r="A190" t="str">
            <v>TWI238</v>
          </cell>
          <cell r="B190" t="str">
            <v>高雄橋頭</v>
          </cell>
          <cell r="C190" t="str">
            <v>一般店</v>
          </cell>
          <cell r="D190" t="str">
            <v>D2</v>
          </cell>
          <cell r="E190">
            <v>2</v>
          </cell>
          <cell r="F190" t="str">
            <v>Y</v>
          </cell>
          <cell r="G190" t="str">
            <v>Y</v>
          </cell>
          <cell r="H190" t="str">
            <v>N</v>
          </cell>
          <cell r="I190" t="str">
            <v>N</v>
          </cell>
        </row>
        <row r="191">
          <cell r="A191" t="str">
            <v>TWI239</v>
          </cell>
          <cell r="B191" t="str">
            <v>台南仁德</v>
          </cell>
          <cell r="C191" t="str">
            <v>一般店</v>
          </cell>
          <cell r="D191" t="str">
            <v>D2</v>
          </cell>
          <cell r="E191">
            <v>2</v>
          </cell>
          <cell r="F191" t="str">
            <v>Y</v>
          </cell>
          <cell r="G191" t="str">
            <v>Y</v>
          </cell>
          <cell r="H191" t="str">
            <v>N</v>
          </cell>
          <cell r="I191" t="str">
            <v>N</v>
          </cell>
        </row>
        <row r="192">
          <cell r="A192" t="str">
            <v>TWI240</v>
          </cell>
          <cell r="B192" t="str">
            <v>台北民權東</v>
          </cell>
          <cell r="C192" t="str">
            <v>一般店</v>
          </cell>
          <cell r="D192" t="str">
            <v>V4</v>
          </cell>
          <cell r="E192">
            <v>2</v>
          </cell>
          <cell r="F192" t="str">
            <v>Y</v>
          </cell>
          <cell r="G192" t="str">
            <v>Y</v>
          </cell>
          <cell r="H192" t="str">
            <v>N</v>
          </cell>
          <cell r="I192" t="str">
            <v>N</v>
          </cell>
        </row>
        <row r="193">
          <cell r="A193" t="str">
            <v>TWI241</v>
          </cell>
          <cell r="B193" t="str">
            <v>台南安和</v>
          </cell>
          <cell r="C193" t="str">
            <v>一般店</v>
          </cell>
          <cell r="D193" t="str">
            <v>V4</v>
          </cell>
          <cell r="E193">
            <v>2</v>
          </cell>
          <cell r="F193" t="str">
            <v>Y</v>
          </cell>
          <cell r="G193" t="str">
            <v>Y</v>
          </cell>
          <cell r="H193" t="str">
            <v>N</v>
          </cell>
          <cell r="I193" t="str">
            <v>N</v>
          </cell>
        </row>
        <row r="194">
          <cell r="A194" t="str">
            <v>TWI242</v>
          </cell>
          <cell r="B194" t="str">
            <v>中壢過嶺</v>
          </cell>
          <cell r="C194" t="str">
            <v>一般店</v>
          </cell>
          <cell r="D194" t="str">
            <v>V4</v>
          </cell>
          <cell r="E194">
            <v>2</v>
          </cell>
          <cell r="F194" t="str">
            <v>Y</v>
          </cell>
          <cell r="G194" t="str">
            <v>Y</v>
          </cell>
          <cell r="H194" t="str">
            <v>N</v>
          </cell>
          <cell r="I194" t="str">
            <v>N</v>
          </cell>
        </row>
        <row r="195">
          <cell r="A195" t="str">
            <v>TWI243</v>
          </cell>
          <cell r="B195" t="str">
            <v>台南新市</v>
          </cell>
          <cell r="C195" t="str">
            <v>一般店</v>
          </cell>
          <cell r="D195" t="str">
            <v>D2</v>
          </cell>
          <cell r="E195">
            <v>2</v>
          </cell>
          <cell r="F195" t="str">
            <v>Y</v>
          </cell>
          <cell r="G195" t="str">
            <v>Y</v>
          </cell>
          <cell r="H195" t="str">
            <v>N</v>
          </cell>
          <cell r="I195" t="str">
            <v>N</v>
          </cell>
        </row>
        <row r="196">
          <cell r="A196" t="str">
            <v>TWI244</v>
          </cell>
          <cell r="B196" t="str">
            <v>台北永吉</v>
          </cell>
          <cell r="C196" t="str">
            <v>一般店</v>
          </cell>
          <cell r="D196" t="str">
            <v>D2</v>
          </cell>
          <cell r="E196">
            <v>2</v>
          </cell>
          <cell r="F196" t="str">
            <v>Y</v>
          </cell>
          <cell r="G196" t="str">
            <v>Y</v>
          </cell>
          <cell r="H196" t="str">
            <v>N</v>
          </cell>
          <cell r="I196" t="str">
            <v>N</v>
          </cell>
        </row>
        <row r="197">
          <cell r="A197" t="str">
            <v>TWI245</v>
          </cell>
          <cell r="B197" t="str">
            <v>台南麻豆</v>
          </cell>
          <cell r="C197" t="str">
            <v>一般店</v>
          </cell>
          <cell r="D197" t="str">
            <v>V4</v>
          </cell>
          <cell r="E197">
            <v>2</v>
          </cell>
          <cell r="F197" t="str">
            <v>Y</v>
          </cell>
          <cell r="G197" t="str">
            <v>Y</v>
          </cell>
          <cell r="H197" t="str">
            <v>N</v>
          </cell>
          <cell r="I197" t="str">
            <v>N</v>
          </cell>
        </row>
        <row r="198">
          <cell r="A198" t="str">
            <v>TWI246</v>
          </cell>
          <cell r="B198" t="str">
            <v>台中北屯</v>
          </cell>
          <cell r="C198" t="str">
            <v>一般店</v>
          </cell>
          <cell r="D198" t="str">
            <v>V4</v>
          </cell>
          <cell r="E198">
            <v>2</v>
          </cell>
          <cell r="F198" t="str">
            <v>Y</v>
          </cell>
          <cell r="G198" t="str">
            <v>Y</v>
          </cell>
          <cell r="H198" t="str">
            <v>N</v>
          </cell>
          <cell r="I198" t="str">
            <v>N</v>
          </cell>
        </row>
        <row r="199">
          <cell r="A199" t="str">
            <v>TWI247</v>
          </cell>
          <cell r="B199" t="str">
            <v>台中梧棲</v>
          </cell>
          <cell r="C199" t="str">
            <v>一般店</v>
          </cell>
          <cell r="D199" t="str">
            <v>V4</v>
          </cell>
          <cell r="E199">
            <v>2</v>
          </cell>
          <cell r="F199" t="str">
            <v>Y</v>
          </cell>
          <cell r="G199" t="str">
            <v>Y</v>
          </cell>
          <cell r="H199" t="str">
            <v>N</v>
          </cell>
          <cell r="I199" t="str">
            <v>N</v>
          </cell>
        </row>
        <row r="200">
          <cell r="A200" t="str">
            <v>TWI248</v>
          </cell>
          <cell r="B200" t="str">
            <v>桃園領航</v>
          </cell>
          <cell r="C200" t="str">
            <v>一般店</v>
          </cell>
          <cell r="D200" t="str">
            <v>V4</v>
          </cell>
          <cell r="E200">
            <v>2</v>
          </cell>
          <cell r="F200" t="str">
            <v>Y</v>
          </cell>
          <cell r="G200" t="str">
            <v>Y</v>
          </cell>
          <cell r="H200" t="str">
            <v>N</v>
          </cell>
          <cell r="I200" t="str">
            <v>N</v>
          </cell>
        </row>
        <row r="201">
          <cell r="A201" t="str">
            <v>TWI249</v>
          </cell>
          <cell r="B201" t="str">
            <v>高雄中安</v>
          </cell>
          <cell r="C201" t="str">
            <v>一般店</v>
          </cell>
          <cell r="D201" t="str">
            <v>V4</v>
          </cell>
          <cell r="E201">
            <v>2</v>
          </cell>
          <cell r="F201" t="str">
            <v>Y</v>
          </cell>
          <cell r="G201" t="str">
            <v>Y</v>
          </cell>
          <cell r="H201" t="str">
            <v>N</v>
          </cell>
          <cell r="I201" t="str">
            <v>N</v>
          </cell>
        </row>
        <row r="203">
          <cell r="E203">
            <v>424</v>
          </cell>
          <cell r="F203">
            <v>198</v>
          </cell>
          <cell r="G203">
            <v>167</v>
          </cell>
          <cell r="H203">
            <v>37</v>
          </cell>
          <cell r="I203">
            <v>22</v>
          </cell>
        </row>
        <row r="204">
          <cell r="A204" t="str">
            <v>* 版本不同跟當初的配置有關，有的數位店是壁掛及桌上型混合使用，有的是因為舊機故障維修成本太高，以比較新的機器替換</v>
          </cell>
        </row>
      </sheetData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_VDF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18B6-B117-2840-983A-8D85162EF878}">
  <sheetPr>
    <outlinePr summaryBelow="0" summaryRight="0"/>
  </sheetPr>
  <dimension ref="A1:V990"/>
  <sheetViews>
    <sheetView tabSelected="1" zoomScale="125" workbookViewId="0">
      <pane xSplit="1" ySplit="1" topLeftCell="J178" activePane="bottomRight" state="frozen"/>
      <selection pane="topRight" activeCell="B1" sqref="B1"/>
      <selection pane="bottomLeft" activeCell="A4" sqref="A4"/>
      <selection pane="bottomRight" activeCell="P199" sqref="P199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8.83203125" style="2" bestFit="1" customWidth="1"/>
    <col min="6" max="6" width="25.1640625" style="2" bestFit="1" customWidth="1"/>
    <col min="7" max="7" width="28.5" style="9" bestFit="1" customWidth="1"/>
    <col min="8" max="8" width="18.83203125" style="2" bestFit="1" customWidth="1"/>
    <col min="9" max="9" width="25.1640625" style="2" bestFit="1" customWidth="1"/>
    <col min="10" max="10" width="28.5" style="9" bestFit="1" customWidth="1"/>
    <col min="11" max="11" width="18.83203125" style="2" bestFit="1" customWidth="1"/>
    <col min="12" max="12" width="25.1640625" style="2" bestFit="1" customWidth="1"/>
    <col min="13" max="13" width="28.5" style="9" bestFit="1" customWidth="1"/>
    <col min="14" max="14" width="32.83203125" style="2" bestFit="1" customWidth="1"/>
    <col min="15" max="15" width="39.6640625" style="2" bestFit="1" customWidth="1"/>
    <col min="16" max="16" width="43" style="2" bestFit="1" customWidth="1"/>
    <col min="17" max="17" width="25" style="2" bestFit="1" customWidth="1"/>
    <col min="18" max="18" width="31.83203125" style="2" bestFit="1" customWidth="1"/>
    <col min="19" max="19" width="35.1640625" style="2" bestFit="1" customWidth="1"/>
    <col min="20" max="20" width="28.83203125" style="2" bestFit="1" customWidth="1"/>
    <col min="21" max="22" width="35.1640625" style="2" customWidth="1"/>
    <col min="23" max="16384" width="12.6640625" style="2"/>
  </cols>
  <sheetData>
    <row r="1" spans="1:22" s="3" customFormat="1" ht="25" customHeight="1" x14ac:dyDescent="0.2">
      <c r="A1" s="4" t="s">
        <v>0</v>
      </c>
      <c r="B1" s="4" t="s">
        <v>405</v>
      </c>
      <c r="C1" s="4" t="s">
        <v>406</v>
      </c>
      <c r="D1" s="4" t="s">
        <v>1</v>
      </c>
      <c r="E1" s="10" t="s">
        <v>2</v>
      </c>
      <c r="F1" s="10" t="s">
        <v>3</v>
      </c>
      <c r="G1" s="7" t="s">
        <v>4</v>
      </c>
      <c r="H1" s="10" t="s">
        <v>5</v>
      </c>
      <c r="I1" s="10" t="s">
        <v>6</v>
      </c>
      <c r="J1" s="7" t="s">
        <v>7</v>
      </c>
      <c r="K1" s="10" t="s">
        <v>8</v>
      </c>
      <c r="L1" s="10" t="s">
        <v>9</v>
      </c>
      <c r="M1" s="7" t="s">
        <v>10</v>
      </c>
      <c r="N1" s="12" t="s">
        <v>413</v>
      </c>
      <c r="O1" s="12" t="s">
        <v>414</v>
      </c>
      <c r="P1" s="13" t="s">
        <v>415</v>
      </c>
      <c r="Q1" s="11" t="s">
        <v>408</v>
      </c>
      <c r="R1" s="11" t="s">
        <v>409</v>
      </c>
      <c r="S1" s="7" t="s">
        <v>407</v>
      </c>
      <c r="T1" s="11" t="s">
        <v>410</v>
      </c>
      <c r="U1" s="11" t="s">
        <v>411</v>
      </c>
      <c r="V1" s="7" t="s">
        <v>412</v>
      </c>
    </row>
    <row r="2" spans="1:22" ht="15.75" customHeight="1" x14ac:dyDescent="0.2">
      <c r="A2" s="1" t="s">
        <v>11</v>
      </c>
      <c r="B2" s="1" t="str">
        <f>VLOOKUP(A2,[60]HardwareList!A:I,3,FALSE)</f>
        <v>一般店</v>
      </c>
      <c r="C2" s="1" t="str">
        <f>VLOOKUP(A2,[60]HardwareList!A:I,4,FALSE)</f>
        <v>V4</v>
      </c>
      <c r="D2" s="1" t="s">
        <v>12</v>
      </c>
      <c r="E2" s="6">
        <v>219304</v>
      </c>
      <c r="F2" s="6">
        <v>171128</v>
      </c>
      <c r="G2" s="8">
        <v>0.78029999999999999</v>
      </c>
      <c r="H2" s="6">
        <v>1210910</v>
      </c>
      <c r="I2" s="6">
        <v>916433</v>
      </c>
      <c r="J2" s="8">
        <v>0.75680000000000003</v>
      </c>
      <c r="K2" s="6">
        <v>854341</v>
      </c>
      <c r="L2" s="6">
        <v>630078</v>
      </c>
      <c r="M2" s="8">
        <v>0.73750000000000004</v>
      </c>
      <c r="N2" s="6">
        <f>E2+H2+K2</f>
        <v>2284555</v>
      </c>
      <c r="O2" s="6">
        <f>F2+I2+L2</f>
        <v>1717639</v>
      </c>
      <c r="P2" s="8">
        <f>O2/N2</f>
        <v>0.75184839060561026</v>
      </c>
      <c r="Q2" s="6">
        <v>266677</v>
      </c>
      <c r="R2" s="6">
        <v>167104</v>
      </c>
      <c r="S2" s="8">
        <f>R2/Q2</f>
        <v>0.62661571864090271</v>
      </c>
      <c r="T2" s="6">
        <v>565950</v>
      </c>
      <c r="U2" s="6">
        <v>356928</v>
      </c>
      <c r="V2" s="8">
        <f>U2/T2</f>
        <v>0.63067055393586002</v>
      </c>
    </row>
    <row r="3" spans="1:22" ht="15.75" customHeight="1" x14ac:dyDescent="0.2">
      <c r="A3" s="1" t="s">
        <v>13</v>
      </c>
      <c r="B3" s="1" t="str">
        <f>VLOOKUP(A3,[60]HardwareList!A:I,3,FALSE)</f>
        <v>一般店</v>
      </c>
      <c r="C3" s="1" t="str">
        <f>VLOOKUP(A3,[60]HardwareList!A:I,4,FALSE)</f>
        <v>V4</v>
      </c>
      <c r="D3" s="1" t="s">
        <v>14</v>
      </c>
      <c r="E3" s="6">
        <v>336721</v>
      </c>
      <c r="F3" s="6">
        <v>263939</v>
      </c>
      <c r="G3" s="8">
        <v>0.78390000000000004</v>
      </c>
      <c r="H3" s="6">
        <v>847740</v>
      </c>
      <c r="I3" s="6">
        <v>621136</v>
      </c>
      <c r="J3" s="8">
        <v>0.73270000000000002</v>
      </c>
      <c r="K3" s="6">
        <v>755770</v>
      </c>
      <c r="L3" s="6">
        <v>538869</v>
      </c>
      <c r="M3" s="8">
        <v>0.71299999999999997</v>
      </c>
      <c r="N3" s="6">
        <f>E3+H3+K3</f>
        <v>1940231</v>
      </c>
      <c r="O3" s="6">
        <f>F3+I3+L3</f>
        <v>1423944</v>
      </c>
      <c r="P3" s="8">
        <f t="shared" ref="P3:P66" si="0">O3/N3</f>
        <v>0.73390436499571443</v>
      </c>
      <c r="Q3" s="6">
        <v>329153</v>
      </c>
      <c r="R3" s="6">
        <v>207792</v>
      </c>
      <c r="S3" s="8">
        <f t="shared" ref="S3:S66" si="1">R3/Q3</f>
        <v>0.63129304609102754</v>
      </c>
      <c r="T3" s="6">
        <v>712908</v>
      </c>
      <c r="U3" s="6">
        <v>457348</v>
      </c>
      <c r="V3" s="8">
        <f>U3/T3</f>
        <v>0.64152457259562246</v>
      </c>
    </row>
    <row r="4" spans="1:22" ht="15.75" customHeight="1" x14ac:dyDescent="0.2">
      <c r="A4" s="1" t="s">
        <v>15</v>
      </c>
      <c r="B4" s="1" t="str">
        <f>VLOOKUP(A4,[60]HardwareList!A:I,3,FALSE)</f>
        <v>一般店</v>
      </c>
      <c r="C4" s="1" t="str">
        <f>VLOOKUP(A4,[60]HardwareList!A:I,4,FALSE)</f>
        <v>V4</v>
      </c>
      <c r="D4" s="1" t="s">
        <v>16</v>
      </c>
      <c r="E4" s="6">
        <v>955050</v>
      </c>
      <c r="F4" s="6">
        <v>677960</v>
      </c>
      <c r="G4" s="8">
        <v>0.70989999999999998</v>
      </c>
      <c r="H4" s="6">
        <v>955301</v>
      </c>
      <c r="I4" s="6">
        <v>642239</v>
      </c>
      <c r="J4" s="8">
        <v>0.67230000000000001</v>
      </c>
      <c r="K4" s="6">
        <v>944583</v>
      </c>
      <c r="L4" s="6">
        <v>636832</v>
      </c>
      <c r="M4" s="8">
        <v>0.67420000000000002</v>
      </c>
      <c r="N4" s="6">
        <f>E4+H4+K4</f>
        <v>2854934</v>
      </c>
      <c r="O4" s="6">
        <f>F4+I4+L4</f>
        <v>1957031</v>
      </c>
      <c r="P4" s="8">
        <f t="shared" si="0"/>
        <v>0.68549080293975273</v>
      </c>
      <c r="Q4" s="6">
        <v>309796</v>
      </c>
      <c r="R4" s="6">
        <v>180111</v>
      </c>
      <c r="S4" s="8">
        <f t="shared" si="1"/>
        <v>0.58138581518160337</v>
      </c>
      <c r="T4" s="6">
        <v>674482</v>
      </c>
      <c r="U4" s="6">
        <v>387728</v>
      </c>
      <c r="V4" s="8">
        <f>U4/T4</f>
        <v>0.57485299830091829</v>
      </c>
    </row>
    <row r="5" spans="1:22" ht="15.75" customHeight="1" x14ac:dyDescent="0.2">
      <c r="A5" s="1" t="s">
        <v>17</v>
      </c>
      <c r="B5" s="1" t="str">
        <f>VLOOKUP(A5,[60]HardwareList!A:I,3,FALSE)</f>
        <v>一般店</v>
      </c>
      <c r="C5" s="1" t="str">
        <f>VLOOKUP(A5,[60]HardwareList!A:I,4,FALSE)</f>
        <v>V4</v>
      </c>
      <c r="D5" s="1" t="s">
        <v>18</v>
      </c>
      <c r="E5" s="6">
        <v>983877</v>
      </c>
      <c r="F5" s="6">
        <v>670342</v>
      </c>
      <c r="G5" s="8">
        <v>0.68130000000000002</v>
      </c>
      <c r="H5" s="6">
        <v>970658</v>
      </c>
      <c r="I5" s="6">
        <v>639837</v>
      </c>
      <c r="J5" s="8">
        <v>0.65920000000000001</v>
      </c>
      <c r="K5" s="6">
        <v>924101</v>
      </c>
      <c r="L5" s="6">
        <v>629913</v>
      </c>
      <c r="M5" s="8">
        <v>0.68159999999999998</v>
      </c>
      <c r="N5" s="6">
        <f>E5+H5+K5</f>
        <v>2878636</v>
      </c>
      <c r="O5" s="6">
        <f>F5+I5+L5</f>
        <v>1940092</v>
      </c>
      <c r="P5" s="8">
        <f t="shared" si="0"/>
        <v>0.6739622515663668</v>
      </c>
      <c r="Q5" s="6">
        <v>328175</v>
      </c>
      <c r="R5" s="6">
        <v>201961</v>
      </c>
      <c r="S5" s="8">
        <f t="shared" si="1"/>
        <v>0.6154064142606841</v>
      </c>
      <c r="T5" s="6">
        <v>701650</v>
      </c>
      <c r="U5" s="6">
        <v>430974</v>
      </c>
      <c r="V5" s="8">
        <f>U5/T5</f>
        <v>0.6142293166108459</v>
      </c>
    </row>
    <row r="6" spans="1:22" ht="15.75" customHeight="1" x14ac:dyDescent="0.2">
      <c r="A6" s="1" t="s">
        <v>19</v>
      </c>
      <c r="B6" s="1" t="str">
        <f>VLOOKUP(A6,[60]HardwareList!A:I,3,FALSE)</f>
        <v>一般店</v>
      </c>
      <c r="C6" s="1" t="str">
        <f>VLOOKUP(A6,[60]HardwareList!A:I,4,FALSE)</f>
        <v>V4</v>
      </c>
      <c r="D6" s="1" t="s">
        <v>20</v>
      </c>
      <c r="E6" s="6">
        <v>886671</v>
      </c>
      <c r="F6" s="6">
        <v>599036</v>
      </c>
      <c r="G6" s="8">
        <v>0.67559999999999998</v>
      </c>
      <c r="H6" s="6">
        <v>824247</v>
      </c>
      <c r="I6" s="6">
        <v>541217</v>
      </c>
      <c r="J6" s="8">
        <v>0.65659999999999996</v>
      </c>
      <c r="K6" s="6">
        <v>928335</v>
      </c>
      <c r="L6" s="6">
        <v>649671</v>
      </c>
      <c r="M6" s="8">
        <v>0.69979999999999998</v>
      </c>
      <c r="N6" s="6">
        <f>E6+H6+K6</f>
        <v>2639253</v>
      </c>
      <c r="O6" s="6">
        <f>F6+I6+L6</f>
        <v>1789924</v>
      </c>
      <c r="P6" s="8">
        <f t="shared" si="0"/>
        <v>0.6781934130604379</v>
      </c>
      <c r="Q6" s="6">
        <v>281213</v>
      </c>
      <c r="R6" s="6">
        <v>171133</v>
      </c>
      <c r="S6" s="8">
        <f t="shared" si="1"/>
        <v>0.60855294740997035</v>
      </c>
      <c r="T6" s="6">
        <v>608124</v>
      </c>
      <c r="U6" s="6">
        <v>368022</v>
      </c>
      <c r="V6" s="8">
        <f>U6/T6</f>
        <v>0.60517591806934112</v>
      </c>
    </row>
    <row r="7" spans="1:22" ht="15.75" customHeight="1" x14ac:dyDescent="0.2">
      <c r="A7" s="1" t="s">
        <v>21</v>
      </c>
      <c r="B7" s="1" t="str">
        <f>VLOOKUP(A7,[60]HardwareList!A:I,3,FALSE)</f>
        <v>一般店</v>
      </c>
      <c r="C7" s="1" t="str">
        <f>VLOOKUP(A7,[60]HardwareList!A:I,4,FALSE)</f>
        <v>D2</v>
      </c>
      <c r="D7" s="1" t="s">
        <v>22</v>
      </c>
      <c r="E7" s="6">
        <v>1081202</v>
      </c>
      <c r="F7" s="6">
        <v>715961</v>
      </c>
      <c r="G7" s="8">
        <v>0.66220000000000001</v>
      </c>
      <c r="H7" s="6">
        <v>948404</v>
      </c>
      <c r="I7" s="6">
        <v>630446</v>
      </c>
      <c r="J7" s="8">
        <v>0.66469999999999996</v>
      </c>
      <c r="K7" s="6">
        <v>904441</v>
      </c>
      <c r="L7" s="6">
        <v>607331</v>
      </c>
      <c r="M7" s="8">
        <v>0.67149999999999999</v>
      </c>
      <c r="N7" s="6">
        <f>E7+H7+K7</f>
        <v>2934047</v>
      </c>
      <c r="O7" s="6">
        <f>F7+I7+L7</f>
        <v>1953738</v>
      </c>
      <c r="P7" s="8">
        <f t="shared" si="0"/>
        <v>0.6658850386513917</v>
      </c>
      <c r="Q7" s="6">
        <v>401723</v>
      </c>
      <c r="R7" s="6">
        <v>229756</v>
      </c>
      <c r="S7" s="8">
        <f t="shared" si="1"/>
        <v>0.57192642691605911</v>
      </c>
      <c r="T7" s="6">
        <v>868852</v>
      </c>
      <c r="U7" s="6">
        <v>501736</v>
      </c>
      <c r="V7" s="8">
        <f>U7/T7</f>
        <v>0.57747004092756882</v>
      </c>
    </row>
    <row r="8" spans="1:22" ht="15.75" customHeight="1" x14ac:dyDescent="0.2">
      <c r="A8" s="1" t="s">
        <v>23</v>
      </c>
      <c r="B8" s="1" t="str">
        <f>VLOOKUP(A8,[60]HardwareList!A:I,3,FALSE)</f>
        <v>一般店</v>
      </c>
      <c r="C8" s="1" t="str">
        <f>VLOOKUP(A8,[60]HardwareList!A:I,4,FALSE)</f>
        <v>D2</v>
      </c>
      <c r="D8" s="1" t="s">
        <v>24</v>
      </c>
      <c r="E8" s="6">
        <v>998022</v>
      </c>
      <c r="F8" s="6">
        <v>692281</v>
      </c>
      <c r="G8" s="8">
        <v>0.69369999999999998</v>
      </c>
      <c r="H8" s="6">
        <v>868904</v>
      </c>
      <c r="I8" s="6">
        <v>601437</v>
      </c>
      <c r="J8" s="8">
        <v>0.69220000000000004</v>
      </c>
      <c r="K8" s="6">
        <v>909355</v>
      </c>
      <c r="L8" s="6">
        <v>653543</v>
      </c>
      <c r="M8" s="8">
        <v>0.71870000000000001</v>
      </c>
      <c r="N8" s="6">
        <f>E8+H8+K8</f>
        <v>2776281</v>
      </c>
      <c r="O8" s="6">
        <f>F8+I8+L8</f>
        <v>1947261</v>
      </c>
      <c r="P8" s="8">
        <f t="shared" si="0"/>
        <v>0.70139189801032387</v>
      </c>
      <c r="Q8" s="6">
        <v>372474</v>
      </c>
      <c r="R8" s="6">
        <v>235170</v>
      </c>
      <c r="S8" s="8">
        <f t="shared" si="1"/>
        <v>0.6313729280432997</v>
      </c>
      <c r="T8" s="6">
        <v>816934</v>
      </c>
      <c r="U8" s="6">
        <v>516036</v>
      </c>
      <c r="V8" s="8">
        <f>U8/T8</f>
        <v>0.63167403976331016</v>
      </c>
    </row>
    <row r="9" spans="1:22" ht="15.75" customHeight="1" x14ac:dyDescent="0.2">
      <c r="A9" s="1" t="s">
        <v>25</v>
      </c>
      <c r="B9" s="1" t="str">
        <f>VLOOKUP(A9,[60]HardwareList!A:I,3,FALSE)</f>
        <v>一般店</v>
      </c>
      <c r="C9" s="1" t="str">
        <f>VLOOKUP(A9,[60]HardwareList!A:I,4,FALSE)</f>
        <v>V4</v>
      </c>
      <c r="D9" s="1" t="s">
        <v>26</v>
      </c>
      <c r="E9" s="6">
        <v>748936</v>
      </c>
      <c r="F9" s="6">
        <v>463404</v>
      </c>
      <c r="G9" s="8">
        <v>0.61880000000000002</v>
      </c>
      <c r="H9" s="6">
        <v>686609</v>
      </c>
      <c r="I9" s="6">
        <v>425931</v>
      </c>
      <c r="J9" s="8">
        <v>0.62029999999999996</v>
      </c>
      <c r="K9" s="6">
        <v>740639</v>
      </c>
      <c r="L9" s="6">
        <v>455454</v>
      </c>
      <c r="M9" s="8">
        <v>0.6149</v>
      </c>
      <c r="N9" s="6">
        <f>E9+H9+K9</f>
        <v>2176184</v>
      </c>
      <c r="O9" s="6">
        <f>F9+I9+L9</f>
        <v>1344789</v>
      </c>
      <c r="P9" s="8">
        <f t="shared" si="0"/>
        <v>0.61795739698481378</v>
      </c>
      <c r="Q9" s="6">
        <v>277023</v>
      </c>
      <c r="R9" s="6">
        <v>144834</v>
      </c>
      <c r="S9" s="8">
        <f t="shared" si="1"/>
        <v>0.52282301469553072</v>
      </c>
      <c r="T9" s="6">
        <v>605378</v>
      </c>
      <c r="U9" s="6">
        <v>318888</v>
      </c>
      <c r="V9" s="8">
        <f>U9/T9</f>
        <v>0.52675848808513026</v>
      </c>
    </row>
    <row r="10" spans="1:22" ht="15.75" customHeight="1" x14ac:dyDescent="0.2">
      <c r="A10" s="1" t="s">
        <v>27</v>
      </c>
      <c r="B10" s="1" t="str">
        <f>VLOOKUP(A10,[60]HardwareList!A:I,3,FALSE)</f>
        <v>一般店</v>
      </c>
      <c r="C10" s="1" t="str">
        <f>VLOOKUP(A10,[60]HardwareList!A:I,4,FALSE)</f>
        <v>V4</v>
      </c>
      <c r="D10" s="1" t="s">
        <v>28</v>
      </c>
      <c r="E10" s="6">
        <v>645731</v>
      </c>
      <c r="F10" s="6">
        <v>416180</v>
      </c>
      <c r="G10" s="8">
        <v>0.64449999999999996</v>
      </c>
      <c r="H10" s="6">
        <v>626633</v>
      </c>
      <c r="I10" s="6">
        <v>390325</v>
      </c>
      <c r="J10" s="8">
        <v>0.62290000000000001</v>
      </c>
      <c r="K10" s="6">
        <v>696881</v>
      </c>
      <c r="L10" s="6">
        <v>443832</v>
      </c>
      <c r="M10" s="8">
        <v>0.63690000000000002</v>
      </c>
      <c r="N10" s="6">
        <f>E10+H10+K10</f>
        <v>1969245</v>
      </c>
      <c r="O10" s="6">
        <f>F10+I10+L10</f>
        <v>1250337</v>
      </c>
      <c r="P10" s="8">
        <f t="shared" si="0"/>
        <v>0.63493216943549435</v>
      </c>
      <c r="Q10" s="6">
        <v>238083</v>
      </c>
      <c r="R10" s="6">
        <v>125218</v>
      </c>
      <c r="S10" s="8">
        <f t="shared" si="1"/>
        <v>0.52594263345135939</v>
      </c>
      <c r="T10" s="6">
        <v>514032</v>
      </c>
      <c r="U10" s="6">
        <v>272390</v>
      </c>
      <c r="V10" s="8">
        <f>U10/T10</f>
        <v>0.52990864381984004</v>
      </c>
    </row>
    <row r="11" spans="1:22" ht="15.75" customHeight="1" x14ac:dyDescent="0.2">
      <c r="A11" s="1" t="s">
        <v>29</v>
      </c>
      <c r="B11" s="1" t="str">
        <f>VLOOKUP(A11,[60]HardwareList!A:I,3,FALSE)</f>
        <v>一般店</v>
      </c>
      <c r="C11" s="1" t="str">
        <f>VLOOKUP(A11,[60]HardwareList!A:I,4,FALSE)</f>
        <v>V4</v>
      </c>
      <c r="D11" s="1" t="s">
        <v>30</v>
      </c>
      <c r="E11" s="6">
        <v>837476</v>
      </c>
      <c r="F11" s="6">
        <v>529566</v>
      </c>
      <c r="G11" s="8">
        <v>0.63229999999999997</v>
      </c>
      <c r="H11" s="6">
        <v>843226</v>
      </c>
      <c r="I11" s="6">
        <v>492552</v>
      </c>
      <c r="J11" s="8">
        <v>0.58409999999999995</v>
      </c>
      <c r="K11" s="6">
        <v>764252</v>
      </c>
      <c r="L11" s="6">
        <v>277355</v>
      </c>
      <c r="M11" s="8">
        <v>0.3629</v>
      </c>
      <c r="N11" s="6">
        <f>E11+H11+K11</f>
        <v>2444954</v>
      </c>
      <c r="O11" s="6">
        <f>F11+I11+L11</f>
        <v>1299473</v>
      </c>
      <c r="P11" s="8">
        <f t="shared" si="0"/>
        <v>0.53149179902771182</v>
      </c>
      <c r="Q11" s="6">
        <v>385558</v>
      </c>
      <c r="R11" s="6">
        <v>218181</v>
      </c>
      <c r="S11" s="8">
        <f t="shared" si="1"/>
        <v>0.56588373214924859</v>
      </c>
      <c r="T11" s="6">
        <v>823094</v>
      </c>
      <c r="U11" s="6">
        <v>465512</v>
      </c>
      <c r="V11" s="8">
        <f>U11/T11</f>
        <v>0.56556359297965964</v>
      </c>
    </row>
    <row r="12" spans="1:22" ht="15.75" customHeight="1" x14ac:dyDescent="0.2">
      <c r="A12" s="1" t="s">
        <v>31</v>
      </c>
      <c r="B12" s="1" t="str">
        <f>VLOOKUP(A12,[60]HardwareList!A:I,3,FALSE)</f>
        <v>一般店</v>
      </c>
      <c r="C12" s="1" t="str">
        <f>VLOOKUP(A12,[60]HardwareList!A:I,4,FALSE)</f>
        <v>D2</v>
      </c>
      <c r="D12" s="1" t="s">
        <v>32</v>
      </c>
      <c r="E12" s="6">
        <v>823708</v>
      </c>
      <c r="F12" s="6">
        <v>556731</v>
      </c>
      <c r="G12" s="8">
        <v>0.67589999999999995</v>
      </c>
      <c r="H12" s="6">
        <v>862724</v>
      </c>
      <c r="I12" s="6">
        <v>558875</v>
      </c>
      <c r="J12" s="8">
        <v>0.64780000000000004</v>
      </c>
      <c r="K12" s="6">
        <v>930063</v>
      </c>
      <c r="L12" s="6">
        <v>621049</v>
      </c>
      <c r="M12" s="8">
        <v>0.66769999999999996</v>
      </c>
      <c r="N12" s="6">
        <f>E12+H12+K12</f>
        <v>2616495</v>
      </c>
      <c r="O12" s="6">
        <f>F12+I12+L12</f>
        <v>1736655</v>
      </c>
      <c r="P12" s="8">
        <f t="shared" si="0"/>
        <v>0.66373335320724858</v>
      </c>
      <c r="Q12" s="6">
        <v>349262</v>
      </c>
      <c r="R12" s="6">
        <v>217806</v>
      </c>
      <c r="S12" s="8">
        <f t="shared" si="1"/>
        <v>0.62361779981790177</v>
      </c>
      <c r="T12" s="6">
        <v>742954</v>
      </c>
      <c r="U12" s="6">
        <v>463858</v>
      </c>
      <c r="V12" s="8">
        <f>U12/T12</f>
        <v>0.62434282606998548</v>
      </c>
    </row>
    <row r="13" spans="1:22" ht="15.75" customHeight="1" x14ac:dyDescent="0.2">
      <c r="A13" s="1" t="s">
        <v>33</v>
      </c>
      <c r="B13" s="1" t="str">
        <f>VLOOKUP(A13,[60]HardwareList!A:I,3,FALSE)</f>
        <v>一般店</v>
      </c>
      <c r="C13" s="1" t="str">
        <f>VLOOKUP(A13,[60]HardwareList!A:I,4,FALSE)</f>
        <v>D2</v>
      </c>
      <c r="D13" s="1" t="s">
        <v>34</v>
      </c>
      <c r="E13" s="6">
        <v>645917</v>
      </c>
      <c r="F13" s="6">
        <v>444416</v>
      </c>
      <c r="G13" s="8">
        <v>0.68799999999999994</v>
      </c>
      <c r="H13" s="6">
        <v>642484</v>
      </c>
      <c r="I13" s="6">
        <v>448784</v>
      </c>
      <c r="J13" s="8">
        <v>0.69850000000000001</v>
      </c>
      <c r="K13" s="6">
        <v>725382</v>
      </c>
      <c r="L13" s="6">
        <v>513982</v>
      </c>
      <c r="M13" s="8">
        <v>0.70860000000000001</v>
      </c>
      <c r="N13" s="6">
        <f>E13+H13+K13</f>
        <v>2013783</v>
      </c>
      <c r="O13" s="6">
        <f>F13+I13+L13</f>
        <v>1407182</v>
      </c>
      <c r="P13" s="8">
        <f t="shared" si="0"/>
        <v>0.69877538940392292</v>
      </c>
      <c r="Q13" s="6">
        <v>237499</v>
      </c>
      <c r="R13" s="6">
        <v>137817</v>
      </c>
      <c r="S13" s="8">
        <f t="shared" si="1"/>
        <v>0.58028454856652023</v>
      </c>
      <c r="T13" s="6">
        <v>1031152</v>
      </c>
      <c r="U13" s="6">
        <v>605512</v>
      </c>
      <c r="V13" s="8">
        <f>U13/T13</f>
        <v>0.58721895511040079</v>
      </c>
    </row>
    <row r="14" spans="1:22" ht="15.75" customHeight="1" x14ac:dyDescent="0.2">
      <c r="A14" s="1" t="s">
        <v>35</v>
      </c>
      <c r="B14" s="1" t="str">
        <f>VLOOKUP(A14,[60]HardwareList!A:I,3,FALSE)</f>
        <v>一般店</v>
      </c>
      <c r="C14" s="1" t="str">
        <f>VLOOKUP(A14,[60]HardwareList!A:I,4,FALSE)</f>
        <v>V4</v>
      </c>
      <c r="D14" s="1" t="s">
        <v>36</v>
      </c>
      <c r="E14" s="6">
        <v>487979</v>
      </c>
      <c r="F14" s="6">
        <v>323028</v>
      </c>
      <c r="G14" s="8">
        <v>0.66200000000000003</v>
      </c>
      <c r="H14" s="6">
        <v>479724</v>
      </c>
      <c r="I14" s="6">
        <v>314990</v>
      </c>
      <c r="J14" s="8">
        <v>0.65659999999999996</v>
      </c>
      <c r="K14" s="6">
        <v>495349</v>
      </c>
      <c r="L14" s="6">
        <v>312397</v>
      </c>
      <c r="M14" s="8">
        <v>0.63070000000000004</v>
      </c>
      <c r="N14" s="6">
        <f>E14+H14+K14</f>
        <v>1463052</v>
      </c>
      <c r="O14" s="6">
        <f>F14+I14+L14</f>
        <v>950415</v>
      </c>
      <c r="P14" s="8">
        <f t="shared" si="0"/>
        <v>0.64961122366122326</v>
      </c>
      <c r="Q14" s="6">
        <v>216442</v>
      </c>
      <c r="R14" s="6">
        <v>125592</v>
      </c>
      <c r="S14" s="8">
        <f t="shared" si="1"/>
        <v>0.5802570665582466</v>
      </c>
      <c r="T14" s="6">
        <v>233147</v>
      </c>
      <c r="U14" s="6">
        <v>136640</v>
      </c>
      <c r="V14" s="8">
        <f>U14/T14</f>
        <v>0.58606801717371448</v>
      </c>
    </row>
    <row r="15" spans="1:22" ht="15.75" customHeight="1" x14ac:dyDescent="0.2">
      <c r="A15" s="1" t="s">
        <v>37</v>
      </c>
      <c r="B15" s="1" t="str">
        <f>VLOOKUP(A15,[60]HardwareList!A:I,3,FALSE)</f>
        <v>一般店</v>
      </c>
      <c r="C15" s="1" t="str">
        <f>VLOOKUP(A15,[60]HardwareList!A:I,4,FALSE)</f>
        <v>V3</v>
      </c>
      <c r="D15" s="1" t="s">
        <v>38</v>
      </c>
      <c r="E15" s="6">
        <v>580012</v>
      </c>
      <c r="F15" s="6">
        <v>373640</v>
      </c>
      <c r="G15" s="8">
        <v>0.64419999999999999</v>
      </c>
      <c r="H15" s="6">
        <v>632941</v>
      </c>
      <c r="I15" s="6">
        <v>382986</v>
      </c>
      <c r="J15" s="8">
        <v>0.60509999999999997</v>
      </c>
      <c r="K15" s="6">
        <v>762260</v>
      </c>
      <c r="L15" s="6">
        <v>468074</v>
      </c>
      <c r="M15" s="8">
        <v>0.61409999999999998</v>
      </c>
      <c r="N15" s="6">
        <f>E15+H15+K15</f>
        <v>1975213</v>
      </c>
      <c r="O15" s="6">
        <f>F15+I15+L15</f>
        <v>1224700</v>
      </c>
      <c r="P15" s="8">
        <f t="shared" si="0"/>
        <v>0.62003439629042534</v>
      </c>
      <c r="Q15" s="6">
        <v>291777</v>
      </c>
      <c r="R15" s="6">
        <v>155698</v>
      </c>
      <c r="S15" s="8">
        <f t="shared" si="1"/>
        <v>0.53361985351826913</v>
      </c>
      <c r="T15" s="6">
        <v>651950</v>
      </c>
      <c r="U15" s="6">
        <v>340202</v>
      </c>
      <c r="V15" s="8">
        <f>U15/T15</f>
        <v>0.52182222563079994</v>
      </c>
    </row>
    <row r="16" spans="1:22" ht="15.75" customHeight="1" x14ac:dyDescent="0.2">
      <c r="A16" s="1" t="s">
        <v>39</v>
      </c>
      <c r="B16" s="1" t="str">
        <f>VLOOKUP(A16,[60]HardwareList!A:I,3,FALSE)</f>
        <v>一般店</v>
      </c>
      <c r="C16" s="1" t="str">
        <f>VLOOKUP(A16,[60]HardwareList!A:I,4,FALSE)</f>
        <v>V4</v>
      </c>
      <c r="D16" s="1" t="s">
        <v>40</v>
      </c>
      <c r="E16" s="6">
        <v>750091</v>
      </c>
      <c r="F16" s="6">
        <v>505115</v>
      </c>
      <c r="G16" s="8">
        <v>0.6734</v>
      </c>
      <c r="H16" s="6">
        <v>784831</v>
      </c>
      <c r="I16" s="6">
        <v>506612</v>
      </c>
      <c r="J16" s="8">
        <v>0.64549999999999996</v>
      </c>
      <c r="K16" s="6">
        <v>727322</v>
      </c>
      <c r="L16" s="6">
        <v>500516</v>
      </c>
      <c r="M16" s="8">
        <v>0.68820000000000003</v>
      </c>
      <c r="N16" s="6">
        <f>E16+H16+K16</f>
        <v>2262244</v>
      </c>
      <c r="O16" s="6">
        <f>F16+I16+L16</f>
        <v>1512243</v>
      </c>
      <c r="P16" s="8">
        <f t="shared" si="0"/>
        <v>0.66847033299679437</v>
      </c>
      <c r="Q16" s="6">
        <v>350596</v>
      </c>
      <c r="R16" s="6">
        <v>211946</v>
      </c>
      <c r="S16" s="8">
        <f t="shared" si="1"/>
        <v>0.60453057079943862</v>
      </c>
      <c r="T16" s="6">
        <v>771418</v>
      </c>
      <c r="U16" s="6">
        <v>463442</v>
      </c>
      <c r="V16" s="8">
        <f>U16/T16</f>
        <v>0.60076638087262679</v>
      </c>
    </row>
    <row r="17" spans="1:22" ht="15.75" customHeight="1" x14ac:dyDescent="0.2">
      <c r="A17" s="1" t="s">
        <v>41</v>
      </c>
      <c r="B17" s="1" t="str">
        <f>VLOOKUP(A17,[60]HardwareList!A:I,3,FALSE)</f>
        <v>一般店</v>
      </c>
      <c r="C17" s="1" t="str">
        <f>VLOOKUP(A17,[60]HardwareList!A:I,4,FALSE)</f>
        <v>V4</v>
      </c>
      <c r="D17" s="1" t="s">
        <v>42</v>
      </c>
      <c r="E17" s="6">
        <v>591315</v>
      </c>
      <c r="F17" s="6">
        <v>411825</v>
      </c>
      <c r="G17" s="8">
        <v>0.69650000000000001</v>
      </c>
      <c r="H17" s="6">
        <v>560105</v>
      </c>
      <c r="I17" s="6">
        <v>371604</v>
      </c>
      <c r="J17" s="8">
        <v>0.66349999999999998</v>
      </c>
      <c r="K17" s="6">
        <v>608085</v>
      </c>
      <c r="L17" s="6">
        <v>416616</v>
      </c>
      <c r="M17" s="8">
        <v>0.68510000000000004</v>
      </c>
      <c r="N17" s="6">
        <f>E17+H17+K17</f>
        <v>1759505</v>
      </c>
      <c r="O17" s="6">
        <f>F17+I17+L17</f>
        <v>1200045</v>
      </c>
      <c r="P17" s="8">
        <f t="shared" si="0"/>
        <v>0.68203557250476698</v>
      </c>
      <c r="Q17" s="6">
        <v>245993</v>
      </c>
      <c r="R17" s="6">
        <v>141721</v>
      </c>
      <c r="S17" s="8">
        <f t="shared" si="1"/>
        <v>0.57611801961844444</v>
      </c>
      <c r="T17" s="6">
        <v>528484</v>
      </c>
      <c r="U17" s="6">
        <v>304114</v>
      </c>
      <c r="V17" s="8">
        <f>U17/T17</f>
        <v>0.57544599268852037</v>
      </c>
    </row>
    <row r="18" spans="1:22" ht="15.75" customHeight="1" x14ac:dyDescent="0.2">
      <c r="A18" s="1" t="s">
        <v>43</v>
      </c>
      <c r="B18" s="1" t="str">
        <f>VLOOKUP(A18,[60]HardwareList!A:I,3,FALSE)</f>
        <v>一般店</v>
      </c>
      <c r="C18" s="1" t="str">
        <f>VLOOKUP(A18,[60]HardwareList!A:I,4,FALSE)</f>
        <v>D2</v>
      </c>
      <c r="D18" s="1" t="s">
        <v>44</v>
      </c>
      <c r="E18" s="6">
        <v>448709</v>
      </c>
      <c r="F18" s="6">
        <v>303678</v>
      </c>
      <c r="G18" s="8">
        <v>0.67679999999999996</v>
      </c>
      <c r="H18" s="6">
        <v>434113</v>
      </c>
      <c r="I18" s="6">
        <v>295089</v>
      </c>
      <c r="J18" s="8">
        <v>0.67979999999999996</v>
      </c>
      <c r="K18" s="6">
        <v>505815</v>
      </c>
      <c r="L18" s="6">
        <v>354334</v>
      </c>
      <c r="M18" s="8">
        <v>0.70050000000000001</v>
      </c>
      <c r="N18" s="6">
        <f>E18+H18+K18</f>
        <v>1388637</v>
      </c>
      <c r="O18" s="6">
        <f>F18+I18+L18</f>
        <v>953101</v>
      </c>
      <c r="P18" s="8">
        <f t="shared" si="0"/>
        <v>0.68635719774138237</v>
      </c>
      <c r="Q18" s="6">
        <v>188379</v>
      </c>
      <c r="R18" s="6">
        <v>116334</v>
      </c>
      <c r="S18" s="8">
        <f t="shared" si="1"/>
        <v>0.61755291194878414</v>
      </c>
      <c r="T18" s="6">
        <v>204570</v>
      </c>
      <c r="U18" s="6">
        <v>121938</v>
      </c>
      <c r="V18" s="8">
        <f>U18/T18</f>
        <v>0.59606980495673856</v>
      </c>
    </row>
    <row r="19" spans="1:22" ht="15.75" customHeight="1" x14ac:dyDescent="0.2">
      <c r="A19" s="1" t="s">
        <v>45</v>
      </c>
      <c r="B19" s="1" t="str">
        <f>VLOOKUP(A19,[60]HardwareList!A:I,3,FALSE)</f>
        <v>一般店</v>
      </c>
      <c r="C19" s="1" t="str">
        <f>VLOOKUP(A19,[60]HardwareList!A:I,4,FALSE)</f>
        <v>D2</v>
      </c>
      <c r="D19" s="1" t="s">
        <v>46</v>
      </c>
      <c r="E19" s="6">
        <v>778128</v>
      </c>
      <c r="F19" s="6">
        <v>445612</v>
      </c>
      <c r="G19" s="8">
        <v>0.57269999999999999</v>
      </c>
      <c r="H19" s="6">
        <v>790672</v>
      </c>
      <c r="I19" s="6">
        <v>465414</v>
      </c>
      <c r="J19" s="8">
        <v>0.58860000000000001</v>
      </c>
      <c r="K19" s="6">
        <v>889515</v>
      </c>
      <c r="L19" s="6">
        <v>555719</v>
      </c>
      <c r="M19" s="8">
        <v>0.62470000000000003</v>
      </c>
      <c r="N19" s="6">
        <f>E19+H19+K19</f>
        <v>2458315</v>
      </c>
      <c r="O19" s="6">
        <f>F19+I19+L19</f>
        <v>1466745</v>
      </c>
      <c r="P19" s="8">
        <f t="shared" si="0"/>
        <v>0.59664648346530047</v>
      </c>
      <c r="Q19" s="6">
        <v>366691</v>
      </c>
      <c r="R19" s="6">
        <v>209388</v>
      </c>
      <c r="S19" s="8">
        <f t="shared" si="1"/>
        <v>0.57102028683550998</v>
      </c>
      <c r="T19" s="6">
        <v>803828</v>
      </c>
      <c r="U19" s="6">
        <v>456908</v>
      </c>
      <c r="V19" s="8">
        <f>U19/T19</f>
        <v>0.56841513358579199</v>
      </c>
    </row>
    <row r="20" spans="1:22" ht="15.75" customHeight="1" x14ac:dyDescent="0.2">
      <c r="A20" s="1" t="s">
        <v>47</v>
      </c>
      <c r="B20" s="1" t="str">
        <f>VLOOKUP(A20,[60]HardwareList!A:I,3,FALSE)</f>
        <v>一般店</v>
      </c>
      <c r="C20" s="1" t="str">
        <f>VLOOKUP(A20,[60]HardwareList!A:I,4,FALSE)</f>
        <v>D2</v>
      </c>
      <c r="D20" s="1" t="s">
        <v>48</v>
      </c>
      <c r="E20" s="6">
        <v>470667</v>
      </c>
      <c r="F20" s="6">
        <v>290207</v>
      </c>
      <c r="G20" s="8">
        <v>0.61660000000000004</v>
      </c>
      <c r="H20" s="6">
        <v>472384</v>
      </c>
      <c r="I20" s="6">
        <v>304172</v>
      </c>
      <c r="J20" s="8">
        <v>0.64390000000000003</v>
      </c>
      <c r="K20" s="6">
        <v>583989</v>
      </c>
      <c r="L20" s="6">
        <v>368314</v>
      </c>
      <c r="M20" s="8">
        <v>0.63070000000000004</v>
      </c>
      <c r="N20" s="6">
        <f>E20+H20+K20</f>
        <v>1527040</v>
      </c>
      <c r="O20" s="6">
        <f>F20+I20+L20</f>
        <v>962693</v>
      </c>
      <c r="P20" s="8">
        <f t="shared" si="0"/>
        <v>0.63043076802179376</v>
      </c>
      <c r="Q20" s="6">
        <v>185329</v>
      </c>
      <c r="R20" s="6">
        <v>99600</v>
      </c>
      <c r="S20" s="8">
        <f t="shared" si="1"/>
        <v>0.53742263757965569</v>
      </c>
      <c r="T20" s="6">
        <v>409272</v>
      </c>
      <c r="U20" s="6">
        <v>215412</v>
      </c>
      <c r="V20" s="8">
        <f>U20/T20</f>
        <v>0.52632967806251096</v>
      </c>
    </row>
    <row r="21" spans="1:22" ht="15.75" customHeight="1" x14ac:dyDescent="0.2">
      <c r="A21" s="1" t="s">
        <v>49</v>
      </c>
      <c r="B21" s="1" t="str">
        <f>VLOOKUP(A21,[60]HardwareList!A:I,3,FALSE)</f>
        <v>一般店</v>
      </c>
      <c r="C21" s="1" t="str">
        <f>VLOOKUP(A21,[60]HardwareList!A:I,4,FALSE)</f>
        <v>V4</v>
      </c>
      <c r="D21" s="1" t="s">
        <v>50</v>
      </c>
      <c r="E21" s="6">
        <v>0</v>
      </c>
      <c r="F21" s="6">
        <v>0</v>
      </c>
      <c r="G21" s="8"/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114571</v>
      </c>
      <c r="R21" s="6">
        <v>64195</v>
      </c>
      <c r="S21" s="8">
        <f t="shared" si="1"/>
        <v>0.56030758219793841</v>
      </c>
      <c r="T21" s="6">
        <v>255578</v>
      </c>
      <c r="U21" s="6">
        <v>142156</v>
      </c>
      <c r="V21" s="8">
        <f>U21/T21</f>
        <v>0.55621375861772138</v>
      </c>
    </row>
    <row r="22" spans="1:22" ht="15.75" customHeight="1" x14ac:dyDescent="0.2">
      <c r="A22" s="1" t="s">
        <v>51</v>
      </c>
      <c r="B22" s="1" t="str">
        <f>VLOOKUP(A22,[60]HardwareList!A:I,3,FALSE)</f>
        <v>一般店</v>
      </c>
      <c r="C22" s="1" t="str">
        <f>VLOOKUP(A22,[60]HardwareList!A:I,4,FALSE)</f>
        <v>V4</v>
      </c>
      <c r="D22" s="1" t="s">
        <v>52</v>
      </c>
      <c r="E22" s="6">
        <v>413982</v>
      </c>
      <c r="F22" s="6">
        <v>261808</v>
      </c>
      <c r="G22" s="8">
        <v>0.63239999999999996</v>
      </c>
      <c r="H22" s="6">
        <v>351931</v>
      </c>
      <c r="I22" s="6">
        <v>222717</v>
      </c>
      <c r="J22" s="8">
        <v>0.63280000000000003</v>
      </c>
      <c r="K22" s="6">
        <v>323461</v>
      </c>
      <c r="L22" s="6">
        <v>209362</v>
      </c>
      <c r="M22" s="8">
        <v>0.64729999999999999</v>
      </c>
      <c r="N22" s="6">
        <f>E22+H22+K22</f>
        <v>1089374</v>
      </c>
      <c r="O22" s="6">
        <f>F22+I22+L22</f>
        <v>693887</v>
      </c>
      <c r="P22" s="8">
        <f t="shared" si="0"/>
        <v>0.63695939135687096</v>
      </c>
      <c r="Q22" s="6">
        <v>139322</v>
      </c>
      <c r="R22" s="6">
        <v>74462</v>
      </c>
      <c r="S22" s="8">
        <f t="shared" si="1"/>
        <v>0.53445974074446245</v>
      </c>
      <c r="T22" s="6">
        <v>309444</v>
      </c>
      <c r="U22" s="6">
        <v>162570</v>
      </c>
      <c r="V22" s="8">
        <f>U22/T22</f>
        <v>0.52536161631829992</v>
      </c>
    </row>
    <row r="23" spans="1:22" ht="15.75" customHeight="1" x14ac:dyDescent="0.2">
      <c r="A23" s="1" t="s">
        <v>53</v>
      </c>
      <c r="B23" s="1" t="str">
        <f>VLOOKUP(A23,[60]HardwareList!A:I,3,FALSE)</f>
        <v>一般店</v>
      </c>
      <c r="C23" s="1" t="str">
        <f>VLOOKUP(A23,[60]HardwareList!A:I,4,FALSE)</f>
        <v>D2</v>
      </c>
      <c r="D23" s="1" t="s">
        <v>54</v>
      </c>
      <c r="E23" s="6">
        <v>726920</v>
      </c>
      <c r="F23" s="6">
        <v>483949</v>
      </c>
      <c r="G23" s="8">
        <v>0.66579999999999995</v>
      </c>
      <c r="H23" s="6">
        <v>597904</v>
      </c>
      <c r="I23" s="6">
        <v>405754</v>
      </c>
      <c r="J23" s="8">
        <v>0.67859999999999998</v>
      </c>
      <c r="K23" s="6">
        <v>565860</v>
      </c>
      <c r="L23" s="6">
        <v>408476</v>
      </c>
      <c r="M23" s="8">
        <v>0.72189999999999999</v>
      </c>
      <c r="N23" s="6">
        <f>E23+H23+K23</f>
        <v>1890684</v>
      </c>
      <c r="O23" s="6">
        <f>F23+I23+L23</f>
        <v>1298179</v>
      </c>
      <c r="P23" s="8">
        <f t="shared" si="0"/>
        <v>0.68661870518817525</v>
      </c>
      <c r="Q23" s="6">
        <v>338165</v>
      </c>
      <c r="R23" s="6">
        <v>215612</v>
      </c>
      <c r="S23" s="8">
        <f t="shared" si="1"/>
        <v>0.63759407389883638</v>
      </c>
      <c r="T23" s="6">
        <v>715480</v>
      </c>
      <c r="U23" s="6">
        <v>450084</v>
      </c>
      <c r="V23" s="8">
        <f>U23/T23</f>
        <v>0.62906580197909101</v>
      </c>
    </row>
    <row r="24" spans="1:22" ht="15.75" customHeight="1" x14ac:dyDescent="0.2">
      <c r="A24" s="1" t="s">
        <v>55</v>
      </c>
      <c r="B24" s="1" t="str">
        <f>VLOOKUP(A24,[60]HardwareList!A:I,3,FALSE)</f>
        <v>一般店</v>
      </c>
      <c r="C24" s="1" t="str">
        <f>VLOOKUP(A24,[60]HardwareList!A:I,4,FALSE)</f>
        <v>V4</v>
      </c>
      <c r="D24" s="1" t="s">
        <v>56</v>
      </c>
      <c r="E24" s="6">
        <v>926252</v>
      </c>
      <c r="F24" s="6">
        <v>548003</v>
      </c>
      <c r="G24" s="8">
        <v>0.59160000000000001</v>
      </c>
      <c r="H24" s="6">
        <v>881694</v>
      </c>
      <c r="I24" s="6">
        <v>529403</v>
      </c>
      <c r="J24" s="8">
        <v>0.60040000000000004</v>
      </c>
      <c r="K24" s="6">
        <v>1017622</v>
      </c>
      <c r="L24" s="6">
        <v>627433</v>
      </c>
      <c r="M24" s="8">
        <v>0.61660000000000004</v>
      </c>
      <c r="N24" s="6">
        <f>E24+H24+K24</f>
        <v>2825568</v>
      </c>
      <c r="O24" s="6">
        <f>F24+I24+L24</f>
        <v>1704839</v>
      </c>
      <c r="P24" s="8">
        <f t="shared" si="0"/>
        <v>0.6033615188167476</v>
      </c>
      <c r="Q24" s="6">
        <v>403327</v>
      </c>
      <c r="R24" s="6">
        <v>226467</v>
      </c>
      <c r="S24" s="8">
        <f t="shared" si="1"/>
        <v>0.56149724665098044</v>
      </c>
      <c r="T24" s="6">
        <v>876876</v>
      </c>
      <c r="U24" s="6">
        <v>492062</v>
      </c>
      <c r="V24" s="8">
        <f>U24/T24</f>
        <v>0.56115345841373243</v>
      </c>
    </row>
    <row r="25" spans="1:22" ht="15.75" customHeight="1" x14ac:dyDescent="0.2">
      <c r="A25" s="1" t="s">
        <v>57</v>
      </c>
      <c r="B25" s="1" t="str">
        <f>VLOOKUP(A25,[60]HardwareList!A:I,3,FALSE)</f>
        <v>一般店</v>
      </c>
      <c r="C25" s="1" t="str">
        <f>VLOOKUP(A25,[60]HardwareList!A:I,4,FALSE)</f>
        <v>V4</v>
      </c>
      <c r="D25" s="1" t="s">
        <v>58</v>
      </c>
      <c r="E25" s="6">
        <v>1002417</v>
      </c>
      <c r="F25" s="6">
        <v>679965</v>
      </c>
      <c r="G25" s="8">
        <v>0.67830000000000001</v>
      </c>
      <c r="H25" s="6">
        <v>1076072</v>
      </c>
      <c r="I25" s="6">
        <v>724381</v>
      </c>
      <c r="J25" s="8">
        <v>0.67320000000000002</v>
      </c>
      <c r="K25" s="6">
        <v>1003883</v>
      </c>
      <c r="L25" s="6">
        <v>691268</v>
      </c>
      <c r="M25" s="8">
        <v>0.68859999999999999</v>
      </c>
      <c r="N25" s="6">
        <f>E25+H25+K25</f>
        <v>3082372</v>
      </c>
      <c r="O25" s="6">
        <f>F25+I25+L25</f>
        <v>2095614</v>
      </c>
      <c r="P25" s="8">
        <f t="shared" si="0"/>
        <v>0.67987056721252337</v>
      </c>
      <c r="Q25" s="6">
        <v>450731</v>
      </c>
      <c r="R25" s="6">
        <v>269612</v>
      </c>
      <c r="S25" s="8">
        <f t="shared" si="1"/>
        <v>0.59816609019570433</v>
      </c>
      <c r="T25" s="6">
        <v>968266</v>
      </c>
      <c r="U25" s="6">
        <v>577254</v>
      </c>
      <c r="V25" s="8">
        <f>U25/T25</f>
        <v>0.59617295247380364</v>
      </c>
    </row>
    <row r="26" spans="1:22" ht="15.75" customHeight="1" x14ac:dyDescent="0.2">
      <c r="A26" s="1" t="s">
        <v>59</v>
      </c>
      <c r="B26" s="1" t="str">
        <f>VLOOKUP(A26,[60]HardwareList!A:I,3,FALSE)</f>
        <v>一般店</v>
      </c>
      <c r="C26" s="1" t="str">
        <f>VLOOKUP(A26,[60]HardwareList!A:I,4,FALSE)</f>
        <v>V4</v>
      </c>
      <c r="D26" s="1" t="s">
        <v>60</v>
      </c>
      <c r="E26" s="6">
        <v>0</v>
      </c>
      <c r="F26" s="6">
        <v>0</v>
      </c>
      <c r="G26" s="8"/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198063</v>
      </c>
      <c r="R26" s="6">
        <v>110325</v>
      </c>
      <c r="S26" s="8">
        <f t="shared" si="1"/>
        <v>0.55701973614456002</v>
      </c>
      <c r="T26" s="6">
        <v>406946</v>
      </c>
      <c r="U26" s="6">
        <v>228348</v>
      </c>
      <c r="V26" s="8">
        <f>U26/T26</f>
        <v>0.56112604620760498</v>
      </c>
    </row>
    <row r="27" spans="1:22" ht="15.75" customHeight="1" x14ac:dyDescent="0.2">
      <c r="A27" s="1" t="s">
        <v>61</v>
      </c>
      <c r="B27" s="1" t="str">
        <f>VLOOKUP(A27,[60]HardwareList!A:I,3,FALSE)</f>
        <v>一般店</v>
      </c>
      <c r="C27" s="1" t="str">
        <f>VLOOKUP(A27,[60]HardwareList!A:I,4,FALSE)</f>
        <v>V4</v>
      </c>
      <c r="D27" s="1" t="s">
        <v>62</v>
      </c>
      <c r="E27" s="6">
        <v>0</v>
      </c>
      <c r="F27" s="6">
        <v>0</v>
      </c>
      <c r="G27" s="8"/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225756</v>
      </c>
      <c r="R27" s="6">
        <v>125618</v>
      </c>
      <c r="S27" s="8">
        <f t="shared" si="1"/>
        <v>0.55643260865713429</v>
      </c>
      <c r="T27" s="6">
        <v>466950</v>
      </c>
      <c r="U27" s="6">
        <v>259766</v>
      </c>
      <c r="V27" s="8">
        <f>U27/T27</f>
        <v>0.55630367277010384</v>
      </c>
    </row>
    <row r="28" spans="1:22" ht="15.75" customHeight="1" x14ac:dyDescent="0.2">
      <c r="A28" s="1" t="s">
        <v>63</v>
      </c>
      <c r="B28" s="1" t="str">
        <f>VLOOKUP(A28,[60]HardwareList!A:I,3,FALSE)</f>
        <v>數位店</v>
      </c>
      <c r="C28" s="1" t="str">
        <f>VLOOKUP(A28,[60]HardwareList!A:I,4,FALSE)</f>
        <v>V4</v>
      </c>
      <c r="D28" s="1" t="s">
        <v>64</v>
      </c>
      <c r="E28" s="6">
        <v>958359</v>
      </c>
      <c r="F28" s="6">
        <v>932528</v>
      </c>
      <c r="G28" s="8">
        <v>0.97299999999999998</v>
      </c>
      <c r="H28" s="6">
        <v>845921</v>
      </c>
      <c r="I28" s="6">
        <v>823269</v>
      </c>
      <c r="J28" s="8">
        <v>0.97319999999999995</v>
      </c>
      <c r="K28" s="6">
        <v>786719</v>
      </c>
      <c r="L28" s="6">
        <v>755266</v>
      </c>
      <c r="M28" s="8">
        <v>0.96</v>
      </c>
      <c r="N28" s="6">
        <f>E28+H28+K28</f>
        <v>2590999</v>
      </c>
      <c r="O28" s="6">
        <f>F28+I28+L28</f>
        <v>2511063</v>
      </c>
      <c r="P28" s="8">
        <f t="shared" si="0"/>
        <v>0.96914857937035093</v>
      </c>
      <c r="Q28" s="6">
        <v>372202</v>
      </c>
      <c r="R28" s="6">
        <v>356371</v>
      </c>
      <c r="S28" s="8">
        <f t="shared" si="1"/>
        <v>0.95746664445650476</v>
      </c>
      <c r="T28" s="6">
        <v>1630044</v>
      </c>
      <c r="U28" s="6">
        <v>1553732</v>
      </c>
      <c r="V28" s="8">
        <f>U28/T28</f>
        <v>0.95318408582835801</v>
      </c>
    </row>
    <row r="29" spans="1:22" ht="15.75" customHeight="1" x14ac:dyDescent="0.2">
      <c r="A29" s="1" t="s">
        <v>65</v>
      </c>
      <c r="B29" s="1" t="str">
        <f>VLOOKUP(A29,[60]HardwareList!A:I,3,FALSE)</f>
        <v>一般店</v>
      </c>
      <c r="C29" s="1" t="str">
        <f>VLOOKUP(A29,[60]HardwareList!A:I,4,FALSE)</f>
        <v>V4</v>
      </c>
      <c r="D29" s="1" t="s">
        <v>66</v>
      </c>
      <c r="E29" s="6">
        <v>732912</v>
      </c>
      <c r="F29" s="6">
        <v>275947</v>
      </c>
      <c r="G29" s="8">
        <v>0.3765</v>
      </c>
      <c r="H29" s="6">
        <v>753949</v>
      </c>
      <c r="I29" s="6">
        <v>282653</v>
      </c>
      <c r="J29" s="8">
        <v>0.37490000000000001</v>
      </c>
      <c r="K29" s="6">
        <v>798752</v>
      </c>
      <c r="L29" s="6">
        <v>331503</v>
      </c>
      <c r="M29" s="8">
        <v>0.41499999999999998</v>
      </c>
      <c r="N29" s="6">
        <f>E29+H29+K29</f>
        <v>2285613</v>
      </c>
      <c r="O29" s="6">
        <f>F29+I29+L29</f>
        <v>890103</v>
      </c>
      <c r="P29" s="8">
        <f t="shared" si="0"/>
        <v>0.38943731944121773</v>
      </c>
      <c r="Q29" s="6">
        <v>288491</v>
      </c>
      <c r="R29" s="6">
        <v>166985</v>
      </c>
      <c r="S29" s="8">
        <f t="shared" si="1"/>
        <v>0.57882221629097619</v>
      </c>
      <c r="T29" s="6">
        <v>301439</v>
      </c>
      <c r="U29" s="6">
        <v>168432</v>
      </c>
      <c r="V29" s="8">
        <f>U29/T29</f>
        <v>0.55875981541870823</v>
      </c>
    </row>
    <row r="30" spans="1:22" ht="15.75" customHeight="1" x14ac:dyDescent="0.2">
      <c r="A30" s="1" t="s">
        <v>67</v>
      </c>
      <c r="B30" s="1" t="str">
        <f>VLOOKUP(A30,[60]HardwareList!A:I,3,FALSE)</f>
        <v>一般店</v>
      </c>
      <c r="C30" s="1" t="str">
        <f>VLOOKUP(A30,[60]HardwareList!A:I,4,FALSE)</f>
        <v>V4</v>
      </c>
      <c r="D30" s="1" t="s">
        <v>68</v>
      </c>
      <c r="E30" s="6">
        <v>785974</v>
      </c>
      <c r="F30" s="6">
        <v>288978</v>
      </c>
      <c r="G30" s="8">
        <v>0.36770000000000003</v>
      </c>
      <c r="H30" s="6">
        <v>771464</v>
      </c>
      <c r="I30" s="6">
        <v>304334</v>
      </c>
      <c r="J30" s="8">
        <v>0.39450000000000002</v>
      </c>
      <c r="K30" s="6">
        <v>814018</v>
      </c>
      <c r="L30" s="6">
        <v>311350</v>
      </c>
      <c r="M30" s="8">
        <v>0.38250000000000001</v>
      </c>
      <c r="N30" s="6">
        <f>E30+H30+K30</f>
        <v>2371456</v>
      </c>
      <c r="O30" s="6">
        <f>F30+I30+L30</f>
        <v>904662</v>
      </c>
      <c r="P30" s="8">
        <f t="shared" si="0"/>
        <v>0.38147956360986668</v>
      </c>
      <c r="Q30" s="6">
        <v>297201</v>
      </c>
      <c r="R30" s="6">
        <v>173339</v>
      </c>
      <c r="S30" s="8">
        <f t="shared" si="1"/>
        <v>0.58323827981736265</v>
      </c>
      <c r="T30" s="6">
        <v>325117</v>
      </c>
      <c r="U30" s="6">
        <v>188459</v>
      </c>
      <c r="V30" s="8">
        <f>U30/T30</f>
        <v>0.57966516669383639</v>
      </c>
    </row>
    <row r="31" spans="1:22" ht="15.75" customHeight="1" x14ac:dyDescent="0.2">
      <c r="A31" s="1" t="s">
        <v>69</v>
      </c>
      <c r="B31" s="1" t="str">
        <f>VLOOKUP(A31,[60]HardwareList!A:I,3,FALSE)</f>
        <v>一般店</v>
      </c>
      <c r="C31" s="1" t="str">
        <f>VLOOKUP(A31,[60]HardwareList!A:I,4,FALSE)</f>
        <v>D1*.16 .17, V2*18</v>
      </c>
      <c r="D31" s="1" t="s">
        <v>70</v>
      </c>
      <c r="E31" s="6">
        <v>819372</v>
      </c>
      <c r="F31" s="6">
        <v>525457</v>
      </c>
      <c r="G31" s="8">
        <v>0.64129999999999998</v>
      </c>
      <c r="H31" s="6">
        <v>916521</v>
      </c>
      <c r="I31" s="6">
        <v>542300</v>
      </c>
      <c r="J31" s="8">
        <v>0.5917</v>
      </c>
      <c r="K31" s="6">
        <v>861448</v>
      </c>
      <c r="L31" s="6">
        <v>371821</v>
      </c>
      <c r="M31" s="8">
        <v>0.43159999999999998</v>
      </c>
      <c r="N31" s="6">
        <f>E31+H31+K31</f>
        <v>2597341</v>
      </c>
      <c r="O31" s="6">
        <f>F31+I31+L31</f>
        <v>1439578</v>
      </c>
      <c r="P31" s="8">
        <f t="shared" si="0"/>
        <v>0.55425067405473516</v>
      </c>
      <c r="Q31" s="6">
        <v>362968</v>
      </c>
      <c r="R31" s="6">
        <v>207377</v>
      </c>
      <c r="S31" s="8">
        <f t="shared" si="1"/>
        <v>0.57133686716184351</v>
      </c>
      <c r="T31" s="6">
        <v>1291122</v>
      </c>
      <c r="U31" s="6">
        <v>715914</v>
      </c>
      <c r="V31" s="8">
        <f>U31/T31</f>
        <v>0.55448981583459966</v>
      </c>
    </row>
    <row r="32" spans="1:22" ht="15.75" customHeight="1" x14ac:dyDescent="0.2">
      <c r="A32" s="1" t="s">
        <v>71</v>
      </c>
      <c r="B32" s="1" t="str">
        <f>VLOOKUP(A32,[60]HardwareList!A:I,3,FALSE)</f>
        <v>一般店</v>
      </c>
      <c r="C32" s="1" t="str">
        <f>VLOOKUP(A32,[60]HardwareList!A:I,4,FALSE)</f>
        <v>V4</v>
      </c>
      <c r="D32" s="1" t="s">
        <v>72</v>
      </c>
      <c r="E32" s="6">
        <v>803411</v>
      </c>
      <c r="F32" s="6">
        <v>527351</v>
      </c>
      <c r="G32" s="8">
        <v>0.65639999999999998</v>
      </c>
      <c r="H32" s="6">
        <v>672233</v>
      </c>
      <c r="I32" s="6">
        <v>433148</v>
      </c>
      <c r="J32" s="8">
        <v>0.64429999999999998</v>
      </c>
      <c r="K32" s="6">
        <v>786864</v>
      </c>
      <c r="L32" s="6">
        <v>513562</v>
      </c>
      <c r="M32" s="8">
        <v>0.65269999999999995</v>
      </c>
      <c r="N32" s="6">
        <f>E32+H32+K32</f>
        <v>2262508</v>
      </c>
      <c r="O32" s="6">
        <f>F32+I32+L32</f>
        <v>1474061</v>
      </c>
      <c r="P32" s="8">
        <f t="shared" si="0"/>
        <v>0.65151637032885634</v>
      </c>
      <c r="Q32" s="6">
        <v>335403</v>
      </c>
      <c r="R32" s="6">
        <v>210548</v>
      </c>
      <c r="S32" s="8">
        <f t="shared" si="1"/>
        <v>0.62774632307999634</v>
      </c>
      <c r="T32" s="6">
        <v>755786</v>
      </c>
      <c r="U32" s="6">
        <v>476760</v>
      </c>
      <c r="V32" s="8">
        <f>U32/T32</f>
        <v>0.63081348424024786</v>
      </c>
    </row>
    <row r="33" spans="1:22" ht="15.75" customHeight="1" x14ac:dyDescent="0.2">
      <c r="A33" s="1" t="s">
        <v>73</v>
      </c>
      <c r="B33" s="1" t="str">
        <f>VLOOKUP(A33,[60]HardwareList!A:I,3,FALSE)</f>
        <v>一般店</v>
      </c>
      <c r="C33" s="1" t="str">
        <f>VLOOKUP(A33,[60]HardwareList!A:I,4,FALSE)</f>
        <v>V4</v>
      </c>
      <c r="D33" s="1" t="s">
        <v>74</v>
      </c>
      <c r="E33" s="6">
        <v>0</v>
      </c>
      <c r="F33" s="6">
        <v>0</v>
      </c>
      <c r="G33" s="8"/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211259</v>
      </c>
      <c r="R33" s="6">
        <v>121173</v>
      </c>
      <c r="S33" s="8">
        <f t="shared" si="1"/>
        <v>0.57357556364462581</v>
      </c>
      <c r="T33" s="6">
        <v>450866</v>
      </c>
      <c r="U33" s="6">
        <v>263320</v>
      </c>
      <c r="V33" s="8">
        <f>U33/T33</f>
        <v>0.58403161915070112</v>
      </c>
    </row>
    <row r="34" spans="1:22" ht="15.75" customHeight="1" x14ac:dyDescent="0.2">
      <c r="A34" s="1" t="s">
        <v>75</v>
      </c>
      <c r="B34" s="1" t="str">
        <f>VLOOKUP(A34,[60]HardwareList!A:I,3,FALSE)</f>
        <v>一般店</v>
      </c>
      <c r="C34" s="1" t="str">
        <f>VLOOKUP(A34,[60]HardwareList!A:I,4,FALSE)</f>
        <v>V4</v>
      </c>
      <c r="D34" s="1" t="s">
        <v>76</v>
      </c>
      <c r="E34" s="6">
        <v>0</v>
      </c>
      <c r="F34" s="6">
        <v>0</v>
      </c>
      <c r="G34" s="8"/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269510</v>
      </c>
      <c r="R34" s="6">
        <v>128612</v>
      </c>
      <c r="S34" s="8">
        <f t="shared" si="1"/>
        <v>0.47720678267967792</v>
      </c>
      <c r="T34" s="6">
        <v>285215</v>
      </c>
      <c r="U34" s="6">
        <v>132081</v>
      </c>
      <c r="V34" s="8">
        <f>U34/T34</f>
        <v>0.46309275458864363</v>
      </c>
    </row>
    <row r="35" spans="1:22" ht="15.75" customHeight="1" x14ac:dyDescent="0.2">
      <c r="A35" s="1" t="s">
        <v>77</v>
      </c>
      <c r="B35" s="1" t="str">
        <f>VLOOKUP(A35,[60]HardwareList!A:I,3,FALSE)</f>
        <v>一般店</v>
      </c>
      <c r="C35" s="1" t="str">
        <f>VLOOKUP(A35,[60]HardwareList!A:I,4,FALSE)</f>
        <v>V4</v>
      </c>
      <c r="D35" s="1" t="s">
        <v>78</v>
      </c>
      <c r="E35" s="6">
        <v>477858</v>
      </c>
      <c r="F35" s="6">
        <v>216414</v>
      </c>
      <c r="G35" s="8">
        <v>0.45290000000000002</v>
      </c>
      <c r="H35" s="6">
        <v>465103</v>
      </c>
      <c r="I35" s="6">
        <v>203671</v>
      </c>
      <c r="J35" s="8">
        <v>0.43790000000000001</v>
      </c>
      <c r="K35" s="6">
        <v>473916</v>
      </c>
      <c r="L35" s="6">
        <v>199908</v>
      </c>
      <c r="M35" s="8">
        <v>0.42180000000000001</v>
      </c>
      <c r="N35" s="6">
        <f>E35+H35+K35</f>
        <v>1416877</v>
      </c>
      <c r="O35" s="6">
        <f>F35+I35+L35</f>
        <v>619993</v>
      </c>
      <c r="P35" s="8">
        <f t="shared" si="0"/>
        <v>0.43757715031015393</v>
      </c>
      <c r="Q35" s="6">
        <v>196689</v>
      </c>
      <c r="R35" s="6">
        <v>101214</v>
      </c>
      <c r="S35" s="8">
        <f t="shared" si="1"/>
        <v>0.51458902124673978</v>
      </c>
      <c r="T35" s="6">
        <v>215248</v>
      </c>
      <c r="U35" s="6">
        <v>109533</v>
      </c>
      <c r="V35" s="8">
        <f>U35/T35</f>
        <v>0.50886883966401542</v>
      </c>
    </row>
    <row r="36" spans="1:22" ht="15.75" customHeight="1" x14ac:dyDescent="0.2">
      <c r="A36" s="1" t="s">
        <v>79</v>
      </c>
      <c r="B36" s="1" t="str">
        <f>VLOOKUP(A36,[60]HardwareList!A:I,3,FALSE)</f>
        <v>一般店</v>
      </c>
      <c r="C36" s="1" t="str">
        <f>VLOOKUP(A36,[60]HardwareList!A:I,4,FALSE)</f>
        <v>V4</v>
      </c>
      <c r="D36" s="1" t="s">
        <v>80</v>
      </c>
      <c r="E36" s="6">
        <v>652192</v>
      </c>
      <c r="F36" s="6">
        <v>226584</v>
      </c>
      <c r="G36" s="8">
        <v>0.34739999999999999</v>
      </c>
      <c r="H36" s="6">
        <v>668598</v>
      </c>
      <c r="I36" s="6">
        <v>235602</v>
      </c>
      <c r="J36" s="8">
        <v>0.35239999999999999</v>
      </c>
      <c r="K36" s="6">
        <v>669654</v>
      </c>
      <c r="L36" s="6">
        <v>252776</v>
      </c>
      <c r="M36" s="8">
        <v>0.3775</v>
      </c>
      <c r="N36" s="6">
        <f>E36+H36+K36</f>
        <v>1990444</v>
      </c>
      <c r="O36" s="6">
        <f>F36+I36+L36</f>
        <v>714962</v>
      </c>
      <c r="P36" s="8">
        <f t="shared" si="0"/>
        <v>0.35919724443390522</v>
      </c>
      <c r="Q36" s="6">
        <v>266691</v>
      </c>
      <c r="R36" s="6">
        <v>152124</v>
      </c>
      <c r="S36" s="8">
        <f t="shared" si="1"/>
        <v>0.57041294981832913</v>
      </c>
      <c r="T36" s="6">
        <v>287774</v>
      </c>
      <c r="U36" s="6">
        <v>163710</v>
      </c>
      <c r="V36" s="8">
        <f>U36/T36</f>
        <v>0.5688839158506328</v>
      </c>
    </row>
    <row r="37" spans="1:22" ht="15.75" customHeight="1" x14ac:dyDescent="0.2">
      <c r="A37" s="1" t="s">
        <v>81</v>
      </c>
      <c r="B37" s="1" t="str">
        <f>VLOOKUP(A37,[60]HardwareList!A:I,3,FALSE)</f>
        <v>數位店</v>
      </c>
      <c r="C37" s="1" t="str">
        <f>VLOOKUP(A37,[60]HardwareList!A:I,4,FALSE)</f>
        <v>V4</v>
      </c>
      <c r="D37" s="1" t="s">
        <v>82</v>
      </c>
      <c r="E37" s="6">
        <v>2829484</v>
      </c>
      <c r="F37" s="6">
        <v>2793996</v>
      </c>
      <c r="G37" s="8">
        <v>0.98750000000000004</v>
      </c>
      <c r="H37" s="6">
        <v>2482123</v>
      </c>
      <c r="I37" s="6">
        <v>2447526</v>
      </c>
      <c r="J37" s="8">
        <v>0.98609999999999998</v>
      </c>
      <c r="K37" s="6">
        <v>2584691</v>
      </c>
      <c r="L37" s="6">
        <v>2558255</v>
      </c>
      <c r="M37" s="8">
        <v>0.98980000000000001</v>
      </c>
      <c r="N37" s="6">
        <f>E37+H37+K37</f>
        <v>7896298</v>
      </c>
      <c r="O37" s="6">
        <f>F37+I37+L37</f>
        <v>7799777</v>
      </c>
      <c r="P37" s="8">
        <f t="shared" si="0"/>
        <v>0.98777642383810738</v>
      </c>
      <c r="Q37" s="6">
        <v>1270998</v>
      </c>
      <c r="R37" s="6">
        <v>1236889</v>
      </c>
      <c r="S37" s="8">
        <f t="shared" si="1"/>
        <v>0.97316360843998184</v>
      </c>
      <c r="T37" s="6">
        <v>5545384</v>
      </c>
      <c r="U37" s="6">
        <v>5401116</v>
      </c>
      <c r="V37" s="8">
        <f>U37/T37</f>
        <v>0.97398412806038315</v>
      </c>
    </row>
    <row r="38" spans="1:22" ht="15.75" customHeight="1" x14ac:dyDescent="0.2">
      <c r="A38" s="1" t="s">
        <v>83</v>
      </c>
      <c r="B38" s="1" t="str">
        <f>VLOOKUP(A38,[60]HardwareList!A:I,3,FALSE)</f>
        <v>一般店</v>
      </c>
      <c r="C38" s="1" t="str">
        <f>VLOOKUP(A38,[60]HardwareList!A:I,4,FALSE)</f>
        <v>V4</v>
      </c>
      <c r="D38" s="1" t="s">
        <v>84</v>
      </c>
      <c r="E38" s="6">
        <v>378927</v>
      </c>
      <c r="F38" s="6">
        <v>240290</v>
      </c>
      <c r="G38" s="8">
        <v>0.6341</v>
      </c>
      <c r="H38" s="6">
        <v>414386</v>
      </c>
      <c r="I38" s="6">
        <v>269798</v>
      </c>
      <c r="J38" s="8">
        <v>0.65110000000000001</v>
      </c>
      <c r="K38" s="6">
        <v>491147</v>
      </c>
      <c r="L38" s="6">
        <v>322217</v>
      </c>
      <c r="M38" s="8">
        <v>0.65600000000000003</v>
      </c>
      <c r="N38" s="6">
        <f>E38+H38+K38</f>
        <v>1284460</v>
      </c>
      <c r="O38" s="6">
        <f>F38+I38+L38</f>
        <v>832305</v>
      </c>
      <c r="P38" s="8">
        <f t="shared" si="0"/>
        <v>0.64798047428491345</v>
      </c>
      <c r="Q38" s="6">
        <v>202656</v>
      </c>
      <c r="R38" s="6">
        <v>118708</v>
      </c>
      <c r="S38" s="8">
        <f t="shared" si="1"/>
        <v>0.58576109268908894</v>
      </c>
      <c r="T38" s="6">
        <v>432770</v>
      </c>
      <c r="U38" s="6">
        <v>252798</v>
      </c>
      <c r="V38" s="8">
        <f>U38/T38</f>
        <v>0.5841393811955542</v>
      </c>
    </row>
    <row r="39" spans="1:22" ht="15.75" customHeight="1" x14ac:dyDescent="0.2">
      <c r="A39" s="1" t="s">
        <v>85</v>
      </c>
      <c r="B39" s="1" t="str">
        <f>VLOOKUP(A39,[60]HardwareList!A:I,3,FALSE)</f>
        <v>一般店</v>
      </c>
      <c r="C39" s="1" t="str">
        <f>VLOOKUP(A39,[60]HardwareList!A:I,4,FALSE)</f>
        <v>V3</v>
      </c>
      <c r="D39" s="1" t="s">
        <v>86</v>
      </c>
      <c r="E39" s="6">
        <v>504638</v>
      </c>
      <c r="F39" s="6">
        <v>338571</v>
      </c>
      <c r="G39" s="8">
        <v>0.67090000000000005</v>
      </c>
      <c r="H39" s="6">
        <v>520836</v>
      </c>
      <c r="I39" s="6">
        <v>340280</v>
      </c>
      <c r="J39" s="8">
        <v>0.65329999999999999</v>
      </c>
      <c r="K39" s="6">
        <v>600614</v>
      </c>
      <c r="L39" s="6">
        <v>393081</v>
      </c>
      <c r="M39" s="8">
        <v>0.65449999999999997</v>
      </c>
      <c r="N39" s="6">
        <f>E39+H39+K39</f>
        <v>1626088</v>
      </c>
      <c r="O39" s="6">
        <f>F39+I39+L39</f>
        <v>1071932</v>
      </c>
      <c r="P39" s="8">
        <f t="shared" si="0"/>
        <v>0.65920909569469799</v>
      </c>
      <c r="Q39" s="6">
        <v>208081</v>
      </c>
      <c r="R39" s="6">
        <v>112833</v>
      </c>
      <c r="S39" s="8">
        <f t="shared" si="1"/>
        <v>0.5422551794733782</v>
      </c>
      <c r="T39" s="6">
        <v>451360</v>
      </c>
      <c r="U39" s="6">
        <v>245814</v>
      </c>
      <c r="V39" s="8">
        <f>U39/T39</f>
        <v>0.54460740872031199</v>
      </c>
    </row>
    <row r="40" spans="1:22" ht="15.75" customHeight="1" x14ac:dyDescent="0.2">
      <c r="A40" s="1" t="s">
        <v>87</v>
      </c>
      <c r="B40" s="1" t="str">
        <f>VLOOKUP(A40,[60]HardwareList!A:I,3,FALSE)</f>
        <v>一般店</v>
      </c>
      <c r="C40" s="1" t="str">
        <f>VLOOKUP(A40,[60]HardwareList!A:I,4,FALSE)</f>
        <v>V4</v>
      </c>
      <c r="D40" s="1" t="s">
        <v>88</v>
      </c>
      <c r="E40" s="6">
        <v>705974</v>
      </c>
      <c r="F40" s="6">
        <v>476111</v>
      </c>
      <c r="G40" s="8">
        <v>0.6744</v>
      </c>
      <c r="H40" s="6">
        <v>727396</v>
      </c>
      <c r="I40" s="6">
        <v>460241</v>
      </c>
      <c r="J40" s="8">
        <v>0.63270000000000004</v>
      </c>
      <c r="K40" s="6">
        <v>812913</v>
      </c>
      <c r="L40" s="6">
        <v>538520</v>
      </c>
      <c r="M40" s="8">
        <v>0.66249999999999998</v>
      </c>
      <c r="N40" s="6">
        <f>E40+H40+K40</f>
        <v>2246283</v>
      </c>
      <c r="O40" s="6">
        <f>F40+I40+L40</f>
        <v>1474872</v>
      </c>
      <c r="P40" s="8">
        <f t="shared" si="0"/>
        <v>0.65658334234822591</v>
      </c>
      <c r="Q40" s="6">
        <v>312075</v>
      </c>
      <c r="R40" s="6">
        <v>183929</v>
      </c>
      <c r="S40" s="8">
        <f t="shared" si="1"/>
        <v>0.58937434911479614</v>
      </c>
      <c r="T40" s="6">
        <v>652870</v>
      </c>
      <c r="U40" s="6">
        <v>382618</v>
      </c>
      <c r="V40" s="8">
        <f>U40/T40</f>
        <v>0.58605541685174689</v>
      </c>
    </row>
    <row r="41" spans="1:22" ht="15.75" customHeight="1" x14ac:dyDescent="0.2">
      <c r="A41" s="1" t="s">
        <v>89</v>
      </c>
      <c r="B41" s="1" t="str">
        <f>VLOOKUP(A41,[60]HardwareList!A:I,3,FALSE)</f>
        <v>一般店</v>
      </c>
      <c r="C41" s="1" t="str">
        <f>VLOOKUP(A41,[60]HardwareList!A:I,4,FALSE)</f>
        <v>V4</v>
      </c>
      <c r="D41" s="1" t="s">
        <v>90</v>
      </c>
      <c r="E41" s="6">
        <v>882791</v>
      </c>
      <c r="F41" s="6">
        <v>274460</v>
      </c>
      <c r="G41" s="8">
        <v>0.31090000000000001</v>
      </c>
      <c r="H41" s="6">
        <v>872846</v>
      </c>
      <c r="I41" s="6">
        <v>264557</v>
      </c>
      <c r="J41" s="8">
        <v>0.30309999999999998</v>
      </c>
      <c r="K41" s="6">
        <v>929071</v>
      </c>
      <c r="L41" s="6">
        <v>317265</v>
      </c>
      <c r="M41" s="8">
        <v>0.34150000000000003</v>
      </c>
      <c r="N41" s="6">
        <f>E41+H41+K41</f>
        <v>2684708</v>
      </c>
      <c r="O41" s="6">
        <f>F41+I41+L41</f>
        <v>856282</v>
      </c>
      <c r="P41" s="8">
        <f t="shared" si="0"/>
        <v>0.31894790792890698</v>
      </c>
      <c r="Q41" s="6">
        <v>390557</v>
      </c>
      <c r="R41" s="6">
        <v>234413</v>
      </c>
      <c r="S41" s="8">
        <f t="shared" si="1"/>
        <v>0.60020176312292439</v>
      </c>
      <c r="T41" s="6">
        <v>834858</v>
      </c>
      <c r="U41" s="6">
        <v>498692</v>
      </c>
      <c r="V41" s="8">
        <f>U41/T41</f>
        <v>0.59733751128934498</v>
      </c>
    </row>
    <row r="42" spans="1:22" ht="15.75" customHeight="1" x14ac:dyDescent="0.2">
      <c r="A42" s="1" t="s">
        <v>91</v>
      </c>
      <c r="B42" s="1" t="str">
        <f>VLOOKUP(A42,[60]HardwareList!A:I,3,FALSE)</f>
        <v>一般店</v>
      </c>
      <c r="C42" s="1" t="str">
        <f>VLOOKUP(A42,[60]HardwareList!A:I,4,FALSE)</f>
        <v>V4</v>
      </c>
      <c r="D42" s="1" t="s">
        <v>92</v>
      </c>
      <c r="E42" s="6">
        <v>801245</v>
      </c>
      <c r="F42" s="6">
        <v>445986</v>
      </c>
      <c r="G42" s="8">
        <v>0.55659999999999998</v>
      </c>
      <c r="H42" s="6">
        <v>687601</v>
      </c>
      <c r="I42" s="6">
        <v>392790</v>
      </c>
      <c r="J42" s="8">
        <v>0.57120000000000004</v>
      </c>
      <c r="K42" s="6">
        <v>699542</v>
      </c>
      <c r="L42" s="6">
        <v>428501</v>
      </c>
      <c r="M42" s="8">
        <v>0.61250000000000004</v>
      </c>
      <c r="N42" s="6">
        <f>E42+H42+K42</f>
        <v>2188388</v>
      </c>
      <c r="O42" s="6">
        <f>F42+I42+L42</f>
        <v>1267277</v>
      </c>
      <c r="P42" s="8">
        <f t="shared" si="0"/>
        <v>0.5790915504928742</v>
      </c>
      <c r="Q42" s="6">
        <v>318852</v>
      </c>
      <c r="R42" s="6">
        <v>189937</v>
      </c>
      <c r="S42" s="8">
        <f t="shared" si="1"/>
        <v>0.59569016346141779</v>
      </c>
      <c r="T42" s="6">
        <v>352214</v>
      </c>
      <c r="U42" s="6">
        <v>207989</v>
      </c>
      <c r="V42" s="8">
        <f>U42/T42</f>
        <v>0.59051883230081714</v>
      </c>
    </row>
    <row r="43" spans="1:22" ht="15.75" customHeight="1" x14ac:dyDescent="0.2">
      <c r="A43" s="1" t="s">
        <v>93</v>
      </c>
      <c r="B43" s="1" t="str">
        <f>VLOOKUP(A43,[60]HardwareList!A:I,3,FALSE)</f>
        <v>一般店</v>
      </c>
      <c r="C43" s="1" t="str">
        <f>VLOOKUP(A43,[60]HardwareList!A:I,4,FALSE)</f>
        <v>V3</v>
      </c>
      <c r="D43" s="1" t="s">
        <v>94</v>
      </c>
      <c r="E43" s="6">
        <v>725858</v>
      </c>
      <c r="F43" s="6">
        <v>443248</v>
      </c>
      <c r="G43" s="8">
        <v>0.61070000000000002</v>
      </c>
      <c r="H43" s="6">
        <v>758948</v>
      </c>
      <c r="I43" s="6">
        <v>467945</v>
      </c>
      <c r="J43" s="8">
        <v>0.61660000000000004</v>
      </c>
      <c r="K43" s="6">
        <v>747990</v>
      </c>
      <c r="L43" s="6">
        <v>467884</v>
      </c>
      <c r="M43" s="8">
        <v>0.62549999999999994</v>
      </c>
      <c r="N43" s="6">
        <f>E43+H43+K43</f>
        <v>2232796</v>
      </c>
      <c r="O43" s="6">
        <f>F43+I43+L43</f>
        <v>1379077</v>
      </c>
      <c r="P43" s="8">
        <f t="shared" si="0"/>
        <v>0.61764576790714421</v>
      </c>
      <c r="Q43" s="6">
        <v>309066</v>
      </c>
      <c r="R43" s="6">
        <v>178955</v>
      </c>
      <c r="S43" s="8">
        <f t="shared" si="1"/>
        <v>0.5790187209204507</v>
      </c>
      <c r="T43" s="6">
        <v>650384</v>
      </c>
      <c r="U43" s="6">
        <v>378036</v>
      </c>
      <c r="V43" s="8">
        <f>U43/T43</f>
        <v>0.58125046126595981</v>
      </c>
    </row>
    <row r="44" spans="1:22" ht="15.75" customHeight="1" x14ac:dyDescent="0.2">
      <c r="A44" s="1" t="s">
        <v>95</v>
      </c>
      <c r="B44" s="1" t="str">
        <f>VLOOKUP(A44,[60]HardwareList!A:I,3,FALSE)</f>
        <v>一般店</v>
      </c>
      <c r="C44" s="1" t="str">
        <f>VLOOKUP(A44,[60]HardwareList!A:I,4,FALSE)</f>
        <v>V4</v>
      </c>
      <c r="D44" s="1" t="s">
        <v>96</v>
      </c>
      <c r="E44" s="6">
        <v>512623</v>
      </c>
      <c r="F44" s="6">
        <v>345637</v>
      </c>
      <c r="G44" s="8">
        <v>0.67430000000000001</v>
      </c>
      <c r="H44" s="6">
        <v>540979</v>
      </c>
      <c r="I44" s="6">
        <v>359069</v>
      </c>
      <c r="J44" s="8">
        <v>0.66369999999999996</v>
      </c>
      <c r="K44" s="6">
        <v>526133</v>
      </c>
      <c r="L44" s="6">
        <v>366636</v>
      </c>
      <c r="M44" s="8">
        <v>0.69679999999999997</v>
      </c>
      <c r="N44" s="6">
        <f>E44+H44+K44</f>
        <v>1579735</v>
      </c>
      <c r="O44" s="6">
        <f>F44+I44+L44</f>
        <v>1071342</v>
      </c>
      <c r="P44" s="8">
        <f t="shared" si="0"/>
        <v>0.67817830205699059</v>
      </c>
      <c r="Q44" s="6">
        <v>250718</v>
      </c>
      <c r="R44" s="6">
        <v>144710</v>
      </c>
      <c r="S44" s="8">
        <f t="shared" si="1"/>
        <v>0.57718233234151517</v>
      </c>
      <c r="T44" s="6">
        <v>272302</v>
      </c>
      <c r="U44" s="6">
        <v>158957</v>
      </c>
      <c r="V44" s="8">
        <f>U44/T44</f>
        <v>0.58375259821815484</v>
      </c>
    </row>
    <row r="45" spans="1:22" ht="15.75" customHeight="1" x14ac:dyDescent="0.2">
      <c r="A45" s="1" t="s">
        <v>97</v>
      </c>
      <c r="B45" s="1" t="str">
        <f>VLOOKUP(A45,[60]HardwareList!A:I,3,FALSE)</f>
        <v>一般店</v>
      </c>
      <c r="C45" s="1" t="str">
        <f>VLOOKUP(A45,[60]HardwareList!A:I,4,FALSE)</f>
        <v>V4</v>
      </c>
      <c r="D45" s="1" t="s">
        <v>98</v>
      </c>
      <c r="E45" s="6">
        <v>391118</v>
      </c>
      <c r="F45" s="6">
        <v>256602</v>
      </c>
      <c r="G45" s="8">
        <v>0.65610000000000002</v>
      </c>
      <c r="H45" s="6">
        <v>423883</v>
      </c>
      <c r="I45" s="6">
        <v>279725</v>
      </c>
      <c r="J45" s="8">
        <v>0.65990000000000004</v>
      </c>
      <c r="K45" s="6">
        <v>573169</v>
      </c>
      <c r="L45" s="6">
        <v>370586</v>
      </c>
      <c r="M45" s="8">
        <v>0.64659999999999995</v>
      </c>
      <c r="N45" s="6">
        <f>E45+H45+K45</f>
        <v>1388170</v>
      </c>
      <c r="O45" s="6">
        <f>F45+I45+L45</f>
        <v>906913</v>
      </c>
      <c r="P45" s="8">
        <f t="shared" si="0"/>
        <v>0.65331551611113914</v>
      </c>
      <c r="Q45" s="6">
        <v>233409</v>
      </c>
      <c r="R45" s="6">
        <v>129212</v>
      </c>
      <c r="S45" s="8">
        <f t="shared" si="1"/>
        <v>0.55358619419131228</v>
      </c>
      <c r="T45" s="6">
        <v>496992</v>
      </c>
      <c r="U45" s="6">
        <v>271934</v>
      </c>
      <c r="V45" s="8">
        <f>U45/T45</f>
        <v>0.54715971283239973</v>
      </c>
    </row>
    <row r="46" spans="1:22" ht="15.75" customHeight="1" x14ac:dyDescent="0.2">
      <c r="A46" s="1" t="s">
        <v>99</v>
      </c>
      <c r="B46" s="1" t="str">
        <f>VLOOKUP(A46,[60]HardwareList!A:I,3,FALSE)</f>
        <v>一般店</v>
      </c>
      <c r="C46" s="1" t="str">
        <f>VLOOKUP(A46,[60]HardwareList!A:I,4,FALSE)</f>
        <v>V1</v>
      </c>
      <c r="D46" s="1" t="s">
        <v>100</v>
      </c>
      <c r="E46" s="6">
        <v>668050</v>
      </c>
      <c r="F46" s="6">
        <v>464465</v>
      </c>
      <c r="G46" s="8">
        <v>0.69530000000000003</v>
      </c>
      <c r="H46" s="6">
        <v>567808</v>
      </c>
      <c r="I46" s="6">
        <v>370906</v>
      </c>
      <c r="J46" s="8">
        <v>0.6532</v>
      </c>
      <c r="K46" s="6">
        <v>630785</v>
      </c>
      <c r="L46" s="6">
        <v>407726</v>
      </c>
      <c r="M46" s="8">
        <v>0.64639999999999997</v>
      </c>
      <c r="N46" s="6">
        <f>E46+H46+K46</f>
        <v>1866643</v>
      </c>
      <c r="O46" s="6">
        <f>F46+I46+L46</f>
        <v>1243097</v>
      </c>
      <c r="P46" s="8">
        <f t="shared" si="0"/>
        <v>0.66595326476460681</v>
      </c>
      <c r="Q46" s="6">
        <v>238629</v>
      </c>
      <c r="R46" s="6">
        <v>128096</v>
      </c>
      <c r="S46" s="8">
        <f t="shared" si="1"/>
        <v>0.53679980220342038</v>
      </c>
      <c r="T46" s="6">
        <v>270620</v>
      </c>
      <c r="U46" s="6">
        <v>143682</v>
      </c>
      <c r="V46" s="8">
        <f>U46/T46</f>
        <v>0.53093636833936886</v>
      </c>
    </row>
    <row r="47" spans="1:22" ht="15.75" customHeight="1" x14ac:dyDescent="0.2">
      <c r="A47" s="1" t="s">
        <v>101</v>
      </c>
      <c r="B47" s="1" t="str">
        <f>VLOOKUP(A47,[60]HardwareList!A:I,3,FALSE)</f>
        <v>一般店</v>
      </c>
      <c r="C47" s="1" t="str">
        <f>VLOOKUP(A47,[60]HardwareList!A:I,4,FALSE)</f>
        <v>D2</v>
      </c>
      <c r="D47" s="1" t="s">
        <v>102</v>
      </c>
      <c r="E47" s="6">
        <v>626521</v>
      </c>
      <c r="F47" s="6">
        <v>426578</v>
      </c>
      <c r="G47" s="8">
        <v>0.68089999999999995</v>
      </c>
      <c r="H47" s="6">
        <v>682693</v>
      </c>
      <c r="I47" s="6">
        <v>438606</v>
      </c>
      <c r="J47" s="8">
        <v>0.64249999999999996</v>
      </c>
      <c r="K47" s="6">
        <v>591222</v>
      </c>
      <c r="L47" s="6">
        <v>395881</v>
      </c>
      <c r="M47" s="8">
        <v>0.66959999999999997</v>
      </c>
      <c r="N47" s="6">
        <f>E47+H47+K47</f>
        <v>1900436</v>
      </c>
      <c r="O47" s="6">
        <f>F47+I47+L47</f>
        <v>1261065</v>
      </c>
      <c r="P47" s="8">
        <f t="shared" si="0"/>
        <v>0.66356615008345454</v>
      </c>
      <c r="Q47" s="6">
        <v>272125</v>
      </c>
      <c r="R47" s="6">
        <v>155661</v>
      </c>
      <c r="S47" s="8">
        <f t="shared" si="1"/>
        <v>0.57202021129995406</v>
      </c>
      <c r="T47" s="6">
        <v>295025</v>
      </c>
      <c r="U47" s="6">
        <v>167819</v>
      </c>
      <c r="V47" s="8">
        <f>U47/T47</f>
        <v>0.56882976018981446</v>
      </c>
    </row>
    <row r="48" spans="1:22" ht="15.75" customHeight="1" x14ac:dyDescent="0.2">
      <c r="A48" s="1" t="s">
        <v>103</v>
      </c>
      <c r="B48" s="1" t="str">
        <f>VLOOKUP(A48,[60]HardwareList!A:I,3,FALSE)</f>
        <v>一般店</v>
      </c>
      <c r="C48" s="1" t="str">
        <f>VLOOKUP(A48,[60]HardwareList!A:I,4,FALSE)</f>
        <v>V2</v>
      </c>
      <c r="D48" s="5" t="s">
        <v>104</v>
      </c>
      <c r="E48" s="6">
        <v>903489</v>
      </c>
      <c r="F48" s="6">
        <v>600052</v>
      </c>
      <c r="G48" s="8">
        <v>0.66420000000000001</v>
      </c>
      <c r="H48" s="6">
        <v>828231</v>
      </c>
      <c r="I48" s="6">
        <v>552164</v>
      </c>
      <c r="J48" s="8">
        <v>0.66669999999999996</v>
      </c>
      <c r="K48" s="6">
        <v>881247</v>
      </c>
      <c r="L48" s="6">
        <v>574498</v>
      </c>
      <c r="M48" s="8">
        <v>0.65190000000000003</v>
      </c>
      <c r="N48" s="6">
        <f>E48+H48+K48</f>
        <v>2612967</v>
      </c>
      <c r="O48" s="6">
        <f>F48+I48+L48</f>
        <v>1726714</v>
      </c>
      <c r="P48" s="8">
        <f t="shared" si="0"/>
        <v>0.66082503146805915</v>
      </c>
      <c r="Q48" s="6">
        <v>359226</v>
      </c>
      <c r="R48" s="6">
        <v>222436</v>
      </c>
      <c r="S48" s="8">
        <f t="shared" si="1"/>
        <v>0.6192090772939598</v>
      </c>
      <c r="T48" s="6">
        <v>433305</v>
      </c>
      <c r="U48" s="6">
        <v>262975</v>
      </c>
      <c r="V48" s="8">
        <f>U48/T48</f>
        <v>0.60690506686975687</v>
      </c>
    </row>
    <row r="49" spans="1:22" ht="15.75" customHeight="1" x14ac:dyDescent="0.2">
      <c r="A49" s="1" t="s">
        <v>105</v>
      </c>
      <c r="B49" s="1" t="str">
        <f>VLOOKUP(A49,[60]HardwareList!A:I,3,FALSE)</f>
        <v>一般店</v>
      </c>
      <c r="C49" s="1" t="str">
        <f>VLOOKUP(A49,[60]HardwareList!A:I,4,FALSE)</f>
        <v>V2</v>
      </c>
      <c r="D49" s="1" t="s">
        <v>106</v>
      </c>
      <c r="E49" s="6">
        <v>411608</v>
      </c>
      <c r="F49" s="6">
        <v>278217</v>
      </c>
      <c r="G49" s="8">
        <v>0.67589999999999995</v>
      </c>
      <c r="H49" s="6">
        <v>377251</v>
      </c>
      <c r="I49" s="6">
        <v>251102</v>
      </c>
      <c r="J49" s="8">
        <v>0.66559999999999997</v>
      </c>
      <c r="K49" s="6">
        <v>378655</v>
      </c>
      <c r="L49" s="6">
        <v>261435</v>
      </c>
      <c r="M49" s="8">
        <v>0.69040000000000001</v>
      </c>
      <c r="N49" s="6">
        <f>E49+H49+K49</f>
        <v>1167514</v>
      </c>
      <c r="O49" s="6">
        <f>F49+I49+L49</f>
        <v>790754</v>
      </c>
      <c r="P49" s="8">
        <f t="shared" si="0"/>
        <v>0.67729723155354027</v>
      </c>
      <c r="Q49" s="6">
        <v>171822</v>
      </c>
      <c r="R49" s="6">
        <v>113081</v>
      </c>
      <c r="S49" s="8">
        <f t="shared" si="1"/>
        <v>0.6581287611598049</v>
      </c>
      <c r="T49" s="6">
        <v>188090</v>
      </c>
      <c r="U49" s="6">
        <v>121531</v>
      </c>
      <c r="V49" s="8">
        <f>U49/T49</f>
        <v>0.64613217076931251</v>
      </c>
    </row>
    <row r="50" spans="1:22" ht="15.75" customHeight="1" x14ac:dyDescent="0.2">
      <c r="A50" s="1" t="s">
        <v>107</v>
      </c>
      <c r="B50" s="1" t="str">
        <f>VLOOKUP(A50,[60]HardwareList!A:I,3,FALSE)</f>
        <v>一般店</v>
      </c>
      <c r="C50" s="1" t="str">
        <f>VLOOKUP(A50,[60]HardwareList!A:I,4,FALSE)</f>
        <v>V3</v>
      </c>
      <c r="D50" s="1" t="s">
        <v>108</v>
      </c>
      <c r="E50" s="6">
        <v>488515</v>
      </c>
      <c r="F50" s="6">
        <v>276749</v>
      </c>
      <c r="G50" s="8">
        <v>0.5665</v>
      </c>
      <c r="H50" s="6">
        <v>521539</v>
      </c>
      <c r="I50" s="6">
        <v>305161</v>
      </c>
      <c r="J50" s="8">
        <v>0.58509999999999995</v>
      </c>
      <c r="K50" s="6">
        <v>607384</v>
      </c>
      <c r="L50" s="6">
        <v>370792</v>
      </c>
      <c r="M50" s="8">
        <v>0.61050000000000004</v>
      </c>
      <c r="N50" s="6">
        <f>E50+H50+K50</f>
        <v>1617438</v>
      </c>
      <c r="O50" s="6">
        <f>F50+I50+L50</f>
        <v>952702</v>
      </c>
      <c r="P50" s="8">
        <f t="shared" si="0"/>
        <v>0.58901917724203334</v>
      </c>
      <c r="Q50" s="6">
        <v>181822</v>
      </c>
      <c r="R50" s="6">
        <v>100273</v>
      </c>
      <c r="S50" s="8">
        <f t="shared" si="1"/>
        <v>0.55148991871170705</v>
      </c>
      <c r="T50" s="6">
        <v>400570</v>
      </c>
      <c r="U50" s="6">
        <v>220198</v>
      </c>
      <c r="V50" s="8">
        <f>U50/T50</f>
        <v>0.54971166088324142</v>
      </c>
    </row>
    <row r="51" spans="1:22" ht="15.75" customHeight="1" x14ac:dyDescent="0.2">
      <c r="A51" s="1" t="s">
        <v>109</v>
      </c>
      <c r="B51" s="1" t="str">
        <f>VLOOKUP(A51,[60]HardwareList!A:I,3,FALSE)</f>
        <v>一般店</v>
      </c>
      <c r="C51" s="1" t="str">
        <f>VLOOKUP(A51,[60]HardwareList!A:I,4,FALSE)</f>
        <v>D2</v>
      </c>
      <c r="D51" s="1" t="s">
        <v>110</v>
      </c>
      <c r="E51" s="6">
        <v>453777</v>
      </c>
      <c r="F51" s="6">
        <v>274540</v>
      </c>
      <c r="G51" s="8">
        <v>0.60499999999999998</v>
      </c>
      <c r="H51" s="6">
        <v>492116</v>
      </c>
      <c r="I51" s="6">
        <v>285318</v>
      </c>
      <c r="J51" s="8">
        <v>0.57979999999999998</v>
      </c>
      <c r="K51" s="6">
        <v>669364</v>
      </c>
      <c r="L51" s="6">
        <v>408708</v>
      </c>
      <c r="M51" s="8">
        <v>0.61060000000000003</v>
      </c>
      <c r="N51" s="6">
        <f>E51+H51+K51</f>
        <v>1615257</v>
      </c>
      <c r="O51" s="6">
        <f>F51+I51+L51</f>
        <v>968566</v>
      </c>
      <c r="P51" s="8">
        <f t="shared" si="0"/>
        <v>0.5996358474224226</v>
      </c>
      <c r="Q51" s="6">
        <v>203803</v>
      </c>
      <c r="R51" s="6">
        <v>107027</v>
      </c>
      <c r="S51" s="8">
        <f t="shared" si="1"/>
        <v>0.52514928632061353</v>
      </c>
      <c r="T51" s="6">
        <v>220313</v>
      </c>
      <c r="U51" s="6">
        <v>115100</v>
      </c>
      <c r="V51" s="8">
        <f>U51/T51</f>
        <v>0.5224385306359588</v>
      </c>
    </row>
    <row r="52" spans="1:22" ht="14" x14ac:dyDescent="0.2">
      <c r="A52" s="1" t="s">
        <v>111</v>
      </c>
      <c r="B52" s="1" t="str">
        <f>VLOOKUP(A52,[60]HardwareList!A:I,3,FALSE)</f>
        <v>一般店</v>
      </c>
      <c r="C52" s="1" t="str">
        <f>VLOOKUP(A52,[60]HardwareList!A:I,4,FALSE)</f>
        <v>V4</v>
      </c>
      <c r="D52" s="1" t="s">
        <v>112</v>
      </c>
      <c r="E52" s="6">
        <v>857966</v>
      </c>
      <c r="F52" s="6">
        <v>530155</v>
      </c>
      <c r="G52" s="8">
        <v>0.6179</v>
      </c>
      <c r="H52" s="6">
        <v>859299</v>
      </c>
      <c r="I52" s="6">
        <v>513466</v>
      </c>
      <c r="J52" s="8">
        <v>0.59750000000000003</v>
      </c>
      <c r="K52" s="6">
        <v>919627</v>
      </c>
      <c r="L52" s="6">
        <v>595962</v>
      </c>
      <c r="M52" s="8">
        <v>0.64800000000000002</v>
      </c>
      <c r="N52" s="6">
        <f>E52+H52+K52</f>
        <v>2636892</v>
      </c>
      <c r="O52" s="6">
        <f>F52+I52+L52</f>
        <v>1639583</v>
      </c>
      <c r="P52" s="8">
        <f t="shared" si="0"/>
        <v>0.62178617857690033</v>
      </c>
      <c r="Q52" s="6">
        <v>370462</v>
      </c>
      <c r="R52" s="6">
        <v>211647</v>
      </c>
      <c r="S52" s="8">
        <f t="shared" si="1"/>
        <v>0.57130555900470226</v>
      </c>
      <c r="T52" s="6">
        <v>799934</v>
      </c>
      <c r="U52" s="6">
        <v>452234</v>
      </c>
      <c r="V52" s="8">
        <f>U52/T52</f>
        <v>0.56533914047908951</v>
      </c>
    </row>
    <row r="53" spans="1:22" ht="14" x14ac:dyDescent="0.2">
      <c r="A53" s="1" t="s">
        <v>113</v>
      </c>
      <c r="B53" s="1" t="str">
        <f>VLOOKUP(A53,[60]HardwareList!A:I,3,FALSE)</f>
        <v>一般店</v>
      </c>
      <c r="C53" s="1" t="str">
        <f>VLOOKUP(A53,[60]HardwareList!A:I,4,FALSE)</f>
        <v>V3</v>
      </c>
      <c r="D53" s="1" t="s">
        <v>114</v>
      </c>
      <c r="E53" s="6">
        <v>614402</v>
      </c>
      <c r="F53" s="6">
        <v>400673</v>
      </c>
      <c r="G53" s="8">
        <v>0.65210000000000001</v>
      </c>
      <c r="H53" s="6">
        <v>643534</v>
      </c>
      <c r="I53" s="6">
        <v>401843</v>
      </c>
      <c r="J53" s="8">
        <v>0.62439999999999996</v>
      </c>
      <c r="K53" s="6">
        <v>719357</v>
      </c>
      <c r="L53" s="6">
        <v>474727</v>
      </c>
      <c r="M53" s="8">
        <v>0.65990000000000004</v>
      </c>
      <c r="N53" s="6">
        <f>E53+H53+K53</f>
        <v>1977293</v>
      </c>
      <c r="O53" s="6">
        <f>F53+I53+L53</f>
        <v>1277243</v>
      </c>
      <c r="P53" s="8">
        <f t="shared" si="0"/>
        <v>0.64595535411292104</v>
      </c>
      <c r="Q53" s="6">
        <v>292873</v>
      </c>
      <c r="R53" s="6">
        <v>183954</v>
      </c>
      <c r="S53" s="8">
        <f t="shared" si="1"/>
        <v>0.62810160035237117</v>
      </c>
      <c r="T53" s="6">
        <v>313212</v>
      </c>
      <c r="U53" s="6">
        <v>194024</v>
      </c>
      <c r="V53" s="8">
        <f>U53/T53</f>
        <v>0.61946541000983357</v>
      </c>
    </row>
    <row r="54" spans="1:22" ht="14" x14ac:dyDescent="0.2">
      <c r="A54" s="1" t="s">
        <v>115</v>
      </c>
      <c r="B54" s="1" t="str">
        <f>VLOOKUP(A54,[60]HardwareList!A:I,3,FALSE)</f>
        <v>一般店</v>
      </c>
      <c r="C54" s="1" t="str">
        <f>VLOOKUP(A54,[60]HardwareList!A:I,4,FALSE)</f>
        <v>V4</v>
      </c>
      <c r="D54" s="1" t="s">
        <v>116</v>
      </c>
      <c r="E54" s="6">
        <v>637660</v>
      </c>
      <c r="F54" s="6">
        <v>439063</v>
      </c>
      <c r="G54" s="8">
        <v>0.68859999999999999</v>
      </c>
      <c r="H54" s="6">
        <v>653660</v>
      </c>
      <c r="I54" s="6">
        <v>431278</v>
      </c>
      <c r="J54" s="8">
        <v>0.65980000000000005</v>
      </c>
      <c r="K54" s="6">
        <v>633171</v>
      </c>
      <c r="L54" s="6">
        <v>424975</v>
      </c>
      <c r="M54" s="8">
        <v>0.67120000000000002</v>
      </c>
      <c r="N54" s="6">
        <f>E54+H54+K54</f>
        <v>1924491</v>
      </c>
      <c r="O54" s="6">
        <f>F54+I54+L54</f>
        <v>1295316</v>
      </c>
      <c r="P54" s="8">
        <f t="shared" si="0"/>
        <v>0.67306939860981418</v>
      </c>
      <c r="Q54" s="6">
        <v>278791</v>
      </c>
      <c r="R54" s="6">
        <v>164643</v>
      </c>
      <c r="S54" s="8">
        <f t="shared" si="1"/>
        <v>0.59056067089683673</v>
      </c>
      <c r="T54" s="6">
        <v>595836</v>
      </c>
      <c r="U54" s="6">
        <v>349110</v>
      </c>
      <c r="V54" s="8">
        <f>U54/T54</f>
        <v>0.58591625883632414</v>
      </c>
    </row>
    <row r="55" spans="1:22" ht="14" x14ac:dyDescent="0.2">
      <c r="A55" s="1" t="s">
        <v>117</v>
      </c>
      <c r="B55" s="1" t="str">
        <f>VLOOKUP(A55,[60]HardwareList!A:I,3,FALSE)</f>
        <v>一般店</v>
      </c>
      <c r="C55" s="1" t="str">
        <f>VLOOKUP(A55,[60]HardwareList!A:I,4,FALSE)</f>
        <v>V4</v>
      </c>
      <c r="D55" s="1" t="s">
        <v>118</v>
      </c>
      <c r="E55" s="6">
        <v>387586</v>
      </c>
      <c r="F55" s="6">
        <v>228347</v>
      </c>
      <c r="G55" s="8">
        <v>0.58919999999999995</v>
      </c>
      <c r="H55" s="6">
        <v>416448</v>
      </c>
      <c r="I55" s="6">
        <v>257856</v>
      </c>
      <c r="J55" s="8">
        <v>0.61919999999999997</v>
      </c>
      <c r="K55" s="6">
        <v>423422</v>
      </c>
      <c r="L55" s="6">
        <v>268433</v>
      </c>
      <c r="M55" s="8">
        <v>0.63400000000000001</v>
      </c>
      <c r="N55" s="6">
        <f>E55+H55+K55</f>
        <v>1227456</v>
      </c>
      <c r="O55" s="6">
        <f>F55+I55+L55</f>
        <v>754636</v>
      </c>
      <c r="P55" s="8">
        <f t="shared" si="0"/>
        <v>0.61479678293967355</v>
      </c>
      <c r="Q55" s="6">
        <v>217150</v>
      </c>
      <c r="R55" s="6">
        <v>120116</v>
      </c>
      <c r="S55" s="8">
        <f t="shared" si="1"/>
        <v>0.55314759382915035</v>
      </c>
      <c r="T55" s="6">
        <v>232144</v>
      </c>
      <c r="U55" s="6">
        <v>125883</v>
      </c>
      <c r="V55" s="8">
        <f>U55/T55</f>
        <v>0.54226256116892968</v>
      </c>
    </row>
    <row r="56" spans="1:22" ht="14" x14ac:dyDescent="0.2">
      <c r="A56" s="1" t="s">
        <v>119</v>
      </c>
      <c r="B56" s="1" t="str">
        <f>VLOOKUP(A56,[60]HardwareList!A:I,3,FALSE)</f>
        <v>一般店</v>
      </c>
      <c r="C56" s="1" t="str">
        <f>VLOOKUP(A56,[60]HardwareList!A:I,4,FALSE)</f>
        <v>V3</v>
      </c>
      <c r="D56" s="1" t="s">
        <v>120</v>
      </c>
      <c r="E56" s="6">
        <v>1159633</v>
      </c>
      <c r="F56" s="6">
        <v>734084</v>
      </c>
      <c r="G56" s="8">
        <v>0.63300000000000001</v>
      </c>
      <c r="H56" s="6">
        <v>995555</v>
      </c>
      <c r="I56" s="6">
        <v>635289</v>
      </c>
      <c r="J56" s="8">
        <v>0.6381</v>
      </c>
      <c r="K56" s="6">
        <v>907693</v>
      </c>
      <c r="L56" s="6">
        <v>582818</v>
      </c>
      <c r="M56" s="8">
        <v>0.6421</v>
      </c>
      <c r="N56" s="6">
        <f>E56+H56+K56</f>
        <v>3062881</v>
      </c>
      <c r="O56" s="6">
        <f>F56+I56+L56</f>
        <v>1952191</v>
      </c>
      <c r="P56" s="8">
        <f t="shared" si="0"/>
        <v>0.6373708283149101</v>
      </c>
      <c r="Q56" s="6">
        <v>343084</v>
      </c>
      <c r="R56" s="6">
        <v>210881</v>
      </c>
      <c r="S56" s="8">
        <f t="shared" si="1"/>
        <v>0.61466288139347802</v>
      </c>
      <c r="T56" s="6">
        <v>759250</v>
      </c>
      <c r="U56" s="6">
        <v>440340</v>
      </c>
      <c r="V56" s="8">
        <f>U56/T56</f>
        <v>0.57996707276918014</v>
      </c>
    </row>
    <row r="57" spans="1:22" ht="14" x14ac:dyDescent="0.2">
      <c r="A57" s="1" t="s">
        <v>121</v>
      </c>
      <c r="B57" s="1" t="str">
        <f>VLOOKUP(A57,[60]HardwareList!A:I,3,FALSE)</f>
        <v>一般店</v>
      </c>
      <c r="C57" s="1" t="str">
        <f>VLOOKUP(A57,[60]HardwareList!A:I,4,FALSE)</f>
        <v>V4</v>
      </c>
      <c r="D57" s="1" t="s">
        <v>122</v>
      </c>
      <c r="E57" s="6">
        <v>716300</v>
      </c>
      <c r="F57" s="6">
        <v>492733</v>
      </c>
      <c r="G57" s="8">
        <v>0.68789999999999996</v>
      </c>
      <c r="H57" s="6">
        <v>796489</v>
      </c>
      <c r="I57" s="6">
        <v>533614</v>
      </c>
      <c r="J57" s="8">
        <v>0.67</v>
      </c>
      <c r="K57" s="6">
        <v>802277</v>
      </c>
      <c r="L57" s="6">
        <v>559637</v>
      </c>
      <c r="M57" s="8">
        <v>0.6976</v>
      </c>
      <c r="N57" s="6">
        <f>E57+H57+K57</f>
        <v>2315066</v>
      </c>
      <c r="O57" s="6">
        <f>F57+I57+L57</f>
        <v>1585984</v>
      </c>
      <c r="P57" s="8">
        <f t="shared" si="0"/>
        <v>0.68507074960281911</v>
      </c>
      <c r="Q57" s="6">
        <v>325598</v>
      </c>
      <c r="R57" s="6">
        <v>195962</v>
      </c>
      <c r="S57" s="8">
        <f t="shared" si="1"/>
        <v>0.60185259123213286</v>
      </c>
      <c r="T57" s="6">
        <v>347711</v>
      </c>
      <c r="U57" s="6">
        <v>203457</v>
      </c>
      <c r="V57" s="8">
        <f>U57/T57</f>
        <v>0.58513248070955481</v>
      </c>
    </row>
    <row r="58" spans="1:22" ht="14" x14ac:dyDescent="0.2">
      <c r="A58" s="1" t="s">
        <v>123</v>
      </c>
      <c r="B58" s="1" t="str">
        <f>VLOOKUP(A58,[60]HardwareList!A:I,3,FALSE)</f>
        <v>一般店</v>
      </c>
      <c r="C58" s="1" t="str">
        <f>VLOOKUP(A58,[60]HardwareList!A:I,4,FALSE)</f>
        <v>V3</v>
      </c>
      <c r="D58" s="1" t="s">
        <v>124</v>
      </c>
      <c r="E58" s="6">
        <v>1154690</v>
      </c>
      <c r="F58" s="6">
        <v>737937</v>
      </c>
      <c r="G58" s="8">
        <v>0.6391</v>
      </c>
      <c r="H58" s="6">
        <v>953722</v>
      </c>
      <c r="I58" s="6">
        <v>624913</v>
      </c>
      <c r="J58" s="8">
        <v>0.6552</v>
      </c>
      <c r="K58" s="6">
        <v>999755</v>
      </c>
      <c r="L58" s="6">
        <v>670442</v>
      </c>
      <c r="M58" s="8">
        <v>0.67059999999999997</v>
      </c>
      <c r="N58" s="6">
        <f>E58+H58+K58</f>
        <v>3108167</v>
      </c>
      <c r="O58" s="6">
        <f>F58+I58+L58</f>
        <v>2033292</v>
      </c>
      <c r="P58" s="8">
        <f t="shared" si="0"/>
        <v>0.65417720476409413</v>
      </c>
      <c r="Q58" s="6">
        <v>535287</v>
      </c>
      <c r="R58" s="6">
        <v>308423</v>
      </c>
      <c r="S58" s="8">
        <f t="shared" si="1"/>
        <v>0.57618249649253583</v>
      </c>
      <c r="T58" s="6">
        <v>1164168</v>
      </c>
      <c r="U58" s="6">
        <v>669154</v>
      </c>
      <c r="V58" s="8">
        <f>U58/T58</f>
        <v>0.57479161083280073</v>
      </c>
    </row>
    <row r="59" spans="1:22" ht="14" x14ac:dyDescent="0.2">
      <c r="A59" s="1" t="s">
        <v>125</v>
      </c>
      <c r="B59" s="1" t="str">
        <f>VLOOKUP(A59,[60]HardwareList!A:I,3,FALSE)</f>
        <v>一般店</v>
      </c>
      <c r="C59" s="1" t="str">
        <f>VLOOKUP(A59,[60]HardwareList!A:I,4,FALSE)</f>
        <v>V3</v>
      </c>
      <c r="D59" s="1" t="s">
        <v>126</v>
      </c>
      <c r="E59" s="6">
        <v>818064</v>
      </c>
      <c r="F59" s="6">
        <v>515709</v>
      </c>
      <c r="G59" s="8">
        <v>0.63039999999999996</v>
      </c>
      <c r="H59" s="6">
        <v>861253</v>
      </c>
      <c r="I59" s="6">
        <v>553341</v>
      </c>
      <c r="J59" s="8">
        <v>0.64249999999999996</v>
      </c>
      <c r="K59" s="6">
        <v>708113</v>
      </c>
      <c r="L59" s="6">
        <v>454093</v>
      </c>
      <c r="M59" s="8">
        <v>0.64129999999999998</v>
      </c>
      <c r="N59" s="6">
        <f>E59+H59+K59</f>
        <v>2387430</v>
      </c>
      <c r="O59" s="6">
        <f>F59+I59+L59</f>
        <v>1523143</v>
      </c>
      <c r="P59" s="8">
        <f t="shared" si="0"/>
        <v>0.63798435975086176</v>
      </c>
      <c r="Q59" s="6">
        <v>365063</v>
      </c>
      <c r="R59" s="6">
        <v>221186</v>
      </c>
      <c r="S59" s="8">
        <f t="shared" si="1"/>
        <v>0.60588446377748495</v>
      </c>
      <c r="T59" s="6">
        <v>802752</v>
      </c>
      <c r="U59" s="6">
        <v>477290</v>
      </c>
      <c r="V59" s="8">
        <f>U59/T59</f>
        <v>0.59456718887028626</v>
      </c>
    </row>
    <row r="60" spans="1:22" ht="14" x14ac:dyDescent="0.2">
      <c r="A60" s="1" t="s">
        <v>127</v>
      </c>
      <c r="B60" s="1" t="str">
        <f>VLOOKUP(A60,[60]HardwareList!A:I,3,FALSE)</f>
        <v>一般店</v>
      </c>
      <c r="C60" s="1" t="str">
        <f>VLOOKUP(A60,[60]HardwareList!A:I,4,FALSE)</f>
        <v>V4</v>
      </c>
      <c r="D60" s="1" t="s">
        <v>128</v>
      </c>
      <c r="E60" s="6">
        <v>798429</v>
      </c>
      <c r="F60" s="6">
        <v>486362</v>
      </c>
      <c r="G60" s="8">
        <v>0.60909999999999997</v>
      </c>
      <c r="H60" s="6">
        <v>831629</v>
      </c>
      <c r="I60" s="6">
        <v>516587</v>
      </c>
      <c r="J60" s="8">
        <v>0.62119999999999997</v>
      </c>
      <c r="K60" s="6">
        <v>872495</v>
      </c>
      <c r="L60" s="6">
        <v>544921</v>
      </c>
      <c r="M60" s="8">
        <v>0.62460000000000004</v>
      </c>
      <c r="N60" s="6">
        <f>E60+H60+K60</f>
        <v>2502553</v>
      </c>
      <c r="O60" s="6">
        <f>F60+I60+L60</f>
        <v>1547870</v>
      </c>
      <c r="P60" s="8">
        <f t="shared" si="0"/>
        <v>0.6185163710818512</v>
      </c>
      <c r="Q60" s="6">
        <v>352636</v>
      </c>
      <c r="R60" s="6">
        <v>200495</v>
      </c>
      <c r="S60" s="8">
        <f t="shared" si="1"/>
        <v>0.56856078222302886</v>
      </c>
      <c r="T60" s="6">
        <v>738920</v>
      </c>
      <c r="U60" s="6">
        <v>422446</v>
      </c>
      <c r="V60" s="8">
        <f>U60/T60</f>
        <v>0.5717073566827261</v>
      </c>
    </row>
    <row r="61" spans="1:22" ht="14" x14ac:dyDescent="0.2">
      <c r="A61" s="1" t="s">
        <v>129</v>
      </c>
      <c r="B61" s="1" t="str">
        <f>VLOOKUP(A61,[60]HardwareList!A:I,3,FALSE)</f>
        <v>一般店</v>
      </c>
      <c r="C61" s="1" t="str">
        <f>VLOOKUP(A61,[60]HardwareList!A:I,4,FALSE)</f>
        <v>V2</v>
      </c>
      <c r="D61" s="1" t="s">
        <v>130</v>
      </c>
      <c r="E61" s="6">
        <v>1097843</v>
      </c>
      <c r="F61" s="6">
        <v>704858</v>
      </c>
      <c r="G61" s="8">
        <v>0.64200000000000002</v>
      </c>
      <c r="H61" s="6">
        <v>1051514</v>
      </c>
      <c r="I61" s="6">
        <v>682580</v>
      </c>
      <c r="J61" s="8">
        <v>0.64910000000000001</v>
      </c>
      <c r="K61" s="6">
        <v>1184617</v>
      </c>
      <c r="L61" s="6">
        <v>804704</v>
      </c>
      <c r="M61" s="8">
        <v>0.67930000000000001</v>
      </c>
      <c r="N61" s="6">
        <f>E61+H61+K61</f>
        <v>3333974</v>
      </c>
      <c r="O61" s="6">
        <f>F61+I61+L61</f>
        <v>2192142</v>
      </c>
      <c r="P61" s="8">
        <f t="shared" si="0"/>
        <v>0.65751622538148169</v>
      </c>
      <c r="Q61" s="6">
        <v>630100</v>
      </c>
      <c r="R61" s="6">
        <v>344181</v>
      </c>
      <c r="S61" s="8">
        <f t="shared" si="1"/>
        <v>0.54623234407236942</v>
      </c>
      <c r="T61" s="6">
        <v>1430982</v>
      </c>
      <c r="U61" s="6">
        <v>784940</v>
      </c>
      <c r="V61" s="8">
        <f>U61/T61</f>
        <v>0.5485324064174113</v>
      </c>
    </row>
    <row r="62" spans="1:22" ht="14" x14ac:dyDescent="0.2">
      <c r="A62" s="1" t="s">
        <v>131</v>
      </c>
      <c r="B62" s="1" t="str">
        <f>VLOOKUP(A62,[60]HardwareList!A:I,3,FALSE)</f>
        <v>一般店</v>
      </c>
      <c r="C62" s="1" t="str">
        <f>VLOOKUP(A62,[60]HardwareList!A:I,4,FALSE)</f>
        <v>V4</v>
      </c>
      <c r="D62" s="1" t="s">
        <v>132</v>
      </c>
      <c r="E62" s="6">
        <v>525668</v>
      </c>
      <c r="F62" s="6">
        <v>347399</v>
      </c>
      <c r="G62" s="8">
        <v>0.66090000000000004</v>
      </c>
      <c r="H62" s="6">
        <v>523961</v>
      </c>
      <c r="I62" s="6">
        <v>344373</v>
      </c>
      <c r="J62" s="8">
        <v>0.65720000000000001</v>
      </c>
      <c r="K62" s="6">
        <v>460816</v>
      </c>
      <c r="L62" s="6">
        <v>313616</v>
      </c>
      <c r="M62" s="8">
        <v>0.68059999999999998</v>
      </c>
      <c r="N62" s="6">
        <f>E62+H62+K62</f>
        <v>1510445</v>
      </c>
      <c r="O62" s="6">
        <f>F62+I62+L62</f>
        <v>1005388</v>
      </c>
      <c r="P62" s="8">
        <f t="shared" si="0"/>
        <v>0.66562370692080808</v>
      </c>
      <c r="Q62" s="6">
        <v>229731</v>
      </c>
      <c r="R62" s="6">
        <v>133114</v>
      </c>
      <c r="S62" s="8">
        <f t="shared" si="1"/>
        <v>0.57943420783438015</v>
      </c>
      <c r="T62" s="6">
        <v>490422</v>
      </c>
      <c r="U62" s="6">
        <v>287088</v>
      </c>
      <c r="V62" s="8">
        <f>U62/T62</f>
        <v>0.58538972558327318</v>
      </c>
    </row>
    <row r="63" spans="1:22" ht="14" x14ac:dyDescent="0.2">
      <c r="A63" s="1" t="s">
        <v>133</v>
      </c>
      <c r="B63" s="1" t="str">
        <f>VLOOKUP(A63,[60]HardwareList!A:I,3,FALSE)</f>
        <v>一般店</v>
      </c>
      <c r="C63" s="1" t="str">
        <f>VLOOKUP(A63,[60]HardwareList!A:I,4,FALSE)</f>
        <v>V4</v>
      </c>
      <c r="D63" s="1" t="s">
        <v>134</v>
      </c>
      <c r="E63" s="6">
        <v>440646</v>
      </c>
      <c r="F63" s="6">
        <v>283640</v>
      </c>
      <c r="G63" s="8">
        <v>0.64370000000000005</v>
      </c>
      <c r="H63" s="6">
        <v>481135</v>
      </c>
      <c r="I63" s="6">
        <v>304603</v>
      </c>
      <c r="J63" s="8">
        <v>0.6331</v>
      </c>
      <c r="K63" s="6">
        <v>402591</v>
      </c>
      <c r="L63" s="6">
        <v>251821</v>
      </c>
      <c r="M63" s="8">
        <v>0.62549999999999994</v>
      </c>
      <c r="N63" s="6">
        <f>E63+H63+K63</f>
        <v>1324372</v>
      </c>
      <c r="O63" s="6">
        <f>F63+I63+L63</f>
        <v>840064</v>
      </c>
      <c r="P63" s="8">
        <f t="shared" si="0"/>
        <v>0.63431120561292442</v>
      </c>
      <c r="Q63" s="6">
        <v>177343</v>
      </c>
      <c r="R63" s="6">
        <v>104833</v>
      </c>
      <c r="S63" s="8">
        <f t="shared" si="1"/>
        <v>0.5911313105112691</v>
      </c>
      <c r="T63" s="6">
        <v>388452</v>
      </c>
      <c r="U63" s="6">
        <v>227860</v>
      </c>
      <c r="V63" s="8">
        <f>U63/T63</f>
        <v>0.58658470029759147</v>
      </c>
    </row>
    <row r="64" spans="1:22" ht="14" x14ac:dyDescent="0.2">
      <c r="A64" s="1" t="s">
        <v>135</v>
      </c>
      <c r="B64" s="1" t="str">
        <f>VLOOKUP(A64,[60]HardwareList!A:I,3,FALSE)</f>
        <v>一般店</v>
      </c>
      <c r="C64" s="1" t="str">
        <f>VLOOKUP(A64,[60]HardwareList!A:I,4,FALSE)</f>
        <v>V4</v>
      </c>
      <c r="D64" s="1" t="s">
        <v>136</v>
      </c>
      <c r="E64" s="6">
        <v>960219</v>
      </c>
      <c r="F64" s="6">
        <v>644588</v>
      </c>
      <c r="G64" s="8">
        <v>0.67130000000000001</v>
      </c>
      <c r="H64" s="6">
        <v>951343</v>
      </c>
      <c r="I64" s="6">
        <v>631378</v>
      </c>
      <c r="J64" s="8">
        <v>0.66369999999999996</v>
      </c>
      <c r="K64" s="6">
        <v>861771</v>
      </c>
      <c r="L64" s="6">
        <v>593638</v>
      </c>
      <c r="M64" s="8">
        <v>0.68889999999999996</v>
      </c>
      <c r="N64" s="6">
        <f>E64+H64+K64</f>
        <v>2773333</v>
      </c>
      <c r="O64" s="6">
        <f>F64+I64+L64</f>
        <v>1869604</v>
      </c>
      <c r="P64" s="8">
        <f t="shared" si="0"/>
        <v>0.67413613871828593</v>
      </c>
      <c r="Q64" s="6">
        <v>456015</v>
      </c>
      <c r="R64" s="6">
        <v>287682</v>
      </c>
      <c r="S64" s="8">
        <f t="shared" si="1"/>
        <v>0.63086082694648205</v>
      </c>
      <c r="T64" s="6">
        <v>970198</v>
      </c>
      <c r="U64" s="6">
        <v>606168</v>
      </c>
      <c r="V64" s="8">
        <f>U64/T64</f>
        <v>0.6247879298864768</v>
      </c>
    </row>
    <row r="65" spans="1:22" ht="14" x14ac:dyDescent="0.2">
      <c r="A65" s="1" t="s">
        <v>137</v>
      </c>
      <c r="B65" s="1" t="str">
        <f>VLOOKUP(A65,[60]HardwareList!A:I,3,FALSE)</f>
        <v>一般店</v>
      </c>
      <c r="C65" s="1" t="str">
        <f>VLOOKUP(A65,[60]HardwareList!A:I,4,FALSE)</f>
        <v>V4</v>
      </c>
      <c r="D65" s="1" t="s">
        <v>138</v>
      </c>
      <c r="E65" s="6">
        <v>867359</v>
      </c>
      <c r="F65" s="6">
        <v>603098</v>
      </c>
      <c r="G65" s="8">
        <v>0.69530000000000003</v>
      </c>
      <c r="H65" s="6">
        <v>841308</v>
      </c>
      <c r="I65" s="6">
        <v>556728</v>
      </c>
      <c r="J65" s="8">
        <v>0.66169999999999995</v>
      </c>
      <c r="K65" s="6">
        <v>936006</v>
      </c>
      <c r="L65" s="6">
        <v>643941</v>
      </c>
      <c r="M65" s="8">
        <v>0.68799999999999994</v>
      </c>
      <c r="N65" s="6">
        <f>E65+H65+K65</f>
        <v>2644673</v>
      </c>
      <c r="O65" s="6">
        <f>F65+I65+L65</f>
        <v>1803767</v>
      </c>
      <c r="P65" s="8">
        <f t="shared" si="0"/>
        <v>0.68203781715168565</v>
      </c>
      <c r="Q65" s="6">
        <v>466576</v>
      </c>
      <c r="R65" s="6">
        <v>290869</v>
      </c>
      <c r="S65" s="8">
        <f t="shared" si="1"/>
        <v>0.6234118342992353</v>
      </c>
      <c r="T65" s="6">
        <v>1008822</v>
      </c>
      <c r="U65" s="6">
        <v>630904</v>
      </c>
      <c r="V65" s="8">
        <f>U65/T65</f>
        <v>0.62538683732115274</v>
      </c>
    </row>
    <row r="66" spans="1:22" ht="14" x14ac:dyDescent="0.2">
      <c r="A66" s="1" t="s">
        <v>139</v>
      </c>
      <c r="B66" s="1" t="str">
        <f>VLOOKUP(A66,[60]HardwareList!A:I,3,FALSE)</f>
        <v>一般店</v>
      </c>
      <c r="C66" s="1" t="str">
        <f>VLOOKUP(A66,[60]HardwareList!A:I,4,FALSE)</f>
        <v>V3</v>
      </c>
      <c r="D66" s="1" t="s">
        <v>140</v>
      </c>
      <c r="E66" s="6">
        <v>1283718</v>
      </c>
      <c r="F66" s="6">
        <v>815751</v>
      </c>
      <c r="G66" s="8">
        <v>0.63549999999999995</v>
      </c>
      <c r="H66" s="6">
        <v>1254814</v>
      </c>
      <c r="I66" s="6">
        <v>767048</v>
      </c>
      <c r="J66" s="8">
        <v>0.61129999999999995</v>
      </c>
      <c r="K66" s="6">
        <v>1087597</v>
      </c>
      <c r="L66" s="6">
        <v>672137</v>
      </c>
      <c r="M66" s="8">
        <v>0.61799999999999999</v>
      </c>
      <c r="N66" s="6">
        <f>E66+H66+K66</f>
        <v>3626129</v>
      </c>
      <c r="O66" s="6">
        <f>F66+I66+L66</f>
        <v>2254936</v>
      </c>
      <c r="P66" s="8">
        <f t="shared" si="0"/>
        <v>0.62185763385693116</v>
      </c>
      <c r="Q66" s="6">
        <v>468145</v>
      </c>
      <c r="R66" s="6">
        <v>275961</v>
      </c>
      <c r="S66" s="8">
        <f t="shared" si="1"/>
        <v>0.58947761911373608</v>
      </c>
      <c r="T66" s="6">
        <v>998548</v>
      </c>
      <c r="U66" s="6">
        <v>585356</v>
      </c>
      <c r="V66" s="8">
        <f>U66/T66</f>
        <v>0.58620717281492729</v>
      </c>
    </row>
    <row r="67" spans="1:22" ht="14" x14ac:dyDescent="0.2">
      <c r="A67" s="1" t="s">
        <v>141</v>
      </c>
      <c r="B67" s="1" t="str">
        <f>VLOOKUP(A67,[60]HardwareList!A:I,3,FALSE)</f>
        <v>一般店</v>
      </c>
      <c r="C67" s="1" t="str">
        <f>VLOOKUP(A67,[60]HardwareList!A:I,4,FALSE)</f>
        <v>V4</v>
      </c>
      <c r="D67" s="1" t="s">
        <v>142</v>
      </c>
      <c r="E67" s="6">
        <v>0</v>
      </c>
      <c r="F67" s="6">
        <v>0</v>
      </c>
      <c r="G67" s="8"/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340922</v>
      </c>
      <c r="R67" s="6">
        <v>200949</v>
      </c>
      <c r="S67" s="8">
        <f t="shared" ref="S67:S130" si="2">R67/Q67</f>
        <v>0.58942808032335847</v>
      </c>
      <c r="T67" s="6">
        <v>728634</v>
      </c>
      <c r="U67" s="6">
        <v>431486</v>
      </c>
      <c r="V67" s="8">
        <f>U67/T67</f>
        <v>0.59218482804810102</v>
      </c>
    </row>
    <row r="68" spans="1:22" ht="14" x14ac:dyDescent="0.2">
      <c r="A68" s="1" t="s">
        <v>143</v>
      </c>
      <c r="B68" s="1" t="str">
        <f>VLOOKUP(A68,[60]HardwareList!A:I,3,FALSE)</f>
        <v>一般店</v>
      </c>
      <c r="C68" s="1" t="str">
        <f>VLOOKUP(A68,[60]HardwareList!A:I,4,FALSE)</f>
        <v>V4</v>
      </c>
      <c r="D68" s="1" t="s">
        <v>144</v>
      </c>
      <c r="E68" s="6">
        <v>660444</v>
      </c>
      <c r="F68" s="6">
        <v>471501</v>
      </c>
      <c r="G68" s="8">
        <v>0.71389999999999998</v>
      </c>
      <c r="H68" s="6">
        <v>650014</v>
      </c>
      <c r="I68" s="6">
        <v>432920</v>
      </c>
      <c r="J68" s="8">
        <v>0.66600000000000004</v>
      </c>
      <c r="K68" s="6">
        <v>684767</v>
      </c>
      <c r="L68" s="6">
        <v>454722</v>
      </c>
      <c r="M68" s="8">
        <v>0.66410000000000002</v>
      </c>
      <c r="N68" s="6">
        <f>E68+H68+K68</f>
        <v>1995225</v>
      </c>
      <c r="O68" s="6">
        <f>F68+I68+L68</f>
        <v>1359143</v>
      </c>
      <c r="P68" s="8">
        <f t="shared" ref="P68:P131" si="3">O68/N68</f>
        <v>0.68119785989048853</v>
      </c>
      <c r="Q68" s="6">
        <v>277952</v>
      </c>
      <c r="R68" s="6">
        <v>169936</v>
      </c>
      <c r="S68" s="8">
        <f t="shared" si="2"/>
        <v>0.61138613861386137</v>
      </c>
      <c r="T68" s="6">
        <v>598152</v>
      </c>
      <c r="U68" s="6">
        <v>369160</v>
      </c>
      <c r="V68" s="8">
        <f>U68/T68</f>
        <v>0.61716754269817709</v>
      </c>
    </row>
    <row r="69" spans="1:22" ht="14" x14ac:dyDescent="0.2">
      <c r="A69" s="1" t="s">
        <v>145</v>
      </c>
      <c r="B69" s="1" t="str">
        <f>VLOOKUP(A69,[60]HardwareList!A:I,3,FALSE)</f>
        <v>一般店</v>
      </c>
      <c r="C69" s="1" t="str">
        <f>VLOOKUP(A69,[60]HardwareList!A:I,4,FALSE)</f>
        <v>D2</v>
      </c>
      <c r="D69" s="1" t="s">
        <v>146</v>
      </c>
      <c r="E69" s="6">
        <v>769262</v>
      </c>
      <c r="F69" s="6">
        <v>443247</v>
      </c>
      <c r="G69" s="8">
        <v>0.57620000000000005</v>
      </c>
      <c r="H69" s="6">
        <v>752285</v>
      </c>
      <c r="I69" s="6">
        <v>390921</v>
      </c>
      <c r="J69" s="8">
        <v>0.51959999999999995</v>
      </c>
      <c r="K69" s="6">
        <v>705094</v>
      </c>
      <c r="L69" s="6">
        <v>268775</v>
      </c>
      <c r="M69" s="8">
        <v>0.38119999999999998</v>
      </c>
      <c r="N69" s="6">
        <f>E69+H69+K69</f>
        <v>2226641</v>
      </c>
      <c r="O69" s="6">
        <f>F69+I69+L69</f>
        <v>1102943</v>
      </c>
      <c r="P69" s="8">
        <f t="shared" si="3"/>
        <v>0.49533939238521163</v>
      </c>
      <c r="Q69" s="6">
        <v>324024</v>
      </c>
      <c r="R69" s="6">
        <v>175191</v>
      </c>
      <c r="S69" s="8">
        <f t="shared" si="2"/>
        <v>0.54067291311754684</v>
      </c>
      <c r="T69" s="6">
        <v>715186</v>
      </c>
      <c r="U69" s="6">
        <v>386004</v>
      </c>
      <c r="V69" s="8">
        <f>U69/T69</f>
        <v>0.53972533019382374</v>
      </c>
    </row>
    <row r="70" spans="1:22" ht="14" x14ac:dyDescent="0.2">
      <c r="A70" s="1" t="s">
        <v>147</v>
      </c>
      <c r="B70" s="1" t="str">
        <f>VLOOKUP(A70,[60]HardwareList!A:I,3,FALSE)</f>
        <v>一般店</v>
      </c>
      <c r="C70" s="1" t="str">
        <f>VLOOKUP(A70,[60]HardwareList!A:I,4,FALSE)</f>
        <v>V4</v>
      </c>
      <c r="D70" s="1" t="s">
        <v>148</v>
      </c>
      <c r="E70" s="6">
        <v>1102624</v>
      </c>
      <c r="F70" s="6">
        <v>753457</v>
      </c>
      <c r="G70" s="8">
        <v>0.68330000000000002</v>
      </c>
      <c r="H70" s="6">
        <v>1199638</v>
      </c>
      <c r="I70" s="6">
        <v>785599</v>
      </c>
      <c r="J70" s="8">
        <v>0.65490000000000004</v>
      </c>
      <c r="K70" s="6">
        <v>1145860</v>
      </c>
      <c r="L70" s="6">
        <v>769025</v>
      </c>
      <c r="M70" s="8">
        <v>0.67110000000000003</v>
      </c>
      <c r="N70" s="6">
        <f>E70+H70+K70</f>
        <v>3448122</v>
      </c>
      <c r="O70" s="6">
        <f>F70+I70+L70</f>
        <v>2308081</v>
      </c>
      <c r="P70" s="8">
        <f t="shared" si="3"/>
        <v>0.66937335743920889</v>
      </c>
      <c r="Q70" s="6">
        <v>434146</v>
      </c>
      <c r="R70" s="6">
        <v>266520</v>
      </c>
      <c r="S70" s="8">
        <f t="shared" si="2"/>
        <v>0.61389486486112965</v>
      </c>
      <c r="T70" s="6">
        <v>934514</v>
      </c>
      <c r="U70" s="6">
        <v>572522</v>
      </c>
      <c r="V70" s="8">
        <f>U70/T70</f>
        <v>0.61264143715342945</v>
      </c>
    </row>
    <row r="71" spans="1:22" ht="14" x14ac:dyDescent="0.2">
      <c r="A71" s="1" t="s">
        <v>149</v>
      </c>
      <c r="B71" s="1" t="str">
        <f>VLOOKUP(A71,[60]HardwareList!A:I,3,FALSE)</f>
        <v>一般店</v>
      </c>
      <c r="C71" s="1" t="str">
        <f>VLOOKUP(A71,[60]HardwareList!A:I,4,FALSE)</f>
        <v>V4</v>
      </c>
      <c r="D71" s="1" t="s">
        <v>150</v>
      </c>
      <c r="E71" s="6">
        <v>811610</v>
      </c>
      <c r="F71" s="6">
        <v>469671</v>
      </c>
      <c r="G71" s="8">
        <v>0.57869999999999999</v>
      </c>
      <c r="H71" s="6">
        <v>623640</v>
      </c>
      <c r="I71" s="6">
        <v>390732</v>
      </c>
      <c r="J71" s="8">
        <v>0.62649999999999995</v>
      </c>
      <c r="K71" s="6">
        <v>558036</v>
      </c>
      <c r="L71" s="6">
        <v>366571</v>
      </c>
      <c r="M71" s="8">
        <v>0.65690000000000004</v>
      </c>
      <c r="N71" s="6">
        <f>E71+H71+K71</f>
        <v>1993286</v>
      </c>
      <c r="O71" s="6">
        <f>F71+I71+L71</f>
        <v>1226974</v>
      </c>
      <c r="P71" s="8">
        <f t="shared" si="3"/>
        <v>0.61555341280679243</v>
      </c>
      <c r="Q71" s="6">
        <v>308061</v>
      </c>
      <c r="R71" s="6">
        <v>153570</v>
      </c>
      <c r="S71" s="8">
        <f t="shared" si="2"/>
        <v>0.49850516618461926</v>
      </c>
      <c r="T71" s="6">
        <v>676164</v>
      </c>
      <c r="U71" s="6">
        <v>331164</v>
      </c>
      <c r="V71" s="8">
        <f>U71/T71</f>
        <v>0.48976875432587358</v>
      </c>
    </row>
    <row r="72" spans="1:22" ht="14" x14ac:dyDescent="0.2">
      <c r="A72" s="1" t="s">
        <v>151</v>
      </c>
      <c r="B72" s="1" t="str">
        <f>VLOOKUP(A72,[60]HardwareList!A:I,3,FALSE)</f>
        <v>一般店</v>
      </c>
      <c r="C72" s="1" t="str">
        <f>VLOOKUP(A72,[60]HardwareList!A:I,4,FALSE)</f>
        <v>V2</v>
      </c>
      <c r="D72" s="1" t="s">
        <v>152</v>
      </c>
      <c r="E72" s="6">
        <v>782728</v>
      </c>
      <c r="F72" s="6">
        <v>458520</v>
      </c>
      <c r="G72" s="8">
        <v>0.58579999999999999</v>
      </c>
      <c r="H72" s="6">
        <v>774846</v>
      </c>
      <c r="I72" s="6">
        <v>427821</v>
      </c>
      <c r="J72" s="8">
        <v>0.55210000000000004</v>
      </c>
      <c r="K72" s="6">
        <v>674723</v>
      </c>
      <c r="L72" s="6">
        <v>232701</v>
      </c>
      <c r="M72" s="8">
        <v>0.34489999999999998</v>
      </c>
      <c r="N72" s="6">
        <f>E72+H72+K72</f>
        <v>2232297</v>
      </c>
      <c r="O72" s="6">
        <f>F72+I72+L72</f>
        <v>1119042</v>
      </c>
      <c r="P72" s="8">
        <f t="shared" si="3"/>
        <v>0.50129619848971707</v>
      </c>
      <c r="Q72" s="6">
        <v>330710</v>
      </c>
      <c r="R72" s="6">
        <v>176954</v>
      </c>
      <c r="S72" s="8">
        <f t="shared" si="2"/>
        <v>0.53507302470442386</v>
      </c>
      <c r="T72" s="6">
        <v>737714</v>
      </c>
      <c r="U72" s="6">
        <v>393294</v>
      </c>
      <c r="V72" s="8">
        <f>U72/T72</f>
        <v>0.53312530330182162</v>
      </c>
    </row>
    <row r="73" spans="1:22" ht="14" x14ac:dyDescent="0.2">
      <c r="A73" s="1" t="s">
        <v>153</v>
      </c>
      <c r="B73" s="1" t="str">
        <f>VLOOKUP(A73,[60]HardwareList!A:I,3,FALSE)</f>
        <v>一般店</v>
      </c>
      <c r="C73" s="1" t="str">
        <f>VLOOKUP(A73,[60]HardwareList!A:I,4,FALSE)</f>
        <v>D1</v>
      </c>
      <c r="D73" s="1" t="s">
        <v>154</v>
      </c>
      <c r="E73" s="6">
        <v>1082185</v>
      </c>
      <c r="F73" s="6">
        <v>705921</v>
      </c>
      <c r="G73" s="8">
        <v>0.65229999999999999</v>
      </c>
      <c r="H73" s="6">
        <v>1162101</v>
      </c>
      <c r="I73" s="6">
        <v>740023</v>
      </c>
      <c r="J73" s="8">
        <v>0.63680000000000003</v>
      </c>
      <c r="K73" s="6">
        <v>1208329</v>
      </c>
      <c r="L73" s="6">
        <v>807609</v>
      </c>
      <c r="M73" s="8">
        <v>0.66839999999999999</v>
      </c>
      <c r="N73" s="6">
        <f>E73+H73+K73</f>
        <v>3452615</v>
      </c>
      <c r="O73" s="6">
        <f>F73+I73+L73</f>
        <v>2253553</v>
      </c>
      <c r="P73" s="8">
        <f t="shared" si="3"/>
        <v>0.65270903358758503</v>
      </c>
      <c r="Q73" s="6">
        <v>496336</v>
      </c>
      <c r="R73" s="6">
        <v>310572</v>
      </c>
      <c r="S73" s="8">
        <f t="shared" si="2"/>
        <v>0.62572934463750363</v>
      </c>
      <c r="T73" s="6">
        <v>1068134</v>
      </c>
      <c r="U73" s="6">
        <v>659208</v>
      </c>
      <c r="V73" s="8">
        <f>U73/T73</f>
        <v>0.61715852130912419</v>
      </c>
    </row>
    <row r="74" spans="1:22" ht="14" x14ac:dyDescent="0.2">
      <c r="A74" s="1" t="s">
        <v>155</v>
      </c>
      <c r="B74" s="1" t="str">
        <f>VLOOKUP(A74,[60]HardwareList!A:I,3,FALSE)</f>
        <v>一般店</v>
      </c>
      <c r="C74" s="1" t="str">
        <f>VLOOKUP(A74,[60]HardwareList!A:I,4,FALSE)</f>
        <v>V4</v>
      </c>
      <c r="D74" s="1" t="s">
        <v>156</v>
      </c>
      <c r="E74" s="6">
        <v>631011</v>
      </c>
      <c r="F74" s="6">
        <v>432017</v>
      </c>
      <c r="G74" s="8">
        <v>0.68459999999999999</v>
      </c>
      <c r="H74" s="6">
        <v>657153</v>
      </c>
      <c r="I74" s="6">
        <v>450881</v>
      </c>
      <c r="J74" s="8">
        <v>0.68610000000000004</v>
      </c>
      <c r="K74" s="6">
        <v>603517</v>
      </c>
      <c r="L74" s="6">
        <v>423171</v>
      </c>
      <c r="M74" s="8">
        <v>0.70120000000000005</v>
      </c>
      <c r="N74" s="6">
        <f>E74+H74+K74</f>
        <v>1891681</v>
      </c>
      <c r="O74" s="6">
        <f>F74+I74+L74</f>
        <v>1306069</v>
      </c>
      <c r="P74" s="8">
        <f t="shared" si="3"/>
        <v>0.69042772010714282</v>
      </c>
      <c r="Q74" s="6">
        <v>298666</v>
      </c>
      <c r="R74" s="6">
        <v>186115</v>
      </c>
      <c r="S74" s="8">
        <f t="shared" si="2"/>
        <v>0.6231542927551178</v>
      </c>
      <c r="T74" s="6">
        <v>649048</v>
      </c>
      <c r="U74" s="6">
        <v>405956</v>
      </c>
      <c r="V74" s="8">
        <f>U74/T74</f>
        <v>0.62546375614746519</v>
      </c>
    </row>
    <row r="75" spans="1:22" ht="14" x14ac:dyDescent="0.2">
      <c r="A75" s="1" t="s">
        <v>157</v>
      </c>
      <c r="B75" s="1" t="str">
        <f>VLOOKUP(A75,[60]HardwareList!A:I,3,FALSE)</f>
        <v>一般店</v>
      </c>
      <c r="C75" s="1" t="str">
        <f>VLOOKUP(A75,[60]HardwareList!A:I,4,FALSE)</f>
        <v>V2</v>
      </c>
      <c r="D75" s="1" t="s">
        <v>158</v>
      </c>
      <c r="E75" s="6">
        <v>1037912</v>
      </c>
      <c r="F75" s="6">
        <v>666479</v>
      </c>
      <c r="G75" s="8">
        <v>0.6421</v>
      </c>
      <c r="H75" s="6">
        <v>974852</v>
      </c>
      <c r="I75" s="6">
        <v>609122</v>
      </c>
      <c r="J75" s="8">
        <v>0.62480000000000002</v>
      </c>
      <c r="K75" s="6">
        <v>844398</v>
      </c>
      <c r="L75" s="6">
        <v>551381</v>
      </c>
      <c r="M75" s="8">
        <v>0.65300000000000002</v>
      </c>
      <c r="N75" s="6">
        <f>E75+H75+K75</f>
        <v>2857162</v>
      </c>
      <c r="O75" s="6">
        <f>F75+I75+L75</f>
        <v>1826982</v>
      </c>
      <c r="P75" s="8">
        <f t="shared" si="3"/>
        <v>0.63943941575591445</v>
      </c>
      <c r="Q75" s="6">
        <v>424431</v>
      </c>
      <c r="R75" s="6">
        <v>258022</v>
      </c>
      <c r="S75" s="8">
        <f t="shared" si="2"/>
        <v>0.60792449184908737</v>
      </c>
      <c r="T75" s="6">
        <v>914848</v>
      </c>
      <c r="U75" s="6">
        <v>552896</v>
      </c>
      <c r="V75" s="8">
        <f>U75/T75</f>
        <v>0.60435831963342546</v>
      </c>
    </row>
    <row r="76" spans="1:22" ht="14" x14ac:dyDescent="0.2">
      <c r="A76" s="1" t="s">
        <v>159</v>
      </c>
      <c r="B76" s="1" t="str">
        <f>VLOOKUP(A76,[60]HardwareList!A:I,3,FALSE)</f>
        <v>一般店</v>
      </c>
      <c r="C76" s="1" t="str">
        <f>VLOOKUP(A76,[60]HardwareList!A:I,4,FALSE)</f>
        <v>V2</v>
      </c>
      <c r="D76" s="1" t="s">
        <v>160</v>
      </c>
      <c r="E76" s="6">
        <v>551143</v>
      </c>
      <c r="F76" s="6">
        <v>331863</v>
      </c>
      <c r="G76" s="8">
        <v>0.60209999999999997</v>
      </c>
      <c r="H76" s="6">
        <v>552786</v>
      </c>
      <c r="I76" s="6">
        <v>338713</v>
      </c>
      <c r="J76" s="8">
        <v>0.61270000000000002</v>
      </c>
      <c r="K76" s="6">
        <v>682003</v>
      </c>
      <c r="L76" s="6">
        <v>442179</v>
      </c>
      <c r="M76" s="8">
        <v>0.64839999999999998</v>
      </c>
      <c r="N76" s="6">
        <f>E76+H76+K76</f>
        <v>1785932</v>
      </c>
      <c r="O76" s="6">
        <f>F76+I76+L76</f>
        <v>1112755</v>
      </c>
      <c r="P76" s="8">
        <f t="shared" si="3"/>
        <v>0.62306683569139254</v>
      </c>
      <c r="Q76" s="6">
        <v>199535</v>
      </c>
      <c r="R76" s="6">
        <v>116476</v>
      </c>
      <c r="S76" s="8">
        <f t="shared" si="2"/>
        <v>0.58373718896434212</v>
      </c>
      <c r="T76" s="6">
        <v>211824</v>
      </c>
      <c r="U76" s="6">
        <v>119428</v>
      </c>
      <c r="V76" s="8">
        <f>U76/T76</f>
        <v>0.5638076894025229</v>
      </c>
    </row>
    <row r="77" spans="1:22" ht="14" x14ac:dyDescent="0.2">
      <c r="A77" s="1" t="s">
        <v>161</v>
      </c>
      <c r="B77" s="1" t="str">
        <f>VLOOKUP(A77,[60]HardwareList!A:I,3,FALSE)</f>
        <v>一般店</v>
      </c>
      <c r="C77" s="1" t="str">
        <f>VLOOKUP(A77,[60]HardwareList!A:I,4,FALSE)</f>
        <v>V2*.16, V3*.17</v>
      </c>
      <c r="D77" s="1" t="s">
        <v>162</v>
      </c>
      <c r="E77" s="6">
        <v>1080790</v>
      </c>
      <c r="F77" s="6">
        <v>610961</v>
      </c>
      <c r="G77" s="8">
        <v>0.56530000000000002</v>
      </c>
      <c r="H77" s="6">
        <v>1005260</v>
      </c>
      <c r="I77" s="6">
        <v>546319</v>
      </c>
      <c r="J77" s="8">
        <v>0.54349999999999998</v>
      </c>
      <c r="K77" s="6">
        <v>1187367</v>
      </c>
      <c r="L77" s="6">
        <v>675481</v>
      </c>
      <c r="M77" s="8">
        <v>0.56889999999999996</v>
      </c>
      <c r="N77" s="6">
        <f>E77+H77+K77</f>
        <v>3273417</v>
      </c>
      <c r="O77" s="6">
        <f>F77+I77+L77</f>
        <v>1832761</v>
      </c>
      <c r="P77" s="8">
        <f t="shared" si="3"/>
        <v>0.55989230825159153</v>
      </c>
      <c r="Q77" s="6">
        <v>592103</v>
      </c>
      <c r="R77" s="6">
        <v>332089</v>
      </c>
      <c r="S77" s="8">
        <f t="shared" si="2"/>
        <v>0.56086356596740772</v>
      </c>
      <c r="T77" s="6">
        <v>1271106</v>
      </c>
      <c r="U77" s="6">
        <v>706318</v>
      </c>
      <c r="V77" s="8">
        <f>U77/T77</f>
        <v>0.55567198959016795</v>
      </c>
    </row>
    <row r="78" spans="1:22" ht="14" x14ac:dyDescent="0.2">
      <c r="A78" s="1" t="s">
        <v>163</v>
      </c>
      <c r="B78" s="1" t="str">
        <f>VLOOKUP(A78,[60]HardwareList!A:I,3,FALSE)</f>
        <v>數位店</v>
      </c>
      <c r="C78" s="1" t="str">
        <f>VLOOKUP(A78,[60]HardwareList!A:I,4,FALSE)</f>
        <v>V4</v>
      </c>
      <c r="D78" s="1" t="s">
        <v>164</v>
      </c>
      <c r="E78" s="6">
        <v>1172544</v>
      </c>
      <c r="F78" s="6">
        <v>1156436</v>
      </c>
      <c r="G78" s="8">
        <v>0.98629999999999995</v>
      </c>
      <c r="H78" s="6">
        <v>1127763</v>
      </c>
      <c r="I78" s="6">
        <v>1109371</v>
      </c>
      <c r="J78" s="8">
        <v>0.98370000000000002</v>
      </c>
      <c r="K78" s="6">
        <v>1091063</v>
      </c>
      <c r="L78" s="6">
        <v>1070006</v>
      </c>
      <c r="M78" s="8">
        <v>0.98070000000000002</v>
      </c>
      <c r="N78" s="6">
        <f>E78+H78+K78</f>
        <v>3391370</v>
      </c>
      <c r="O78" s="6">
        <f>F78+I78+L78</f>
        <v>3335813</v>
      </c>
      <c r="P78" s="8">
        <f t="shared" si="3"/>
        <v>0.98361812482860911</v>
      </c>
      <c r="Q78" s="6">
        <v>609752</v>
      </c>
      <c r="R78" s="6">
        <v>592453</v>
      </c>
      <c r="S78" s="8">
        <f t="shared" si="2"/>
        <v>0.97162944934989959</v>
      </c>
      <c r="T78" s="6">
        <v>2539104</v>
      </c>
      <c r="U78" s="6">
        <v>2463268</v>
      </c>
      <c r="V78" s="8">
        <f>U78/T78</f>
        <v>0.97013277124528963</v>
      </c>
    </row>
    <row r="79" spans="1:22" ht="14" x14ac:dyDescent="0.2">
      <c r="A79" s="1" t="s">
        <v>165</v>
      </c>
      <c r="B79" s="1" t="str">
        <f>VLOOKUP(A79,[60]HardwareList!A:I,3,FALSE)</f>
        <v>一般店</v>
      </c>
      <c r="C79" s="1" t="str">
        <f>VLOOKUP(A79,[60]HardwareList!A:I,4,FALSE)</f>
        <v>V4</v>
      </c>
      <c r="D79" s="1" t="s">
        <v>166</v>
      </c>
      <c r="E79" s="6">
        <v>976537</v>
      </c>
      <c r="F79" s="6">
        <v>643226</v>
      </c>
      <c r="G79" s="8">
        <v>0.65869999999999995</v>
      </c>
      <c r="H79" s="6">
        <v>1051728</v>
      </c>
      <c r="I79" s="6">
        <v>700959</v>
      </c>
      <c r="J79" s="8">
        <v>0.66649999999999998</v>
      </c>
      <c r="K79" s="6">
        <v>983442</v>
      </c>
      <c r="L79" s="6">
        <v>671740</v>
      </c>
      <c r="M79" s="8">
        <v>0.68300000000000005</v>
      </c>
      <c r="N79" s="6">
        <f>E79+H79+K79</f>
        <v>3011707</v>
      </c>
      <c r="O79" s="6">
        <f>F79+I79+L79</f>
        <v>2015925</v>
      </c>
      <c r="P79" s="8">
        <f t="shared" si="3"/>
        <v>0.66936292275443798</v>
      </c>
      <c r="Q79" s="6">
        <v>420438</v>
      </c>
      <c r="R79" s="6">
        <v>262257</v>
      </c>
      <c r="S79" s="8">
        <f t="shared" si="2"/>
        <v>0.6237709246071953</v>
      </c>
      <c r="T79" s="6">
        <v>1788548</v>
      </c>
      <c r="U79" s="6">
        <v>1117696</v>
      </c>
      <c r="V79" s="8">
        <f>U79/T79</f>
        <v>0.62491808998137033</v>
      </c>
    </row>
    <row r="80" spans="1:22" ht="14" x14ac:dyDescent="0.2">
      <c r="A80" s="1" t="s">
        <v>167</v>
      </c>
      <c r="B80" s="1" t="str">
        <f>VLOOKUP(A80,[60]HardwareList!A:I,3,FALSE)</f>
        <v>一般店</v>
      </c>
      <c r="C80" s="1" t="str">
        <f>VLOOKUP(A80,[60]HardwareList!A:I,4,FALSE)</f>
        <v>V4</v>
      </c>
      <c r="D80" s="1" t="s">
        <v>168</v>
      </c>
      <c r="E80" s="6">
        <v>0</v>
      </c>
      <c r="F80" s="6">
        <v>0</v>
      </c>
      <c r="G80" s="8"/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501061</v>
      </c>
      <c r="R80" s="6">
        <v>233808</v>
      </c>
      <c r="S80" s="8">
        <f t="shared" si="2"/>
        <v>0.46662582000993891</v>
      </c>
      <c r="T80" s="6">
        <v>1075478</v>
      </c>
      <c r="U80" s="6">
        <v>496366</v>
      </c>
      <c r="V80" s="8">
        <f>U80/T80</f>
        <v>0.46153059383827472</v>
      </c>
    </row>
    <row r="81" spans="1:22" ht="14" x14ac:dyDescent="0.2">
      <c r="A81" s="1" t="s">
        <v>169</v>
      </c>
      <c r="B81" s="1" t="str">
        <f>VLOOKUP(A81,[60]HardwareList!A:I,3,FALSE)</f>
        <v>一般店</v>
      </c>
      <c r="C81" s="1" t="str">
        <f>VLOOKUP(A81,[60]HardwareList!A:I,4,FALSE)</f>
        <v>V4</v>
      </c>
      <c r="D81" s="1" t="s">
        <v>170</v>
      </c>
      <c r="E81" s="6">
        <v>966610</v>
      </c>
      <c r="F81" s="6">
        <v>636395</v>
      </c>
      <c r="G81" s="8">
        <v>0.65839999999999999</v>
      </c>
      <c r="H81" s="6">
        <v>984165</v>
      </c>
      <c r="I81" s="6">
        <v>607898</v>
      </c>
      <c r="J81" s="8">
        <v>0.61770000000000003</v>
      </c>
      <c r="K81" s="6">
        <v>850584</v>
      </c>
      <c r="L81" s="6">
        <v>552140</v>
      </c>
      <c r="M81" s="8">
        <v>0.64910000000000001</v>
      </c>
      <c r="N81" s="6">
        <f>E81+H81+K81</f>
        <v>2801359</v>
      </c>
      <c r="O81" s="6">
        <f>F81+I81+L81</f>
        <v>1796433</v>
      </c>
      <c r="P81" s="8">
        <f t="shared" si="3"/>
        <v>0.64127196835535893</v>
      </c>
      <c r="Q81" s="6">
        <v>366518</v>
      </c>
      <c r="R81" s="6">
        <v>206939</v>
      </c>
      <c r="S81" s="8">
        <f t="shared" si="2"/>
        <v>0.56460801379468406</v>
      </c>
      <c r="T81" s="6">
        <v>773094</v>
      </c>
      <c r="U81" s="6">
        <v>435550</v>
      </c>
      <c r="V81" s="8">
        <f>U81/T81</f>
        <v>0.56338556501537973</v>
      </c>
    </row>
    <row r="82" spans="1:22" ht="14" x14ac:dyDescent="0.2">
      <c r="A82" s="1" t="s">
        <v>171</v>
      </c>
      <c r="B82" s="1" t="str">
        <f>VLOOKUP(A82,[60]HardwareList!A:I,3,FALSE)</f>
        <v>一般店</v>
      </c>
      <c r="C82" s="1" t="str">
        <f>VLOOKUP(A82,[60]HardwareList!A:I,4,FALSE)</f>
        <v>V4</v>
      </c>
      <c r="D82" s="1" t="s">
        <v>172</v>
      </c>
      <c r="E82" s="6">
        <v>774753</v>
      </c>
      <c r="F82" s="6">
        <v>492508</v>
      </c>
      <c r="G82" s="8">
        <v>0.63570000000000004</v>
      </c>
      <c r="H82" s="6">
        <v>752367</v>
      </c>
      <c r="I82" s="6">
        <v>467408</v>
      </c>
      <c r="J82" s="8">
        <v>0.62119999999999997</v>
      </c>
      <c r="K82" s="6">
        <v>828456</v>
      </c>
      <c r="L82" s="6">
        <v>512504</v>
      </c>
      <c r="M82" s="8">
        <v>0.61860000000000004</v>
      </c>
      <c r="N82" s="6">
        <f>E82+H82+K82</f>
        <v>2355576</v>
      </c>
      <c r="O82" s="6">
        <f>F82+I82+L82</f>
        <v>1472420</v>
      </c>
      <c r="P82" s="8">
        <f t="shared" si="3"/>
        <v>0.62507853705420668</v>
      </c>
      <c r="Q82" s="6">
        <v>320587</v>
      </c>
      <c r="R82" s="6">
        <v>173807</v>
      </c>
      <c r="S82" s="8">
        <f t="shared" si="2"/>
        <v>0.54215236425681645</v>
      </c>
      <c r="T82" s="6">
        <v>688690</v>
      </c>
      <c r="U82" s="6">
        <v>374186</v>
      </c>
      <c r="V82" s="8">
        <f>U82/T82</f>
        <v>0.54333009046160097</v>
      </c>
    </row>
    <row r="83" spans="1:22" ht="14" x14ac:dyDescent="0.2">
      <c r="A83" s="1" t="s">
        <v>173</v>
      </c>
      <c r="B83" s="1" t="str">
        <f>VLOOKUP(A83,[60]HardwareList!A:I,3,FALSE)</f>
        <v>一般店</v>
      </c>
      <c r="C83" s="1" t="str">
        <f>VLOOKUP(A83,[60]HardwareList!A:I,4,FALSE)</f>
        <v>V3</v>
      </c>
      <c r="D83" s="1" t="s">
        <v>174</v>
      </c>
      <c r="E83" s="6">
        <v>931356</v>
      </c>
      <c r="F83" s="6">
        <v>585035</v>
      </c>
      <c r="G83" s="8">
        <v>0.62819999999999998</v>
      </c>
      <c r="H83" s="6">
        <v>837866</v>
      </c>
      <c r="I83" s="6">
        <v>529538</v>
      </c>
      <c r="J83" s="8">
        <v>0.63200000000000001</v>
      </c>
      <c r="K83" s="6">
        <v>825717</v>
      </c>
      <c r="L83" s="6">
        <v>547034</v>
      </c>
      <c r="M83" s="8">
        <v>0.66249999999999998</v>
      </c>
      <c r="N83" s="6">
        <f>E83+H83+K83</f>
        <v>2594939</v>
      </c>
      <c r="O83" s="6">
        <f>F83+I83+L83</f>
        <v>1661607</v>
      </c>
      <c r="P83" s="8">
        <f t="shared" si="3"/>
        <v>0.64032603463896454</v>
      </c>
      <c r="Q83" s="6">
        <v>393109</v>
      </c>
      <c r="R83" s="6">
        <v>234346</v>
      </c>
      <c r="S83" s="8">
        <f t="shared" si="2"/>
        <v>0.59613491423498322</v>
      </c>
      <c r="T83" s="6">
        <v>862324</v>
      </c>
      <c r="U83" s="6">
        <v>518386</v>
      </c>
      <c r="V83" s="8">
        <f>U83/T83</f>
        <v>0.60114991580890709</v>
      </c>
    </row>
    <row r="84" spans="1:22" ht="14" x14ac:dyDescent="0.2">
      <c r="A84" s="1" t="s">
        <v>175</v>
      </c>
      <c r="B84" s="1" t="str">
        <f>VLOOKUP(A84,[60]HardwareList!A:I,3,FALSE)</f>
        <v>一般店</v>
      </c>
      <c r="C84" s="1" t="str">
        <f>VLOOKUP(A84,[60]HardwareList!A:I,4,FALSE)</f>
        <v>V3</v>
      </c>
      <c r="D84" s="1" t="s">
        <v>176</v>
      </c>
      <c r="E84" s="6">
        <v>1072081</v>
      </c>
      <c r="F84" s="6">
        <v>698135</v>
      </c>
      <c r="G84" s="8">
        <v>0.6512</v>
      </c>
      <c r="H84" s="6">
        <v>1307197</v>
      </c>
      <c r="I84" s="6">
        <v>869889</v>
      </c>
      <c r="J84" s="8">
        <v>0.66549999999999998</v>
      </c>
      <c r="K84" s="6">
        <v>1090591</v>
      </c>
      <c r="L84" s="6">
        <v>735761</v>
      </c>
      <c r="M84" s="8">
        <v>0.67459999999999998</v>
      </c>
      <c r="N84" s="6">
        <f>E84+H84+K84</f>
        <v>3469869</v>
      </c>
      <c r="O84" s="6">
        <f>F84+I84+L84</f>
        <v>2303785</v>
      </c>
      <c r="P84" s="8">
        <f t="shared" si="3"/>
        <v>0.66394005076272333</v>
      </c>
      <c r="Q84" s="6">
        <v>443268</v>
      </c>
      <c r="R84" s="6">
        <v>280955</v>
      </c>
      <c r="S84" s="8">
        <f t="shared" si="2"/>
        <v>0.6338264887156303</v>
      </c>
      <c r="T84" s="6">
        <v>977098</v>
      </c>
      <c r="U84" s="6">
        <v>609926</v>
      </c>
      <c r="V84" s="8">
        <f>U84/T84</f>
        <v>0.62422193065588094</v>
      </c>
    </row>
    <row r="85" spans="1:22" ht="14" x14ac:dyDescent="0.2">
      <c r="A85" s="1" t="s">
        <v>177</v>
      </c>
      <c r="B85" s="1" t="str">
        <f>VLOOKUP(A85,[60]HardwareList!A:I,3,FALSE)</f>
        <v>一般店</v>
      </c>
      <c r="C85" s="1" t="str">
        <f>VLOOKUP(A85,[60]HardwareList!A:I,4,FALSE)</f>
        <v>V3</v>
      </c>
      <c r="D85" s="1" t="s">
        <v>178</v>
      </c>
      <c r="E85" s="6">
        <v>834506</v>
      </c>
      <c r="F85" s="6">
        <v>532546</v>
      </c>
      <c r="G85" s="8">
        <v>0.63819999999999999</v>
      </c>
      <c r="H85" s="6">
        <v>822384</v>
      </c>
      <c r="I85" s="6">
        <v>501222</v>
      </c>
      <c r="J85" s="8">
        <v>0.60950000000000004</v>
      </c>
      <c r="K85" s="6">
        <v>916585</v>
      </c>
      <c r="L85" s="6">
        <v>563349</v>
      </c>
      <c r="M85" s="8">
        <v>0.61460000000000004</v>
      </c>
      <c r="N85" s="6">
        <f>E85+H85+K85</f>
        <v>2573475</v>
      </c>
      <c r="O85" s="6">
        <f>F85+I85+L85</f>
        <v>1597117</v>
      </c>
      <c r="P85" s="8">
        <f t="shared" si="3"/>
        <v>0.62060715569414893</v>
      </c>
      <c r="Q85" s="6">
        <v>361285</v>
      </c>
      <c r="R85" s="6">
        <v>211981</v>
      </c>
      <c r="S85" s="8">
        <f t="shared" si="2"/>
        <v>0.58674176896356067</v>
      </c>
      <c r="T85" s="6">
        <v>753806</v>
      </c>
      <c r="U85" s="6">
        <v>447010</v>
      </c>
      <c r="V85" s="8">
        <f>U85/T85</f>
        <v>0.59300403552107572</v>
      </c>
    </row>
    <row r="86" spans="1:22" ht="14" x14ac:dyDescent="0.2">
      <c r="A86" s="1" t="s">
        <v>179</v>
      </c>
      <c r="B86" s="1" t="str">
        <f>VLOOKUP(A86,[60]HardwareList!A:I,3,FALSE)</f>
        <v>一般店</v>
      </c>
      <c r="C86" s="1" t="str">
        <f>VLOOKUP(A86,[60]HardwareList!A:I,4,FALSE)</f>
        <v>V2</v>
      </c>
      <c r="D86" s="1" t="s">
        <v>180</v>
      </c>
      <c r="E86" s="6">
        <v>1110440</v>
      </c>
      <c r="F86" s="6">
        <v>619399</v>
      </c>
      <c r="G86" s="8">
        <v>0.55779999999999996</v>
      </c>
      <c r="H86" s="6">
        <v>1045736</v>
      </c>
      <c r="I86" s="6">
        <v>586372</v>
      </c>
      <c r="J86" s="8">
        <v>0.56069999999999998</v>
      </c>
      <c r="K86" s="6">
        <v>985543</v>
      </c>
      <c r="L86" s="6">
        <v>577157</v>
      </c>
      <c r="M86" s="8">
        <v>0.58560000000000001</v>
      </c>
      <c r="N86" s="6">
        <f>E86+H86+K86</f>
        <v>3141719</v>
      </c>
      <c r="O86" s="6">
        <f>F86+I86+L86</f>
        <v>1782928</v>
      </c>
      <c r="P86" s="8">
        <f t="shared" si="3"/>
        <v>0.56750078539805759</v>
      </c>
      <c r="Q86" s="6">
        <v>472537</v>
      </c>
      <c r="R86" s="6">
        <v>247717</v>
      </c>
      <c r="S86" s="8">
        <f t="shared" si="2"/>
        <v>0.52422773243153442</v>
      </c>
      <c r="T86" s="6">
        <v>1029550</v>
      </c>
      <c r="U86" s="6">
        <v>539638</v>
      </c>
      <c r="V86" s="8">
        <f>U86/T86</f>
        <v>0.52414938565392644</v>
      </c>
    </row>
    <row r="87" spans="1:22" ht="14" x14ac:dyDescent="0.2">
      <c r="A87" s="1" t="s">
        <v>181</v>
      </c>
      <c r="B87" s="1" t="str">
        <f>VLOOKUP(A87,[60]HardwareList!A:I,3,FALSE)</f>
        <v>一般店</v>
      </c>
      <c r="C87" s="1" t="str">
        <f>VLOOKUP(A87,[60]HardwareList!A:I,4,FALSE)</f>
        <v>V4</v>
      </c>
      <c r="D87" s="1" t="s">
        <v>182</v>
      </c>
      <c r="E87" s="6">
        <v>1092857</v>
      </c>
      <c r="F87" s="6">
        <v>677505</v>
      </c>
      <c r="G87" s="8">
        <v>0.61990000000000001</v>
      </c>
      <c r="H87" s="6">
        <v>872523</v>
      </c>
      <c r="I87" s="6">
        <v>523314</v>
      </c>
      <c r="J87" s="8">
        <v>0.5998</v>
      </c>
      <c r="K87" s="6">
        <v>889283</v>
      </c>
      <c r="L87" s="6">
        <v>582643</v>
      </c>
      <c r="M87" s="8">
        <v>0.6552</v>
      </c>
      <c r="N87" s="6">
        <f>E87+H87+K87</f>
        <v>2854663</v>
      </c>
      <c r="O87" s="6">
        <f>F87+I87+L87</f>
        <v>1783462</v>
      </c>
      <c r="P87" s="8">
        <f t="shared" si="3"/>
        <v>0.62475395519541188</v>
      </c>
      <c r="Q87" s="6">
        <v>408117</v>
      </c>
      <c r="R87" s="6">
        <v>249983</v>
      </c>
      <c r="S87" s="8">
        <f t="shared" si="2"/>
        <v>0.61252778002386565</v>
      </c>
      <c r="T87" s="6">
        <v>957874</v>
      </c>
      <c r="U87" s="6">
        <v>585418</v>
      </c>
      <c r="V87" s="8">
        <f>U87/T87</f>
        <v>0.61116389003146554</v>
      </c>
    </row>
    <row r="88" spans="1:22" ht="14" x14ac:dyDescent="0.2">
      <c r="A88" s="1" t="s">
        <v>183</v>
      </c>
      <c r="B88" s="1" t="str">
        <f>VLOOKUP(A88,[60]HardwareList!A:I,3,FALSE)</f>
        <v>一般店</v>
      </c>
      <c r="C88" s="1" t="str">
        <f>VLOOKUP(A88,[60]HardwareList!A:I,4,FALSE)</f>
        <v>V4</v>
      </c>
      <c r="D88" s="1" t="s">
        <v>184</v>
      </c>
      <c r="E88" s="6">
        <v>476270</v>
      </c>
      <c r="F88" s="6">
        <v>289593</v>
      </c>
      <c r="G88" s="8">
        <v>0.60799999999999998</v>
      </c>
      <c r="H88" s="6">
        <v>688886</v>
      </c>
      <c r="I88" s="6">
        <v>412879</v>
      </c>
      <c r="J88" s="8">
        <v>0.59930000000000005</v>
      </c>
      <c r="K88" s="6">
        <v>710912</v>
      </c>
      <c r="L88" s="6">
        <v>443660</v>
      </c>
      <c r="M88" s="8">
        <v>0.62409999999999999</v>
      </c>
      <c r="N88" s="6">
        <f>E88+H88+K88</f>
        <v>1876068</v>
      </c>
      <c r="O88" s="6">
        <f>F88+I88+L88</f>
        <v>1146132</v>
      </c>
      <c r="P88" s="8">
        <f t="shared" si="3"/>
        <v>0.61092241859037089</v>
      </c>
      <c r="Q88" s="6">
        <v>313750</v>
      </c>
      <c r="R88" s="6">
        <v>172311</v>
      </c>
      <c r="S88" s="8">
        <f t="shared" si="2"/>
        <v>0.54919840637450201</v>
      </c>
      <c r="T88" s="6">
        <v>280224</v>
      </c>
      <c r="U88" s="6">
        <v>168986</v>
      </c>
      <c r="V88" s="8">
        <f>U88/T88</f>
        <v>0.60303899737352973</v>
      </c>
    </row>
    <row r="89" spans="1:22" ht="14" x14ac:dyDescent="0.2">
      <c r="A89" s="1" t="s">
        <v>185</v>
      </c>
      <c r="B89" s="1" t="str">
        <f>VLOOKUP(A89,[60]HardwareList!A:I,3,FALSE)</f>
        <v>數位店</v>
      </c>
      <c r="C89" s="1" t="str">
        <f>VLOOKUP(A89,[60]HardwareList!A:I,4,FALSE)</f>
        <v>V4</v>
      </c>
      <c r="D89" s="1" t="s">
        <v>186</v>
      </c>
      <c r="E89" s="6">
        <v>1524423</v>
      </c>
      <c r="F89" s="6">
        <v>1504395</v>
      </c>
      <c r="G89" s="8">
        <v>0.9869</v>
      </c>
      <c r="H89" s="6">
        <v>1522688</v>
      </c>
      <c r="I89" s="6">
        <v>1499249</v>
      </c>
      <c r="J89" s="8">
        <v>0.98460000000000003</v>
      </c>
      <c r="K89" s="6">
        <v>1430187</v>
      </c>
      <c r="L89" s="6">
        <v>1414897</v>
      </c>
      <c r="M89" s="8">
        <v>0.98929999999999996</v>
      </c>
      <c r="N89" s="6">
        <f>E89+H89+K89</f>
        <v>4477298</v>
      </c>
      <c r="O89" s="6">
        <f>F89+I89+L89</f>
        <v>4418541</v>
      </c>
      <c r="P89" s="8">
        <f t="shared" si="3"/>
        <v>0.98687668321384903</v>
      </c>
      <c r="Q89" s="6">
        <v>793786</v>
      </c>
      <c r="R89" s="6">
        <v>773607</v>
      </c>
      <c r="S89" s="8">
        <f t="shared" si="2"/>
        <v>0.97457879075720655</v>
      </c>
      <c r="T89" s="6">
        <v>3445676</v>
      </c>
      <c r="U89" s="6">
        <v>3381248</v>
      </c>
      <c r="V89" s="8">
        <f>U89/T89</f>
        <v>0.98130178229177667</v>
      </c>
    </row>
    <row r="90" spans="1:22" ht="14" x14ac:dyDescent="0.2">
      <c r="A90" s="1" t="s">
        <v>187</v>
      </c>
      <c r="B90" s="1" t="str">
        <f>VLOOKUP(A90,[60]HardwareList!A:I,3,FALSE)</f>
        <v>一般店</v>
      </c>
      <c r="C90" s="1" t="str">
        <f>VLOOKUP(A90,[60]HardwareList!A:I,4,FALSE)</f>
        <v>V3</v>
      </c>
      <c r="D90" s="1" t="s">
        <v>188</v>
      </c>
      <c r="E90" s="6">
        <v>998002</v>
      </c>
      <c r="F90" s="6">
        <v>611006</v>
      </c>
      <c r="G90" s="8">
        <v>0.61219999999999997</v>
      </c>
      <c r="H90" s="6">
        <v>904295</v>
      </c>
      <c r="I90" s="6">
        <v>538012</v>
      </c>
      <c r="J90" s="8">
        <v>0.59499999999999997</v>
      </c>
      <c r="K90" s="6">
        <v>930988</v>
      </c>
      <c r="L90" s="6">
        <v>593556</v>
      </c>
      <c r="M90" s="8">
        <v>0.63759999999999994</v>
      </c>
      <c r="N90" s="6">
        <f>E90+H90+K90</f>
        <v>2833285</v>
      </c>
      <c r="O90" s="6">
        <f>F90+I90+L90</f>
        <v>1742574</v>
      </c>
      <c r="P90" s="8">
        <f t="shared" si="3"/>
        <v>0.6150366094480435</v>
      </c>
      <c r="Q90" s="6">
        <v>477136</v>
      </c>
      <c r="R90" s="6">
        <v>269184</v>
      </c>
      <c r="S90" s="8">
        <f t="shared" si="2"/>
        <v>0.5641661916099393</v>
      </c>
      <c r="T90" s="6">
        <v>1036164</v>
      </c>
      <c r="U90" s="6">
        <v>577132</v>
      </c>
      <c r="V90" s="8">
        <f>U90/T90</f>
        <v>0.55698904806575023</v>
      </c>
    </row>
    <row r="91" spans="1:22" ht="14" x14ac:dyDescent="0.2">
      <c r="A91" s="1" t="s">
        <v>189</v>
      </c>
      <c r="B91" s="1" t="str">
        <f>VLOOKUP(A91,[60]HardwareList!A:I,3,FALSE)</f>
        <v>一般店</v>
      </c>
      <c r="C91" s="1" t="str">
        <f>VLOOKUP(A91,[60]HardwareList!A:I,4,FALSE)</f>
        <v>V2*.16.17,V3*.18</v>
      </c>
      <c r="D91" s="1" t="s">
        <v>190</v>
      </c>
      <c r="E91" s="6">
        <v>906926</v>
      </c>
      <c r="F91" s="6">
        <v>538964</v>
      </c>
      <c r="G91" s="8">
        <v>0.59430000000000005</v>
      </c>
      <c r="H91" s="6">
        <v>724229</v>
      </c>
      <c r="I91" s="6">
        <v>434130</v>
      </c>
      <c r="J91" s="8">
        <v>0.59940000000000004</v>
      </c>
      <c r="K91" s="6">
        <v>626577</v>
      </c>
      <c r="L91" s="6">
        <v>374429</v>
      </c>
      <c r="M91" s="8">
        <v>0.59760000000000002</v>
      </c>
      <c r="N91" s="6">
        <f>E91+H91+K91</f>
        <v>2257732</v>
      </c>
      <c r="O91" s="6">
        <f>F91+I91+L91</f>
        <v>1347523</v>
      </c>
      <c r="P91" s="8">
        <f t="shared" si="3"/>
        <v>0.59684807585665611</v>
      </c>
      <c r="Q91" s="6">
        <v>402414</v>
      </c>
      <c r="R91" s="6">
        <v>221149</v>
      </c>
      <c r="S91" s="8">
        <f t="shared" si="2"/>
        <v>0.54955592996267522</v>
      </c>
      <c r="T91" s="6">
        <v>1337607</v>
      </c>
      <c r="U91" s="6">
        <v>734307</v>
      </c>
      <c r="V91" s="8">
        <f>U91/T91</f>
        <v>0.54897066178630938</v>
      </c>
    </row>
    <row r="92" spans="1:22" ht="14" x14ac:dyDescent="0.2">
      <c r="A92" s="1" t="s">
        <v>191</v>
      </c>
      <c r="B92" s="1" t="str">
        <f>VLOOKUP(A92,[60]HardwareList!A:I,3,FALSE)</f>
        <v>一般店</v>
      </c>
      <c r="C92" s="1" t="str">
        <f>VLOOKUP(A92,[60]HardwareList!A:I,4,FALSE)</f>
        <v>D2</v>
      </c>
      <c r="D92" s="1" t="s">
        <v>192</v>
      </c>
      <c r="E92" s="6">
        <v>787979</v>
      </c>
      <c r="F92" s="6">
        <v>472480</v>
      </c>
      <c r="G92" s="8">
        <v>0.59960000000000002</v>
      </c>
      <c r="H92" s="6">
        <v>718387</v>
      </c>
      <c r="I92" s="6">
        <v>435285</v>
      </c>
      <c r="J92" s="8">
        <v>0.60589999999999999</v>
      </c>
      <c r="K92" s="6">
        <v>743269</v>
      </c>
      <c r="L92" s="6">
        <v>450810</v>
      </c>
      <c r="M92" s="8">
        <v>0.60650000000000004</v>
      </c>
      <c r="N92" s="6">
        <f>E92+H92+K92</f>
        <v>2249635</v>
      </c>
      <c r="O92" s="6">
        <f>F92+I92+L92</f>
        <v>1358575</v>
      </c>
      <c r="P92" s="8">
        <f t="shared" si="3"/>
        <v>0.60390907858385912</v>
      </c>
      <c r="Q92" s="6">
        <v>328513</v>
      </c>
      <c r="R92" s="6">
        <v>189904</v>
      </c>
      <c r="S92" s="8">
        <f t="shared" si="2"/>
        <v>0.57807149184354956</v>
      </c>
      <c r="T92" s="6">
        <v>704504</v>
      </c>
      <c r="U92" s="6">
        <v>402146</v>
      </c>
      <c r="V92" s="8">
        <f>U92/T92</f>
        <v>0.57082145736574952</v>
      </c>
    </row>
    <row r="93" spans="1:22" ht="14" x14ac:dyDescent="0.2">
      <c r="A93" s="1" t="s">
        <v>193</v>
      </c>
      <c r="B93" s="1" t="str">
        <f>VLOOKUP(A93,[60]HardwareList!A:I,3,FALSE)</f>
        <v>一般店</v>
      </c>
      <c r="C93" s="1" t="str">
        <f>VLOOKUP(A93,[60]HardwareList!A:I,4,FALSE)</f>
        <v>V4</v>
      </c>
      <c r="D93" s="1" t="s">
        <v>194</v>
      </c>
      <c r="E93" s="6">
        <v>1128417</v>
      </c>
      <c r="F93" s="6">
        <v>648301</v>
      </c>
      <c r="G93" s="8">
        <v>0.57450000000000001</v>
      </c>
      <c r="H93" s="6">
        <v>833079</v>
      </c>
      <c r="I93" s="6">
        <v>502265</v>
      </c>
      <c r="J93" s="8">
        <v>0.60289999999999999</v>
      </c>
      <c r="K93" s="6">
        <v>748933</v>
      </c>
      <c r="L93" s="6">
        <v>466889</v>
      </c>
      <c r="M93" s="8">
        <v>0.62339999999999995</v>
      </c>
      <c r="N93" s="6">
        <f>E93+H93+K93</f>
        <v>2710429</v>
      </c>
      <c r="O93" s="6">
        <f>F93+I93+L93</f>
        <v>1617455</v>
      </c>
      <c r="P93" s="8">
        <f t="shared" si="3"/>
        <v>0.59675239602291741</v>
      </c>
      <c r="Q93" s="6">
        <v>455962</v>
      </c>
      <c r="R93" s="6">
        <v>251040</v>
      </c>
      <c r="S93" s="8">
        <f t="shared" si="2"/>
        <v>0.55057219680587421</v>
      </c>
      <c r="T93" s="6">
        <v>1009126</v>
      </c>
      <c r="U93" s="6">
        <v>544816</v>
      </c>
      <c r="V93" s="8">
        <f>U93/T93</f>
        <v>0.53988897323030027</v>
      </c>
    </row>
    <row r="94" spans="1:22" ht="14" x14ac:dyDescent="0.2">
      <c r="A94" s="1" t="s">
        <v>195</v>
      </c>
      <c r="B94" s="1" t="str">
        <f>VLOOKUP(A94,[60]HardwareList!A:I,3,FALSE)</f>
        <v>一般店</v>
      </c>
      <c r="C94" s="1" t="str">
        <f>VLOOKUP(A94,[60]HardwareList!A:I,4,FALSE)</f>
        <v>D1</v>
      </c>
      <c r="D94" s="1" t="s">
        <v>196</v>
      </c>
      <c r="E94" s="6">
        <v>782149</v>
      </c>
      <c r="F94" s="6">
        <v>491462</v>
      </c>
      <c r="G94" s="8">
        <v>0.62829999999999997</v>
      </c>
      <c r="H94" s="6">
        <v>801706</v>
      </c>
      <c r="I94" s="6">
        <v>478921</v>
      </c>
      <c r="J94" s="8">
        <v>0.59740000000000004</v>
      </c>
      <c r="K94" s="6">
        <v>827939</v>
      </c>
      <c r="L94" s="6">
        <v>531747</v>
      </c>
      <c r="M94" s="8">
        <v>0.64229999999999998</v>
      </c>
      <c r="N94" s="6">
        <f>E94+H94+K94</f>
        <v>2411794</v>
      </c>
      <c r="O94" s="6">
        <f>F94+I94+L94</f>
        <v>1502130</v>
      </c>
      <c r="P94" s="8">
        <f t="shared" si="3"/>
        <v>0.62282682517661125</v>
      </c>
      <c r="Q94" s="6">
        <v>370567</v>
      </c>
      <c r="R94" s="6">
        <v>205296</v>
      </c>
      <c r="S94" s="8">
        <f t="shared" si="2"/>
        <v>0.55400507870371618</v>
      </c>
      <c r="T94" s="6">
        <v>804864</v>
      </c>
      <c r="U94" s="6">
        <v>448678</v>
      </c>
      <c r="V94" s="8">
        <f>U94/T94</f>
        <v>0.55745815442111957</v>
      </c>
    </row>
    <row r="95" spans="1:22" ht="14" x14ac:dyDescent="0.2">
      <c r="A95" s="1" t="s">
        <v>197</v>
      </c>
      <c r="B95" s="1" t="str">
        <f>VLOOKUP(A95,[60]HardwareList!A:I,3,FALSE)</f>
        <v>一般店</v>
      </c>
      <c r="C95" s="1" t="str">
        <f>VLOOKUP(A95,[60]HardwareList!A:I,4,FALSE)</f>
        <v>V2</v>
      </c>
      <c r="D95" s="1" t="s">
        <v>198</v>
      </c>
      <c r="E95" s="6">
        <v>917323</v>
      </c>
      <c r="F95" s="6">
        <v>492887</v>
      </c>
      <c r="G95" s="8">
        <v>0.5373</v>
      </c>
      <c r="H95" s="6">
        <v>740438</v>
      </c>
      <c r="I95" s="6">
        <v>410703</v>
      </c>
      <c r="J95" s="8">
        <v>0.55469999999999997</v>
      </c>
      <c r="K95" s="6">
        <v>512239</v>
      </c>
      <c r="L95" s="6">
        <v>287238</v>
      </c>
      <c r="M95" s="8">
        <v>0.56069999999999998</v>
      </c>
      <c r="N95" s="6">
        <f>E95+H95+K95</f>
        <v>2170000</v>
      </c>
      <c r="O95" s="6">
        <f>F95+I95+L95</f>
        <v>1190828</v>
      </c>
      <c r="P95" s="8">
        <f t="shared" si="3"/>
        <v>0.54876866359447007</v>
      </c>
      <c r="Q95" s="6">
        <v>363337</v>
      </c>
      <c r="R95" s="6">
        <v>188389</v>
      </c>
      <c r="S95" s="8">
        <f t="shared" si="2"/>
        <v>0.51849660232786643</v>
      </c>
      <c r="T95" s="6">
        <v>795572</v>
      </c>
      <c r="U95" s="6">
        <v>415306</v>
      </c>
      <c r="V95" s="8">
        <f>U95/T95</f>
        <v>0.52202189116761277</v>
      </c>
    </row>
    <row r="96" spans="1:22" ht="14" x14ac:dyDescent="0.2">
      <c r="A96" s="1" t="s">
        <v>199</v>
      </c>
      <c r="B96" s="1" t="str">
        <f>VLOOKUP(A96,[60]HardwareList!A:I,3,FALSE)</f>
        <v>數位店</v>
      </c>
      <c r="C96" s="1" t="str">
        <f>VLOOKUP(A96,[60]HardwareList!A:I,4,FALSE)</f>
        <v>V4</v>
      </c>
      <c r="D96" s="1" t="s">
        <v>200</v>
      </c>
      <c r="E96" s="6">
        <v>1115551</v>
      </c>
      <c r="F96" s="6">
        <v>1074694</v>
      </c>
      <c r="G96" s="8">
        <v>0.96340000000000003</v>
      </c>
      <c r="H96" s="6">
        <v>1094520</v>
      </c>
      <c r="I96" s="6">
        <v>1052266</v>
      </c>
      <c r="J96" s="8">
        <v>0.96140000000000003</v>
      </c>
      <c r="K96" s="6">
        <v>881929</v>
      </c>
      <c r="L96" s="6">
        <v>839024</v>
      </c>
      <c r="M96" s="8">
        <v>0.95140000000000002</v>
      </c>
      <c r="N96" s="6">
        <f>E96+H96+K96</f>
        <v>3092000</v>
      </c>
      <c r="O96" s="6">
        <f>F96+I96+L96</f>
        <v>2965984</v>
      </c>
      <c r="P96" s="8">
        <f t="shared" si="3"/>
        <v>0.9592445019404916</v>
      </c>
      <c r="Q96" s="6">
        <v>444189</v>
      </c>
      <c r="R96" s="6">
        <v>417270</v>
      </c>
      <c r="S96" s="8">
        <f t="shared" si="2"/>
        <v>0.93939741866637849</v>
      </c>
      <c r="T96" s="6">
        <v>1389474</v>
      </c>
      <c r="U96" s="6">
        <v>1297041</v>
      </c>
      <c r="V96" s="8">
        <f>U96/T96</f>
        <v>0.9334762651190307</v>
      </c>
    </row>
    <row r="97" spans="1:22" ht="14" x14ac:dyDescent="0.2">
      <c r="A97" s="1" t="s">
        <v>201</v>
      </c>
      <c r="B97" s="1" t="str">
        <f>VLOOKUP(A97,[60]HardwareList!A:I,3,FALSE)</f>
        <v>一般店</v>
      </c>
      <c r="C97" s="1" t="str">
        <f>VLOOKUP(A97,[60]HardwareList!A:I,4,FALSE)</f>
        <v>D2</v>
      </c>
      <c r="D97" s="1" t="s">
        <v>202</v>
      </c>
      <c r="E97" s="6">
        <v>1012604</v>
      </c>
      <c r="F97" s="6">
        <v>659403</v>
      </c>
      <c r="G97" s="8">
        <v>0.6512</v>
      </c>
      <c r="H97" s="6">
        <v>1018064</v>
      </c>
      <c r="I97" s="6">
        <v>692390</v>
      </c>
      <c r="J97" s="8">
        <v>0.68010000000000004</v>
      </c>
      <c r="K97" s="6">
        <v>1150531</v>
      </c>
      <c r="L97" s="6">
        <v>790632</v>
      </c>
      <c r="M97" s="8">
        <v>0.68720000000000003</v>
      </c>
      <c r="N97" s="6">
        <f>E97+H97+K97</f>
        <v>3181199</v>
      </c>
      <c r="O97" s="6">
        <f>F97+I97+L97</f>
        <v>2142425</v>
      </c>
      <c r="P97" s="8">
        <f t="shared" si="3"/>
        <v>0.67346462764511117</v>
      </c>
      <c r="Q97" s="6">
        <v>483081</v>
      </c>
      <c r="R97" s="6">
        <v>288667</v>
      </c>
      <c r="S97" s="8">
        <f t="shared" si="2"/>
        <v>0.59755403338156543</v>
      </c>
      <c r="T97" s="6">
        <v>1043904</v>
      </c>
      <c r="U97" s="6">
        <v>630632</v>
      </c>
      <c r="V97" s="8">
        <f>U97/T97</f>
        <v>0.60410919011709885</v>
      </c>
    </row>
    <row r="98" spans="1:22" ht="14" x14ac:dyDescent="0.2">
      <c r="A98" s="1" t="s">
        <v>203</v>
      </c>
      <c r="B98" s="1" t="str">
        <f>VLOOKUP(A98,[60]HardwareList!A:I,3,FALSE)</f>
        <v>一般店</v>
      </c>
      <c r="C98" s="1" t="str">
        <f>VLOOKUP(A98,[60]HardwareList!A:I,4,FALSE)</f>
        <v>D2</v>
      </c>
      <c r="D98" s="1" t="s">
        <v>204</v>
      </c>
      <c r="E98" s="6">
        <v>657543</v>
      </c>
      <c r="F98" s="6">
        <v>399410</v>
      </c>
      <c r="G98" s="8">
        <v>0.60740000000000005</v>
      </c>
      <c r="H98" s="6">
        <v>612320</v>
      </c>
      <c r="I98" s="6">
        <v>353504</v>
      </c>
      <c r="J98" s="8">
        <v>0.57730000000000004</v>
      </c>
      <c r="K98" s="6">
        <v>532806</v>
      </c>
      <c r="L98" s="6">
        <v>340777</v>
      </c>
      <c r="M98" s="8">
        <v>0.63959999999999995</v>
      </c>
      <c r="N98" s="6">
        <f>E98+H98+K98</f>
        <v>1802669</v>
      </c>
      <c r="O98" s="6">
        <f>F98+I98+L98</f>
        <v>1093691</v>
      </c>
      <c r="P98" s="8">
        <f t="shared" si="3"/>
        <v>0.60670650019498862</v>
      </c>
      <c r="Q98" s="6">
        <v>251988</v>
      </c>
      <c r="R98" s="6">
        <v>130013</v>
      </c>
      <c r="S98" s="8">
        <f t="shared" si="2"/>
        <v>0.51594917218280234</v>
      </c>
      <c r="T98" s="6">
        <v>272251</v>
      </c>
      <c r="U98" s="6">
        <v>138592</v>
      </c>
      <c r="V98" s="8">
        <f>U98/T98</f>
        <v>0.50905965450999258</v>
      </c>
    </row>
    <row r="99" spans="1:22" ht="14" x14ac:dyDescent="0.2">
      <c r="A99" s="1" t="s">
        <v>205</v>
      </c>
      <c r="B99" s="1" t="str">
        <f>VLOOKUP(A99,[60]HardwareList!A:I,3,FALSE)</f>
        <v>數位店</v>
      </c>
      <c r="C99" s="1" t="str">
        <f>VLOOKUP(A99,[60]HardwareList!A:I,4,FALSE)</f>
        <v>V4*.16,D2*.17.18</v>
      </c>
      <c r="D99" s="1" t="s">
        <v>206</v>
      </c>
      <c r="E99" s="6">
        <v>1456116</v>
      </c>
      <c r="F99" s="6">
        <v>1379126</v>
      </c>
      <c r="G99" s="8">
        <v>0.94710000000000005</v>
      </c>
      <c r="H99" s="6">
        <v>1359054</v>
      </c>
      <c r="I99" s="6">
        <v>1282239</v>
      </c>
      <c r="J99" s="8">
        <v>0.94350000000000001</v>
      </c>
      <c r="K99" s="6">
        <v>1251850</v>
      </c>
      <c r="L99" s="6">
        <v>1167373</v>
      </c>
      <c r="M99" s="8">
        <v>0.9325</v>
      </c>
      <c r="N99" s="6">
        <f>E99+H99+K99</f>
        <v>4067020</v>
      </c>
      <c r="O99" s="6">
        <f>F99+I99+L99</f>
        <v>3828738</v>
      </c>
      <c r="P99" s="8">
        <f t="shared" si="3"/>
        <v>0.94141115607988157</v>
      </c>
      <c r="Q99" s="6">
        <v>621597</v>
      </c>
      <c r="R99" s="6">
        <v>586606</v>
      </c>
      <c r="S99" s="8">
        <f t="shared" si="2"/>
        <v>0.94370790077815692</v>
      </c>
      <c r="T99" s="6">
        <v>1999374</v>
      </c>
      <c r="U99" s="6">
        <v>1875855</v>
      </c>
      <c r="V99" s="8">
        <f>U99/T99</f>
        <v>0.93822116322408911</v>
      </c>
    </row>
    <row r="100" spans="1:22" ht="14" x14ac:dyDescent="0.2">
      <c r="A100" s="1" t="s">
        <v>207</v>
      </c>
      <c r="B100" s="1" t="str">
        <f>VLOOKUP(A100,[60]HardwareList!A:I,3,FALSE)</f>
        <v>一般店</v>
      </c>
      <c r="C100" s="1" t="str">
        <f>VLOOKUP(A100,[60]HardwareList!A:I,4,FALSE)</f>
        <v>V4</v>
      </c>
      <c r="D100" s="1" t="s">
        <v>208</v>
      </c>
      <c r="E100" s="6">
        <v>0</v>
      </c>
      <c r="F100" s="6">
        <v>0</v>
      </c>
      <c r="G100" s="8"/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453120</v>
      </c>
      <c r="R100" s="6">
        <v>249321</v>
      </c>
      <c r="S100" s="8">
        <f t="shared" si="2"/>
        <v>0.55023172669491527</v>
      </c>
      <c r="T100" s="6">
        <v>953638</v>
      </c>
      <c r="U100" s="6">
        <v>525884</v>
      </c>
      <c r="V100" s="8">
        <f>U100/T100</f>
        <v>0.55145034069531629</v>
      </c>
    </row>
    <row r="101" spans="1:22" ht="14" x14ac:dyDescent="0.2">
      <c r="A101" s="1" t="s">
        <v>209</v>
      </c>
      <c r="B101" s="1" t="str">
        <f>VLOOKUP(A101,[60]HardwareList!A:I,3,FALSE)</f>
        <v>一般店</v>
      </c>
      <c r="C101" s="1" t="str">
        <f>VLOOKUP(A101,[60]HardwareList!A:I,4,FALSE)</f>
        <v>V4</v>
      </c>
      <c r="D101" s="1" t="s">
        <v>210</v>
      </c>
      <c r="E101" s="6">
        <v>0</v>
      </c>
      <c r="F101" s="6">
        <v>0</v>
      </c>
      <c r="G101" s="8"/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310712</v>
      </c>
      <c r="R101" s="6">
        <v>185566</v>
      </c>
      <c r="S101" s="8">
        <f t="shared" si="2"/>
        <v>0.59722830144957384</v>
      </c>
      <c r="T101" s="6">
        <v>662132</v>
      </c>
      <c r="U101" s="6">
        <v>394002</v>
      </c>
      <c r="V101" s="8">
        <f>U101/T101</f>
        <v>0.59505053373043437</v>
      </c>
    </row>
    <row r="102" spans="1:22" ht="14" x14ac:dyDescent="0.2">
      <c r="A102" s="1" t="s">
        <v>211</v>
      </c>
      <c r="B102" s="1" t="str">
        <f>VLOOKUP(A102,[60]HardwareList!A:I,3,FALSE)</f>
        <v>一般店</v>
      </c>
      <c r="C102" s="1" t="str">
        <f>VLOOKUP(A102,[60]HardwareList!A:I,4,FALSE)</f>
        <v>V4</v>
      </c>
      <c r="D102" s="1" t="s">
        <v>212</v>
      </c>
      <c r="E102" s="6">
        <v>794954</v>
      </c>
      <c r="F102" s="6">
        <v>478066</v>
      </c>
      <c r="G102" s="8">
        <v>0.60140000000000005</v>
      </c>
      <c r="H102" s="6">
        <v>814773</v>
      </c>
      <c r="I102" s="6">
        <v>495010</v>
      </c>
      <c r="J102" s="8">
        <v>0.60750000000000004</v>
      </c>
      <c r="K102" s="6">
        <v>849554</v>
      </c>
      <c r="L102" s="6">
        <v>541668</v>
      </c>
      <c r="M102" s="8">
        <v>0.63759999999999994</v>
      </c>
      <c r="N102" s="6">
        <f>E102+H102+K102</f>
        <v>2459281</v>
      </c>
      <c r="O102" s="6">
        <f>F102+I102+L102</f>
        <v>1514744</v>
      </c>
      <c r="P102" s="8">
        <f t="shared" si="3"/>
        <v>0.61592961520054035</v>
      </c>
      <c r="Q102" s="6">
        <v>324916</v>
      </c>
      <c r="R102" s="6">
        <v>201513</v>
      </c>
      <c r="S102" s="8">
        <f t="shared" si="2"/>
        <v>0.62020029792315556</v>
      </c>
      <c r="T102" s="6">
        <v>701306</v>
      </c>
      <c r="U102" s="6">
        <v>437858</v>
      </c>
      <c r="V102" s="8">
        <f>U102/T102</f>
        <v>0.62434657624489165</v>
      </c>
    </row>
    <row r="103" spans="1:22" ht="14" x14ac:dyDescent="0.2">
      <c r="A103" s="1" t="s">
        <v>213</v>
      </c>
      <c r="B103" s="1" t="str">
        <f>VLOOKUP(A103,[60]HardwareList!A:I,3,FALSE)</f>
        <v>一般店</v>
      </c>
      <c r="C103" s="1" t="str">
        <f>VLOOKUP(A103,[60]HardwareList!A:I,4,FALSE)</f>
        <v>V4</v>
      </c>
      <c r="D103" s="1" t="s">
        <v>214</v>
      </c>
      <c r="E103" s="6">
        <v>845567</v>
      </c>
      <c r="F103" s="6">
        <v>559860</v>
      </c>
      <c r="G103" s="8">
        <v>0.66210000000000002</v>
      </c>
      <c r="H103" s="6">
        <v>912447</v>
      </c>
      <c r="I103" s="6">
        <v>611377</v>
      </c>
      <c r="J103" s="8">
        <v>0.67</v>
      </c>
      <c r="K103" s="6">
        <v>993275</v>
      </c>
      <c r="L103" s="6">
        <v>653412</v>
      </c>
      <c r="M103" s="8">
        <v>0.65780000000000005</v>
      </c>
      <c r="N103" s="6">
        <f>E103+H103+K103</f>
        <v>2751289</v>
      </c>
      <c r="O103" s="6">
        <f>F103+I103+L103</f>
        <v>1824649</v>
      </c>
      <c r="P103" s="8">
        <f t="shared" si="3"/>
        <v>0.66319786834461958</v>
      </c>
      <c r="Q103" s="6">
        <v>432645</v>
      </c>
      <c r="R103" s="6">
        <v>279207</v>
      </c>
      <c r="S103" s="8">
        <f t="shared" si="2"/>
        <v>0.64534895815275806</v>
      </c>
      <c r="T103" s="6">
        <v>943458</v>
      </c>
      <c r="U103" s="6">
        <v>608882</v>
      </c>
      <c r="V103" s="8">
        <f>U103/T103</f>
        <v>0.64537266099815782</v>
      </c>
    </row>
    <row r="104" spans="1:22" ht="14" x14ac:dyDescent="0.2">
      <c r="A104" s="1" t="s">
        <v>215</v>
      </c>
      <c r="B104" s="1" t="str">
        <f>VLOOKUP(A104,[60]HardwareList!A:I,3,FALSE)</f>
        <v>一般店</v>
      </c>
      <c r="C104" s="1" t="str">
        <f>VLOOKUP(A104,[60]HardwareList!A:I,4,FALSE)</f>
        <v>V2</v>
      </c>
      <c r="D104" s="1" t="s">
        <v>216</v>
      </c>
      <c r="E104" s="6">
        <v>598438</v>
      </c>
      <c r="F104" s="6">
        <v>330584</v>
      </c>
      <c r="G104" s="8">
        <v>0.5524</v>
      </c>
      <c r="H104" s="6">
        <v>596076</v>
      </c>
      <c r="I104" s="6">
        <v>338557</v>
      </c>
      <c r="J104" s="8">
        <v>0.56799999999999995</v>
      </c>
      <c r="K104" s="6">
        <v>581285</v>
      </c>
      <c r="L104" s="6">
        <v>351966</v>
      </c>
      <c r="M104" s="8">
        <v>0.60550000000000004</v>
      </c>
      <c r="N104" s="6">
        <f>E104+H104+K104</f>
        <v>1775799</v>
      </c>
      <c r="O104" s="6">
        <f>F104+I104+L104</f>
        <v>1021107</v>
      </c>
      <c r="P104" s="8">
        <f t="shared" si="3"/>
        <v>0.57501271258740427</v>
      </c>
      <c r="Q104" s="6">
        <v>270145</v>
      </c>
      <c r="R104" s="6">
        <v>147110</v>
      </c>
      <c r="S104" s="8">
        <f t="shared" si="2"/>
        <v>0.54455940328342189</v>
      </c>
      <c r="T104" s="6">
        <v>268525</v>
      </c>
      <c r="U104" s="6">
        <v>147128</v>
      </c>
      <c r="V104" s="8">
        <f>U104/T104</f>
        <v>0.54791174006144683</v>
      </c>
    </row>
    <row r="105" spans="1:22" ht="14" x14ac:dyDescent="0.2">
      <c r="A105" s="1" t="s">
        <v>217</v>
      </c>
      <c r="B105" s="1" t="str">
        <f>VLOOKUP(A105,[60]HardwareList!A:I,3,FALSE)</f>
        <v>數位店</v>
      </c>
      <c r="C105" s="1" t="str">
        <f>VLOOKUP(A105,[60]HardwareList!A:I,4,FALSE)</f>
        <v>V4</v>
      </c>
      <c r="D105" s="1" t="s">
        <v>218</v>
      </c>
      <c r="E105" s="6">
        <v>1076071</v>
      </c>
      <c r="F105" s="6">
        <v>1056649</v>
      </c>
      <c r="G105" s="8">
        <v>0.98199999999999998</v>
      </c>
      <c r="H105" s="6">
        <v>1134755</v>
      </c>
      <c r="I105" s="6">
        <v>1113255</v>
      </c>
      <c r="J105" s="8">
        <v>0.98109999999999997</v>
      </c>
      <c r="K105" s="6">
        <v>1159518</v>
      </c>
      <c r="L105" s="6">
        <v>1134492</v>
      </c>
      <c r="M105" s="8">
        <v>0.97840000000000005</v>
      </c>
      <c r="N105" s="6">
        <f>E105+H105+K105</f>
        <v>3370344</v>
      </c>
      <c r="O105" s="6">
        <f>F105+I105+L105</f>
        <v>3304396</v>
      </c>
      <c r="P105" s="8">
        <f t="shared" si="3"/>
        <v>0.98043285789225076</v>
      </c>
      <c r="Q105" s="6">
        <v>442815</v>
      </c>
      <c r="R105" s="6">
        <v>422377</v>
      </c>
      <c r="S105" s="8">
        <f t="shared" si="2"/>
        <v>0.95384528527714729</v>
      </c>
      <c r="T105" s="6">
        <v>1431843</v>
      </c>
      <c r="U105" s="6">
        <v>1370151</v>
      </c>
      <c r="V105" s="8">
        <f>U105/T105</f>
        <v>0.95691427062883294</v>
      </c>
    </row>
    <row r="106" spans="1:22" ht="14" x14ac:dyDescent="0.2">
      <c r="A106" s="1" t="s">
        <v>219</v>
      </c>
      <c r="B106" s="1" t="str">
        <f>VLOOKUP(A106,[60]HardwareList!A:I,3,FALSE)</f>
        <v>數位店</v>
      </c>
      <c r="C106" s="1" t="str">
        <f>VLOOKUP(A106,[60]HardwareList!A:I,4,FALSE)</f>
        <v>V4</v>
      </c>
      <c r="D106" s="1" t="s">
        <v>220</v>
      </c>
      <c r="E106" s="6">
        <v>1178369</v>
      </c>
      <c r="F106" s="6">
        <v>1154139</v>
      </c>
      <c r="G106" s="8">
        <v>0.97940000000000005</v>
      </c>
      <c r="H106" s="6">
        <v>1062047</v>
      </c>
      <c r="I106" s="6">
        <v>1042533</v>
      </c>
      <c r="J106" s="8">
        <v>0.98160000000000003</v>
      </c>
      <c r="K106" s="6">
        <v>1153440</v>
      </c>
      <c r="L106" s="6">
        <v>1134977</v>
      </c>
      <c r="M106" s="8">
        <v>0.98399999999999999</v>
      </c>
      <c r="N106" s="6">
        <f>E106+H106+K106</f>
        <v>3393856</v>
      </c>
      <c r="O106" s="6">
        <f>F106+I106+L106</f>
        <v>3331649</v>
      </c>
      <c r="P106" s="8">
        <f t="shared" si="3"/>
        <v>0.98167070140866319</v>
      </c>
      <c r="Q106" s="6">
        <v>469721</v>
      </c>
      <c r="R106" s="6">
        <v>454387</v>
      </c>
      <c r="S106" s="8">
        <f t="shared" si="2"/>
        <v>0.9673550895105818</v>
      </c>
      <c r="T106" s="6">
        <v>2026596</v>
      </c>
      <c r="U106" s="6">
        <v>1960748</v>
      </c>
      <c r="V106" s="8">
        <f>U106/T106</f>
        <v>0.96750807758428414</v>
      </c>
    </row>
    <row r="107" spans="1:22" ht="14" x14ac:dyDescent="0.2">
      <c r="A107" s="1" t="s">
        <v>221</v>
      </c>
      <c r="B107" s="1" t="str">
        <f>VLOOKUP(A107,[60]HardwareList!A:I,3,FALSE)</f>
        <v>一般店</v>
      </c>
      <c r="C107" s="1" t="str">
        <f>VLOOKUP(A107,[60]HardwareList!A:I,4,FALSE)</f>
        <v>V4</v>
      </c>
      <c r="D107" s="1" t="s">
        <v>222</v>
      </c>
      <c r="E107" s="6">
        <v>1152067</v>
      </c>
      <c r="F107" s="6">
        <v>786501</v>
      </c>
      <c r="G107" s="8">
        <v>0.68269999999999997</v>
      </c>
      <c r="H107" s="6">
        <v>1178865</v>
      </c>
      <c r="I107" s="6">
        <v>781364</v>
      </c>
      <c r="J107" s="8">
        <v>0.66279999999999994</v>
      </c>
      <c r="K107" s="6">
        <v>1380093</v>
      </c>
      <c r="L107" s="6">
        <v>911558</v>
      </c>
      <c r="M107" s="8">
        <v>0.66049999999999998</v>
      </c>
      <c r="N107" s="6">
        <f>E107+H107+K107</f>
        <v>3711025</v>
      </c>
      <c r="O107" s="6">
        <f>F107+I107+L107</f>
        <v>2479423</v>
      </c>
      <c r="P107" s="8">
        <f t="shared" si="3"/>
        <v>0.66812349687754735</v>
      </c>
      <c r="Q107" s="6">
        <v>603803</v>
      </c>
      <c r="R107" s="6">
        <v>349752</v>
      </c>
      <c r="S107" s="8">
        <f t="shared" si="2"/>
        <v>0.57924852973569196</v>
      </c>
      <c r="T107" s="6">
        <v>1274098</v>
      </c>
      <c r="U107" s="6">
        <v>723856</v>
      </c>
      <c r="V107" s="8">
        <f>U107/T107</f>
        <v>0.56813212170492378</v>
      </c>
    </row>
    <row r="108" spans="1:22" ht="14" x14ac:dyDescent="0.2">
      <c r="A108" s="1" t="s">
        <v>223</v>
      </c>
      <c r="B108" s="1" t="str">
        <f>VLOOKUP(A108,[60]HardwareList!A:I,3,FALSE)</f>
        <v>一般店</v>
      </c>
      <c r="C108" s="1" t="str">
        <f>VLOOKUP(A108,[60]HardwareList!A:I,4,FALSE)</f>
        <v>V3</v>
      </c>
      <c r="D108" s="1" t="s">
        <v>224</v>
      </c>
      <c r="E108" s="6">
        <v>943728</v>
      </c>
      <c r="F108" s="6">
        <v>615059</v>
      </c>
      <c r="G108" s="8">
        <v>0.65169999999999995</v>
      </c>
      <c r="H108" s="6">
        <v>894960</v>
      </c>
      <c r="I108" s="6">
        <v>594863</v>
      </c>
      <c r="J108" s="8">
        <v>0.66469999999999996</v>
      </c>
      <c r="K108" s="6">
        <v>1056075</v>
      </c>
      <c r="L108" s="6">
        <v>721342</v>
      </c>
      <c r="M108" s="8">
        <v>0.68300000000000005</v>
      </c>
      <c r="N108" s="6">
        <f>E108+H108+K108</f>
        <v>2894763</v>
      </c>
      <c r="O108" s="6">
        <f>F108+I108+L108</f>
        <v>1931264</v>
      </c>
      <c r="P108" s="8">
        <f t="shared" si="3"/>
        <v>0.66715789859135277</v>
      </c>
      <c r="Q108" s="6">
        <v>421457</v>
      </c>
      <c r="R108" s="6">
        <v>257642</v>
      </c>
      <c r="S108" s="8">
        <f t="shared" si="2"/>
        <v>0.61131266060357281</v>
      </c>
      <c r="T108" s="6">
        <v>914042</v>
      </c>
      <c r="U108" s="6">
        <v>561880</v>
      </c>
      <c r="V108" s="8">
        <f>U108/T108</f>
        <v>0.6147201113296763</v>
      </c>
    </row>
    <row r="109" spans="1:22" ht="14" x14ac:dyDescent="0.2">
      <c r="A109" s="1" t="s">
        <v>225</v>
      </c>
      <c r="B109" s="1" t="str">
        <f>VLOOKUP(A109,[60]HardwareList!A:I,3,FALSE)</f>
        <v>一般店</v>
      </c>
      <c r="C109" s="1" t="str">
        <f>VLOOKUP(A109,[60]HardwareList!A:I,4,FALSE)</f>
        <v>V3</v>
      </c>
      <c r="D109" s="1" t="s">
        <v>226</v>
      </c>
      <c r="E109" s="6">
        <v>1155770</v>
      </c>
      <c r="F109" s="6">
        <v>715207</v>
      </c>
      <c r="G109" s="8">
        <v>0.61880000000000002</v>
      </c>
      <c r="H109" s="6">
        <v>1191783</v>
      </c>
      <c r="I109" s="6">
        <v>747611</v>
      </c>
      <c r="J109" s="8">
        <v>0.62729999999999997</v>
      </c>
      <c r="K109" s="6">
        <v>1234319</v>
      </c>
      <c r="L109" s="6">
        <v>790128</v>
      </c>
      <c r="M109" s="8">
        <v>0.6401</v>
      </c>
      <c r="N109" s="6">
        <f>E109+H109+K109</f>
        <v>3581872</v>
      </c>
      <c r="O109" s="6">
        <f>F109+I109+L109</f>
        <v>2252946</v>
      </c>
      <c r="P109" s="8">
        <f t="shared" si="3"/>
        <v>0.62898562539364888</v>
      </c>
      <c r="Q109" s="6">
        <v>460514</v>
      </c>
      <c r="R109" s="6">
        <v>268201</v>
      </c>
      <c r="S109" s="8">
        <f t="shared" si="2"/>
        <v>0.58239488918903659</v>
      </c>
      <c r="T109" s="6">
        <v>1009760</v>
      </c>
      <c r="U109" s="6">
        <v>590328</v>
      </c>
      <c r="V109" s="8">
        <f>U109/T109</f>
        <v>0.58462208841704955</v>
      </c>
    </row>
    <row r="110" spans="1:22" ht="14" x14ac:dyDescent="0.2">
      <c r="A110" s="1" t="s">
        <v>227</v>
      </c>
      <c r="B110" s="1" t="str">
        <f>VLOOKUP(A110,[60]HardwareList!A:I,3,FALSE)</f>
        <v>一般店</v>
      </c>
      <c r="C110" s="1" t="str">
        <f>VLOOKUP(A110,[60]HardwareList!A:I,4,FALSE)</f>
        <v>V3</v>
      </c>
      <c r="D110" s="1" t="s">
        <v>228</v>
      </c>
      <c r="E110" s="6">
        <v>473889</v>
      </c>
      <c r="F110" s="6">
        <v>296590</v>
      </c>
      <c r="G110" s="8">
        <v>0.62590000000000001</v>
      </c>
      <c r="H110" s="6">
        <v>536682</v>
      </c>
      <c r="I110" s="6">
        <v>333251</v>
      </c>
      <c r="J110" s="8">
        <v>0.62090000000000001</v>
      </c>
      <c r="K110" s="6">
        <v>485167</v>
      </c>
      <c r="L110" s="6">
        <v>297874</v>
      </c>
      <c r="M110" s="8">
        <v>0.61399999999999999</v>
      </c>
      <c r="N110" s="6">
        <f>E110+H110+K110</f>
        <v>1495738</v>
      </c>
      <c r="O110" s="6">
        <f>F110+I110+L110</f>
        <v>927715</v>
      </c>
      <c r="P110" s="8">
        <f t="shared" si="3"/>
        <v>0.62023897233338998</v>
      </c>
      <c r="Q110" s="6">
        <v>224556</v>
      </c>
      <c r="R110" s="6">
        <v>124435</v>
      </c>
      <c r="S110" s="8">
        <f t="shared" si="2"/>
        <v>0.55413794331926114</v>
      </c>
      <c r="T110" s="6">
        <v>232993</v>
      </c>
      <c r="U110" s="6">
        <v>130847</v>
      </c>
      <c r="V110" s="8">
        <f>U110/T110</f>
        <v>0.56159197915817216</v>
      </c>
    </row>
    <row r="111" spans="1:22" ht="14" x14ac:dyDescent="0.2">
      <c r="A111" s="1" t="s">
        <v>229</v>
      </c>
      <c r="B111" s="1" t="str">
        <f>VLOOKUP(A111,[60]HardwareList!A:I,3,FALSE)</f>
        <v>一般店</v>
      </c>
      <c r="C111" s="1" t="str">
        <f>VLOOKUP(A111,[60]HardwareList!A:I,4,FALSE)</f>
        <v>V4</v>
      </c>
      <c r="D111" s="1" t="s">
        <v>230</v>
      </c>
      <c r="E111" s="6">
        <v>839779</v>
      </c>
      <c r="F111" s="6">
        <v>520374</v>
      </c>
      <c r="G111" s="8">
        <v>0.61970000000000003</v>
      </c>
      <c r="H111" s="6">
        <v>785377</v>
      </c>
      <c r="I111" s="6">
        <v>488847</v>
      </c>
      <c r="J111" s="8">
        <v>0.62239999999999995</v>
      </c>
      <c r="K111" s="6">
        <v>689780</v>
      </c>
      <c r="L111" s="6">
        <v>429529</v>
      </c>
      <c r="M111" s="8">
        <v>0.62270000000000003</v>
      </c>
      <c r="N111" s="6">
        <f>E111+H111+K111</f>
        <v>2314936</v>
      </c>
      <c r="O111" s="6">
        <f>F111+I111+L111</f>
        <v>1438750</v>
      </c>
      <c r="P111" s="8">
        <f t="shared" si="3"/>
        <v>0.62150746284130531</v>
      </c>
      <c r="Q111" s="6">
        <v>334309</v>
      </c>
      <c r="R111" s="6">
        <v>183252</v>
      </c>
      <c r="S111" s="8">
        <f t="shared" si="2"/>
        <v>0.54815156038275969</v>
      </c>
      <c r="T111" s="6">
        <v>709198</v>
      </c>
      <c r="U111" s="6">
        <v>389756</v>
      </c>
      <c r="V111" s="8">
        <f>U111/T111</f>
        <v>0.54957289783671137</v>
      </c>
    </row>
    <row r="112" spans="1:22" ht="14" x14ac:dyDescent="0.2">
      <c r="A112" s="1" t="s">
        <v>231</v>
      </c>
      <c r="B112" s="1" t="str">
        <f>VLOOKUP(A112,[60]HardwareList!A:I,3,FALSE)</f>
        <v>數位店</v>
      </c>
      <c r="C112" s="1" t="str">
        <f>VLOOKUP(A112,[60]HardwareList!A:I,4,FALSE)</f>
        <v>V4</v>
      </c>
      <c r="D112" s="1" t="s">
        <v>232</v>
      </c>
      <c r="E112" s="6">
        <v>1631836</v>
      </c>
      <c r="F112" s="6">
        <v>1606464</v>
      </c>
      <c r="G112" s="8">
        <v>0.98450000000000004</v>
      </c>
      <c r="H112" s="6">
        <v>1604633</v>
      </c>
      <c r="I112" s="6">
        <v>1581517</v>
      </c>
      <c r="J112" s="8">
        <v>0.98560000000000003</v>
      </c>
      <c r="K112" s="6">
        <v>1859807</v>
      </c>
      <c r="L112" s="6">
        <v>1841789</v>
      </c>
      <c r="M112" s="8">
        <v>0.99029999999999996</v>
      </c>
      <c r="N112" s="6">
        <f>E112+H112+K112</f>
        <v>5096276</v>
      </c>
      <c r="O112" s="6">
        <f>F112+I112+L112</f>
        <v>5029770</v>
      </c>
      <c r="P112" s="8">
        <f t="shared" si="3"/>
        <v>0.98695007884188379</v>
      </c>
      <c r="Q112" s="6">
        <v>909761</v>
      </c>
      <c r="R112" s="6">
        <v>891726</v>
      </c>
      <c r="S112" s="8">
        <f t="shared" si="2"/>
        <v>0.98017611218770639</v>
      </c>
      <c r="T112" s="6">
        <v>3926520</v>
      </c>
      <c r="U112" s="6">
        <v>3862244</v>
      </c>
      <c r="V112" s="8">
        <f>U112/T112</f>
        <v>0.98363028839786881</v>
      </c>
    </row>
    <row r="113" spans="1:22" ht="14" x14ac:dyDescent="0.2">
      <c r="A113" s="1" t="s">
        <v>233</v>
      </c>
      <c r="B113" s="1" t="str">
        <f>VLOOKUP(A113,[60]HardwareList!A:I,3,FALSE)</f>
        <v>一般店</v>
      </c>
      <c r="C113" s="1" t="str">
        <f>VLOOKUP(A113,[60]HardwareList!A:I,4,FALSE)</f>
        <v>V3</v>
      </c>
      <c r="D113" s="1" t="s">
        <v>234</v>
      </c>
      <c r="E113" s="6">
        <v>385380</v>
      </c>
      <c r="F113" s="6">
        <v>250732</v>
      </c>
      <c r="G113" s="8">
        <v>0.65059999999999996</v>
      </c>
      <c r="H113" s="6">
        <v>659845</v>
      </c>
      <c r="I113" s="6">
        <v>408414</v>
      </c>
      <c r="J113" s="8">
        <v>0.61899999999999999</v>
      </c>
      <c r="K113" s="6">
        <v>558201</v>
      </c>
      <c r="L113" s="6">
        <v>361160</v>
      </c>
      <c r="M113" s="8">
        <v>0.64700000000000002</v>
      </c>
      <c r="N113" s="6">
        <f>E113+H113+K113</f>
        <v>1603426</v>
      </c>
      <c r="O113" s="6">
        <f>F113+I113+L113</f>
        <v>1020306</v>
      </c>
      <c r="P113" s="8">
        <f t="shared" si="3"/>
        <v>0.63632871114725598</v>
      </c>
      <c r="Q113" s="6">
        <v>286197</v>
      </c>
      <c r="R113" s="6">
        <v>180288</v>
      </c>
      <c r="S113" s="8">
        <f t="shared" si="2"/>
        <v>0.62994371010178307</v>
      </c>
      <c r="T113" s="6">
        <v>631520</v>
      </c>
      <c r="U113" s="6">
        <v>388932</v>
      </c>
      <c r="V113" s="8">
        <f>U113/T113</f>
        <v>0.61586648087154805</v>
      </c>
    </row>
    <row r="114" spans="1:22" ht="14" x14ac:dyDescent="0.2">
      <c r="A114" s="1" t="s">
        <v>235</v>
      </c>
      <c r="B114" s="1" t="str">
        <f>VLOOKUP(A114,[60]HardwareList!A:I,3,FALSE)</f>
        <v>一般店</v>
      </c>
      <c r="C114" s="1" t="str">
        <f>VLOOKUP(A114,[60]HardwareList!A:I,4,FALSE)</f>
        <v>V3</v>
      </c>
      <c r="D114" s="1" t="s">
        <v>236</v>
      </c>
      <c r="E114" s="6">
        <v>813189</v>
      </c>
      <c r="F114" s="6">
        <v>532886</v>
      </c>
      <c r="G114" s="8">
        <v>0.65529999999999999</v>
      </c>
      <c r="H114" s="6">
        <v>842097</v>
      </c>
      <c r="I114" s="6">
        <v>527570</v>
      </c>
      <c r="J114" s="8">
        <v>0.62649999999999995</v>
      </c>
      <c r="K114" s="6">
        <v>961926</v>
      </c>
      <c r="L114" s="6">
        <v>633573</v>
      </c>
      <c r="M114" s="8">
        <v>0.65869999999999995</v>
      </c>
      <c r="N114" s="6">
        <f>E114+H114+K114</f>
        <v>2617212</v>
      </c>
      <c r="O114" s="6">
        <f>F114+I114+L114</f>
        <v>1694029</v>
      </c>
      <c r="P114" s="8">
        <f t="shared" si="3"/>
        <v>0.64726472291889237</v>
      </c>
      <c r="Q114" s="6">
        <v>443455</v>
      </c>
      <c r="R114" s="6">
        <v>280966</v>
      </c>
      <c r="S114" s="8">
        <f t="shared" si="2"/>
        <v>0.63358401641654738</v>
      </c>
      <c r="T114" s="6">
        <v>946308</v>
      </c>
      <c r="U114" s="6">
        <v>595008</v>
      </c>
      <c r="V114" s="8">
        <f>U114/T114</f>
        <v>0.62876780075831551</v>
      </c>
    </row>
    <row r="115" spans="1:22" ht="14" x14ac:dyDescent="0.2">
      <c r="A115" s="1" t="s">
        <v>237</v>
      </c>
      <c r="B115" s="1" t="str">
        <f>VLOOKUP(A115,[60]HardwareList!A:I,3,FALSE)</f>
        <v>一般店</v>
      </c>
      <c r="C115" s="1" t="str">
        <f>VLOOKUP(A115,[60]HardwareList!A:I,4,FALSE)</f>
        <v>V3</v>
      </c>
      <c r="D115" s="1" t="s">
        <v>238</v>
      </c>
      <c r="E115" s="6">
        <v>500176</v>
      </c>
      <c r="F115" s="6">
        <v>315702</v>
      </c>
      <c r="G115" s="8">
        <v>0.63119999999999998</v>
      </c>
      <c r="H115" s="6">
        <v>477101</v>
      </c>
      <c r="I115" s="6">
        <v>289909</v>
      </c>
      <c r="J115" s="8">
        <v>0.60760000000000003</v>
      </c>
      <c r="K115" s="6">
        <v>555856</v>
      </c>
      <c r="L115" s="6">
        <v>355775</v>
      </c>
      <c r="M115" s="8">
        <v>0.64</v>
      </c>
      <c r="N115" s="6">
        <f>E115+H115+K115</f>
        <v>1533133</v>
      </c>
      <c r="O115" s="6">
        <f>F115+I115+L115</f>
        <v>961386</v>
      </c>
      <c r="P115" s="8">
        <f t="shared" si="3"/>
        <v>0.62707279798947646</v>
      </c>
      <c r="Q115" s="6">
        <v>215962</v>
      </c>
      <c r="R115" s="6">
        <v>127159</v>
      </c>
      <c r="S115" s="8">
        <f t="shared" si="2"/>
        <v>0.58880265972717427</v>
      </c>
      <c r="T115" s="6">
        <v>228366</v>
      </c>
      <c r="U115" s="6">
        <v>134621</v>
      </c>
      <c r="V115" s="8">
        <f>U115/T115</f>
        <v>0.5894966851457748</v>
      </c>
    </row>
    <row r="116" spans="1:22" ht="14" x14ac:dyDescent="0.2">
      <c r="A116" s="1" t="s">
        <v>239</v>
      </c>
      <c r="B116" s="1" t="str">
        <f>VLOOKUP(A116,[60]HardwareList!A:I,3,FALSE)</f>
        <v>一般店</v>
      </c>
      <c r="C116" s="1" t="str">
        <f>VLOOKUP(A116,[60]HardwareList!A:I,4,FALSE)</f>
        <v>V4</v>
      </c>
      <c r="D116" s="1" t="s">
        <v>240</v>
      </c>
      <c r="E116" s="6">
        <v>0</v>
      </c>
      <c r="F116" s="6">
        <v>0</v>
      </c>
      <c r="G116" s="8"/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242966</v>
      </c>
      <c r="R116" s="6">
        <v>129366</v>
      </c>
      <c r="S116" s="8">
        <f t="shared" si="2"/>
        <v>0.53244486882938358</v>
      </c>
      <c r="T116" s="6">
        <v>524764</v>
      </c>
      <c r="U116" s="6">
        <v>279900</v>
      </c>
      <c r="V116" s="8">
        <f>U116/T116</f>
        <v>0.53338262533253045</v>
      </c>
    </row>
    <row r="117" spans="1:22" ht="14" x14ac:dyDescent="0.2">
      <c r="A117" s="1" t="s">
        <v>241</v>
      </c>
      <c r="B117" s="1" t="str">
        <f>VLOOKUP(A117,[60]HardwareList!A:I,3,FALSE)</f>
        <v>數位店</v>
      </c>
      <c r="C117" s="1" t="str">
        <f>VLOOKUP(A117,[60]HardwareList!A:I,4,FALSE)</f>
        <v>V4</v>
      </c>
      <c r="D117" s="1" t="s">
        <v>242</v>
      </c>
      <c r="E117" s="6">
        <v>1104882</v>
      </c>
      <c r="F117" s="6">
        <v>1083310</v>
      </c>
      <c r="G117" s="8">
        <v>0.98050000000000004</v>
      </c>
      <c r="H117" s="6">
        <v>1120373</v>
      </c>
      <c r="I117" s="6">
        <v>1103080</v>
      </c>
      <c r="J117" s="8">
        <v>0.98460000000000003</v>
      </c>
      <c r="K117" s="6">
        <v>1151513</v>
      </c>
      <c r="L117" s="6">
        <v>1136737</v>
      </c>
      <c r="M117" s="8">
        <v>0.98719999999999997</v>
      </c>
      <c r="N117" s="6">
        <f>E117+H117+K117</f>
        <v>3376768</v>
      </c>
      <c r="O117" s="6">
        <f>F117+I117+L117</f>
        <v>3323127</v>
      </c>
      <c r="P117" s="8">
        <f t="shared" si="3"/>
        <v>0.98411469191842615</v>
      </c>
      <c r="Q117" s="6">
        <v>430197</v>
      </c>
      <c r="R117" s="6">
        <v>404895</v>
      </c>
      <c r="S117" s="8">
        <f t="shared" si="2"/>
        <v>0.94118508497269859</v>
      </c>
      <c r="T117" s="6">
        <v>1860976</v>
      </c>
      <c r="U117" s="6">
        <v>1754784</v>
      </c>
      <c r="V117" s="8">
        <f>U117/T117</f>
        <v>0.94293746937091072</v>
      </c>
    </row>
    <row r="118" spans="1:22" ht="14" x14ac:dyDescent="0.2">
      <c r="A118" s="1" t="s">
        <v>243</v>
      </c>
      <c r="B118" s="1" t="str">
        <f>VLOOKUP(A118,[60]HardwareList!A:I,3,FALSE)</f>
        <v>一般店</v>
      </c>
      <c r="C118" s="1" t="str">
        <f>VLOOKUP(A118,[60]HardwareList!A:I,4,FALSE)</f>
        <v>V3</v>
      </c>
      <c r="D118" s="1" t="s">
        <v>244</v>
      </c>
      <c r="E118" s="6">
        <v>818718</v>
      </c>
      <c r="F118" s="6">
        <v>509408</v>
      </c>
      <c r="G118" s="8">
        <v>0.62219999999999998</v>
      </c>
      <c r="H118" s="6">
        <v>879715</v>
      </c>
      <c r="I118" s="6">
        <v>553774</v>
      </c>
      <c r="J118" s="8">
        <v>0.62949999999999995</v>
      </c>
      <c r="K118" s="6">
        <v>798243</v>
      </c>
      <c r="L118" s="6">
        <v>523050</v>
      </c>
      <c r="M118" s="8">
        <v>0.65529999999999999</v>
      </c>
      <c r="N118" s="6">
        <f>E118+H118+K118</f>
        <v>2496676</v>
      </c>
      <c r="O118" s="6">
        <f>F118+I118+L118</f>
        <v>1586232</v>
      </c>
      <c r="P118" s="8">
        <f t="shared" si="3"/>
        <v>0.6353375447995655</v>
      </c>
      <c r="Q118" s="6">
        <v>328875</v>
      </c>
      <c r="R118" s="6">
        <v>185821</v>
      </c>
      <c r="S118" s="8">
        <f t="shared" si="2"/>
        <v>0.56502014443177495</v>
      </c>
      <c r="T118" s="6">
        <v>719438</v>
      </c>
      <c r="U118" s="6">
        <v>408188</v>
      </c>
      <c r="V118" s="8">
        <f>U118/T118</f>
        <v>0.56737064208451593</v>
      </c>
    </row>
    <row r="119" spans="1:22" ht="14" x14ac:dyDescent="0.2">
      <c r="A119" s="1" t="s">
        <v>245</v>
      </c>
      <c r="B119" s="1" t="str">
        <f>VLOOKUP(A119,[60]HardwareList!A:I,3,FALSE)</f>
        <v>一般店</v>
      </c>
      <c r="C119" s="1" t="str">
        <f>VLOOKUP(A119,[60]HardwareList!A:I,4,FALSE)</f>
        <v>V4</v>
      </c>
      <c r="D119" s="1" t="s">
        <v>246</v>
      </c>
      <c r="E119" s="6">
        <v>663320</v>
      </c>
      <c r="F119" s="6">
        <v>377686</v>
      </c>
      <c r="G119" s="8">
        <v>0.56940000000000002</v>
      </c>
      <c r="H119" s="6">
        <v>736465</v>
      </c>
      <c r="I119" s="6">
        <v>419691</v>
      </c>
      <c r="J119" s="8">
        <v>0.56989999999999996</v>
      </c>
      <c r="K119" s="6">
        <v>821604</v>
      </c>
      <c r="L119" s="6">
        <v>506227</v>
      </c>
      <c r="M119" s="8">
        <v>0.61609999999999998</v>
      </c>
      <c r="N119" s="6">
        <f>E119+H119+K119</f>
        <v>2221389</v>
      </c>
      <c r="O119" s="6">
        <f>F119+I119+L119</f>
        <v>1303604</v>
      </c>
      <c r="P119" s="8">
        <f t="shared" si="3"/>
        <v>0.58684183634653808</v>
      </c>
      <c r="Q119" s="6">
        <v>277990</v>
      </c>
      <c r="R119" s="6">
        <v>156117</v>
      </c>
      <c r="S119" s="8">
        <f t="shared" si="2"/>
        <v>0.56159214360228782</v>
      </c>
      <c r="T119" s="6">
        <v>299138</v>
      </c>
      <c r="U119" s="6">
        <v>167401</v>
      </c>
      <c r="V119" s="8">
        <f>U119/T119</f>
        <v>0.55961128308673591</v>
      </c>
    </row>
    <row r="120" spans="1:22" ht="14" x14ac:dyDescent="0.2">
      <c r="A120" s="1" t="s">
        <v>247</v>
      </c>
      <c r="B120" s="1" t="str">
        <f>VLOOKUP(A120,[60]HardwareList!A:I,3,FALSE)</f>
        <v>一般店</v>
      </c>
      <c r="C120" s="1" t="str">
        <f>VLOOKUP(A120,[60]HardwareList!A:I,4,FALSE)</f>
        <v>D1</v>
      </c>
      <c r="D120" s="1" t="s">
        <v>248</v>
      </c>
      <c r="E120" s="6">
        <v>924837</v>
      </c>
      <c r="F120" s="6">
        <v>572296</v>
      </c>
      <c r="G120" s="8">
        <v>0.61880000000000002</v>
      </c>
      <c r="H120" s="6">
        <v>888341</v>
      </c>
      <c r="I120" s="6">
        <v>545960</v>
      </c>
      <c r="J120" s="8">
        <v>0.61460000000000004</v>
      </c>
      <c r="K120" s="6">
        <v>663770</v>
      </c>
      <c r="L120" s="6">
        <v>432591</v>
      </c>
      <c r="M120" s="8">
        <v>0.65169999999999995</v>
      </c>
      <c r="N120" s="6">
        <f>E120+H120+K120</f>
        <v>2476948</v>
      </c>
      <c r="O120" s="6">
        <f>F120+I120+L120</f>
        <v>1550847</v>
      </c>
      <c r="P120" s="8">
        <f t="shared" si="3"/>
        <v>0.62611205402777936</v>
      </c>
      <c r="Q120" s="6">
        <v>379310</v>
      </c>
      <c r="R120" s="6">
        <v>226518</v>
      </c>
      <c r="S120" s="8">
        <f t="shared" si="2"/>
        <v>0.59718436107669193</v>
      </c>
      <c r="T120" s="6">
        <v>828270</v>
      </c>
      <c r="U120" s="6">
        <v>490128</v>
      </c>
      <c r="V120" s="8">
        <f>U120/T120</f>
        <v>0.59174906733311605</v>
      </c>
    </row>
    <row r="121" spans="1:22" ht="14" x14ac:dyDescent="0.2">
      <c r="A121" s="1" t="s">
        <v>249</v>
      </c>
      <c r="B121" s="1" t="str">
        <f>VLOOKUP(A121,[60]HardwareList!A:I,3,FALSE)</f>
        <v>數位店</v>
      </c>
      <c r="C121" s="1" t="str">
        <f>VLOOKUP(A121,[60]HardwareList!A:I,4,FALSE)</f>
        <v>V4</v>
      </c>
      <c r="D121" s="1" t="s">
        <v>250</v>
      </c>
      <c r="E121" s="6">
        <v>1375386</v>
      </c>
      <c r="F121" s="6">
        <v>1346889</v>
      </c>
      <c r="G121" s="8">
        <v>0.97929999999999995</v>
      </c>
      <c r="H121" s="6">
        <v>1189455</v>
      </c>
      <c r="I121" s="6">
        <v>1165476</v>
      </c>
      <c r="J121" s="8">
        <v>0.9798</v>
      </c>
      <c r="K121" s="6">
        <v>1082984</v>
      </c>
      <c r="L121" s="6">
        <v>1061344</v>
      </c>
      <c r="M121" s="8">
        <v>0.98</v>
      </c>
      <c r="N121" s="6">
        <f>E121+H121+K121</f>
        <v>3647825</v>
      </c>
      <c r="O121" s="6">
        <f>F121+I121+L121</f>
        <v>3573709</v>
      </c>
      <c r="P121" s="8">
        <f t="shared" si="3"/>
        <v>0.97968213935701409</v>
      </c>
      <c r="Q121" s="6">
        <v>528370</v>
      </c>
      <c r="R121" s="6">
        <v>511598</v>
      </c>
      <c r="S121" s="8">
        <f t="shared" si="2"/>
        <v>0.9682570925677082</v>
      </c>
      <c r="T121" s="6">
        <v>2299400</v>
      </c>
      <c r="U121" s="6">
        <v>2221196</v>
      </c>
      <c r="V121" s="8">
        <f>U121/T121</f>
        <v>0.96598938853613991</v>
      </c>
    </row>
    <row r="122" spans="1:22" ht="14" x14ac:dyDescent="0.2">
      <c r="A122" s="1" t="s">
        <v>251</v>
      </c>
      <c r="B122" s="1" t="str">
        <f>VLOOKUP(A122,[60]HardwareList!A:I,3,FALSE)</f>
        <v>一般店</v>
      </c>
      <c r="C122" s="1" t="str">
        <f>VLOOKUP(A122,[60]HardwareList!A:I,4,FALSE)</f>
        <v>V3</v>
      </c>
      <c r="D122" s="1" t="s">
        <v>252</v>
      </c>
      <c r="E122" s="6">
        <v>1132771</v>
      </c>
      <c r="F122" s="6">
        <v>721600</v>
      </c>
      <c r="G122" s="8">
        <v>0.63700000000000001</v>
      </c>
      <c r="H122" s="6">
        <v>1202054</v>
      </c>
      <c r="I122" s="6">
        <v>764506</v>
      </c>
      <c r="J122" s="8">
        <v>0.63600000000000001</v>
      </c>
      <c r="K122" s="6">
        <v>1345563</v>
      </c>
      <c r="L122" s="6">
        <v>848139</v>
      </c>
      <c r="M122" s="8">
        <v>0.63029999999999997</v>
      </c>
      <c r="N122" s="6">
        <f>E122+H122+K122</f>
        <v>3680388</v>
      </c>
      <c r="O122" s="6">
        <f>F122+I122+L122</f>
        <v>2334245</v>
      </c>
      <c r="P122" s="8">
        <f t="shared" si="3"/>
        <v>0.63423883568797634</v>
      </c>
      <c r="Q122" s="6">
        <v>532813</v>
      </c>
      <c r="R122" s="6">
        <v>313048</v>
      </c>
      <c r="S122" s="8">
        <f t="shared" si="2"/>
        <v>0.58753821697293418</v>
      </c>
      <c r="T122" s="6">
        <v>1144214</v>
      </c>
      <c r="U122" s="6">
        <v>657908</v>
      </c>
      <c r="V122" s="8">
        <f>U122/T122</f>
        <v>0.57498684686605828</v>
      </c>
    </row>
    <row r="123" spans="1:22" ht="14" x14ac:dyDescent="0.2">
      <c r="A123" s="1" t="s">
        <v>253</v>
      </c>
      <c r="B123" s="1" t="str">
        <f>VLOOKUP(A123,[60]HardwareList!A:I,3,FALSE)</f>
        <v>一般店</v>
      </c>
      <c r="C123" s="1" t="str">
        <f>VLOOKUP(A123,[60]HardwareList!A:I,4,FALSE)</f>
        <v>D2</v>
      </c>
      <c r="D123" s="1" t="s">
        <v>254</v>
      </c>
      <c r="E123" s="6">
        <v>1193481</v>
      </c>
      <c r="F123" s="6">
        <v>780138</v>
      </c>
      <c r="G123" s="8">
        <v>0.65369999999999995</v>
      </c>
      <c r="H123" s="6">
        <v>1167136</v>
      </c>
      <c r="I123" s="6">
        <v>755128</v>
      </c>
      <c r="J123" s="8">
        <v>0.64700000000000002</v>
      </c>
      <c r="K123" s="6">
        <v>1198652</v>
      </c>
      <c r="L123" s="6">
        <v>796941</v>
      </c>
      <c r="M123" s="8">
        <v>0.66490000000000005</v>
      </c>
      <c r="N123" s="6">
        <f>E123+H123+K123</f>
        <v>3559269</v>
      </c>
      <c r="O123" s="6">
        <f>F123+I123+L123</f>
        <v>2332207</v>
      </c>
      <c r="P123" s="8">
        <f t="shared" si="3"/>
        <v>0.65524887273201327</v>
      </c>
      <c r="Q123" s="6">
        <v>486516</v>
      </c>
      <c r="R123" s="6">
        <v>290552</v>
      </c>
      <c r="S123" s="8">
        <f t="shared" si="2"/>
        <v>0.59720954706525586</v>
      </c>
      <c r="T123" s="6">
        <v>1038510</v>
      </c>
      <c r="U123" s="6">
        <v>613820</v>
      </c>
      <c r="V123" s="8">
        <f>U123/T123</f>
        <v>0.59105834320324313</v>
      </c>
    </row>
    <row r="124" spans="1:22" ht="14" x14ac:dyDescent="0.2">
      <c r="A124" s="1" t="s">
        <v>255</v>
      </c>
      <c r="B124" s="1" t="str">
        <f>VLOOKUP(A124,[60]HardwareList!A:I,3,FALSE)</f>
        <v>一般店</v>
      </c>
      <c r="C124" s="1" t="str">
        <f>VLOOKUP(A124,[60]HardwareList!A:I,4,FALSE)</f>
        <v>D2</v>
      </c>
      <c r="D124" s="1" t="s">
        <v>256</v>
      </c>
      <c r="E124" s="6">
        <v>971546</v>
      </c>
      <c r="F124" s="6">
        <v>603263</v>
      </c>
      <c r="G124" s="8">
        <v>0.62090000000000001</v>
      </c>
      <c r="H124" s="6">
        <v>1061403</v>
      </c>
      <c r="I124" s="6">
        <v>664368</v>
      </c>
      <c r="J124" s="8">
        <v>0.62590000000000001</v>
      </c>
      <c r="K124" s="6">
        <v>1242250</v>
      </c>
      <c r="L124" s="6">
        <v>782334</v>
      </c>
      <c r="M124" s="8">
        <v>0.62980000000000003</v>
      </c>
      <c r="N124" s="6">
        <f>E124+H124+K124</f>
        <v>3275199</v>
      </c>
      <c r="O124" s="6">
        <f>F124+I124+L124</f>
        <v>2049965</v>
      </c>
      <c r="P124" s="8">
        <f t="shared" si="3"/>
        <v>0.62590547933117957</v>
      </c>
      <c r="Q124" s="6">
        <v>474845</v>
      </c>
      <c r="R124" s="6">
        <v>272120</v>
      </c>
      <c r="S124" s="8">
        <f t="shared" si="2"/>
        <v>0.5730712127115164</v>
      </c>
      <c r="T124" s="6">
        <v>1031750</v>
      </c>
      <c r="U124" s="6">
        <v>594804</v>
      </c>
      <c r="V124" s="8">
        <f>U124/T124</f>
        <v>0.57650012115338023</v>
      </c>
    </row>
    <row r="125" spans="1:22" ht="14" x14ac:dyDescent="0.2">
      <c r="A125" s="1" t="s">
        <v>257</v>
      </c>
      <c r="B125" s="1" t="str">
        <f>VLOOKUP(A125,[60]HardwareList!A:I,3,FALSE)</f>
        <v>數位店</v>
      </c>
      <c r="C125" s="1" t="str">
        <f>VLOOKUP(A125,[60]HardwareList!A:I,4,FALSE)</f>
        <v>V4*.16,D2*.17.18</v>
      </c>
      <c r="D125" s="1" t="s">
        <v>258</v>
      </c>
      <c r="E125" s="6">
        <v>1670440</v>
      </c>
      <c r="F125" s="6">
        <v>1629422</v>
      </c>
      <c r="G125" s="8">
        <v>0.97540000000000004</v>
      </c>
      <c r="H125" s="6">
        <v>1571216</v>
      </c>
      <c r="I125" s="6">
        <v>1520243</v>
      </c>
      <c r="J125" s="8">
        <v>0.96760000000000002</v>
      </c>
      <c r="K125" s="6">
        <v>1401276</v>
      </c>
      <c r="L125" s="6">
        <v>1230688</v>
      </c>
      <c r="M125" s="8">
        <v>0.87829999999999997</v>
      </c>
      <c r="N125" s="6">
        <f>E125+H125+K125</f>
        <v>4642932</v>
      </c>
      <c r="O125" s="6">
        <f>F125+I125+L125</f>
        <v>4380353</v>
      </c>
      <c r="P125" s="8">
        <f t="shared" si="3"/>
        <v>0.94344543491052635</v>
      </c>
      <c r="Q125" s="6">
        <v>634623</v>
      </c>
      <c r="R125" s="6">
        <v>602706</v>
      </c>
      <c r="S125" s="8">
        <f t="shared" si="2"/>
        <v>0.94970714896875785</v>
      </c>
      <c r="T125" s="6">
        <v>2032746</v>
      </c>
      <c r="U125" s="6">
        <v>1925733</v>
      </c>
      <c r="V125" s="8">
        <f>U125/T125</f>
        <v>0.94735544922976112</v>
      </c>
    </row>
    <row r="126" spans="1:22" ht="14" x14ac:dyDescent="0.2">
      <c r="A126" s="1" t="s">
        <v>259</v>
      </c>
      <c r="B126" s="1" t="str">
        <f>VLOOKUP(A126,[60]HardwareList!A:I,3,FALSE)</f>
        <v>一般店</v>
      </c>
      <c r="C126" s="1" t="str">
        <f>VLOOKUP(A126,[60]HardwareList!A:I,4,FALSE)</f>
        <v>V4</v>
      </c>
      <c r="D126" s="1" t="s">
        <v>260</v>
      </c>
      <c r="E126" s="6">
        <v>846166</v>
      </c>
      <c r="F126" s="6">
        <v>507919</v>
      </c>
      <c r="G126" s="8">
        <v>0.60029999999999994</v>
      </c>
      <c r="H126" s="6">
        <v>886933</v>
      </c>
      <c r="I126" s="6">
        <v>530864</v>
      </c>
      <c r="J126" s="8">
        <v>0.59850000000000003</v>
      </c>
      <c r="K126" s="6">
        <v>764169</v>
      </c>
      <c r="L126" s="6">
        <v>442011</v>
      </c>
      <c r="M126" s="8">
        <v>0.57840000000000003</v>
      </c>
      <c r="N126" s="6">
        <f>E126+H126+K126</f>
        <v>2497268</v>
      </c>
      <c r="O126" s="6">
        <f>F126+I126+L126</f>
        <v>1480794</v>
      </c>
      <c r="P126" s="8">
        <f t="shared" si="3"/>
        <v>0.59296559279981165</v>
      </c>
      <c r="Q126" s="6">
        <v>678288</v>
      </c>
      <c r="R126" s="6">
        <v>363193</v>
      </c>
      <c r="S126" s="8">
        <f t="shared" si="2"/>
        <v>0.53545544075672868</v>
      </c>
      <c r="T126" s="6">
        <v>1513628</v>
      </c>
      <c r="U126" s="6">
        <v>809986</v>
      </c>
      <c r="V126" s="8">
        <f>U126/T126</f>
        <v>0.53512884275396599</v>
      </c>
    </row>
    <row r="127" spans="1:22" ht="14" x14ac:dyDescent="0.2">
      <c r="A127" s="1" t="s">
        <v>261</v>
      </c>
      <c r="B127" s="1" t="str">
        <f>VLOOKUP(A127,[60]HardwareList!A:I,3,FALSE)</f>
        <v>數位店</v>
      </c>
      <c r="C127" s="1" t="str">
        <f>VLOOKUP(A127,[60]HardwareList!A:I,4,FALSE)</f>
        <v>V3*.16~18, D2*.19</v>
      </c>
      <c r="D127" s="1" t="s">
        <v>262</v>
      </c>
      <c r="E127" s="6">
        <v>1960598</v>
      </c>
      <c r="F127" s="6">
        <v>1837707</v>
      </c>
      <c r="G127" s="8">
        <v>0.93730000000000002</v>
      </c>
      <c r="H127" s="6">
        <v>1959398</v>
      </c>
      <c r="I127" s="6">
        <v>1844845</v>
      </c>
      <c r="J127" s="8">
        <v>0.9415</v>
      </c>
      <c r="K127" s="6">
        <v>1610424</v>
      </c>
      <c r="L127" s="6">
        <v>1404073</v>
      </c>
      <c r="M127" s="8">
        <v>0.87190000000000001</v>
      </c>
      <c r="N127" s="6">
        <f>E127+H127+K127</f>
        <v>5530420</v>
      </c>
      <c r="O127" s="6">
        <f>F127+I127+L127</f>
        <v>5086625</v>
      </c>
      <c r="P127" s="8">
        <f t="shared" si="3"/>
        <v>0.91975383424767021</v>
      </c>
      <c r="Q127" s="6">
        <v>812727</v>
      </c>
      <c r="R127" s="6">
        <v>761503</v>
      </c>
      <c r="S127" s="8">
        <f t="shared" si="2"/>
        <v>0.93697268578501758</v>
      </c>
      <c r="T127" s="6">
        <v>3475844</v>
      </c>
      <c r="U127" s="6">
        <v>3233396</v>
      </c>
      <c r="V127" s="8">
        <f>U127/T127</f>
        <v>0.93024773263702287</v>
      </c>
    </row>
    <row r="128" spans="1:22" ht="14" x14ac:dyDescent="0.2">
      <c r="A128" s="1" t="s">
        <v>263</v>
      </c>
      <c r="B128" s="1" t="str">
        <f>VLOOKUP(A128,[60]HardwareList!A:I,3,FALSE)</f>
        <v>一般店</v>
      </c>
      <c r="C128" s="1" t="str">
        <f>VLOOKUP(A128,[60]HardwareList!A:I,4,FALSE)</f>
        <v>V3</v>
      </c>
      <c r="D128" s="1" t="s">
        <v>264</v>
      </c>
      <c r="E128" s="6">
        <v>1045192</v>
      </c>
      <c r="F128" s="6">
        <v>675083</v>
      </c>
      <c r="G128" s="8">
        <v>0.64590000000000003</v>
      </c>
      <c r="H128" s="6">
        <v>987335</v>
      </c>
      <c r="I128" s="6">
        <v>617561</v>
      </c>
      <c r="J128" s="8">
        <v>0.62549999999999994</v>
      </c>
      <c r="K128" s="6">
        <v>1036103</v>
      </c>
      <c r="L128" s="6">
        <v>650344</v>
      </c>
      <c r="M128" s="8">
        <v>0.62770000000000004</v>
      </c>
      <c r="N128" s="6">
        <f>E128+H128+K128</f>
        <v>3068630</v>
      </c>
      <c r="O128" s="6">
        <f>F128+I128+L128</f>
        <v>1942988</v>
      </c>
      <c r="P128" s="8">
        <f t="shared" si="3"/>
        <v>0.63317767212078357</v>
      </c>
      <c r="Q128" s="6">
        <v>428256</v>
      </c>
      <c r="R128" s="6">
        <v>251475</v>
      </c>
      <c r="S128" s="8">
        <f t="shared" si="2"/>
        <v>0.58720718448778297</v>
      </c>
      <c r="T128" s="6">
        <v>896884</v>
      </c>
      <c r="U128" s="6">
        <v>530482</v>
      </c>
      <c r="V128" s="8">
        <f>U128/T128</f>
        <v>0.59147225282199256</v>
      </c>
    </row>
    <row r="129" spans="1:22" ht="14" x14ac:dyDescent="0.2">
      <c r="A129" s="1" t="s">
        <v>265</v>
      </c>
      <c r="B129" s="1" t="str">
        <f>VLOOKUP(A129,[60]HardwareList!A:I,3,FALSE)</f>
        <v>一般店</v>
      </c>
      <c r="C129" s="1" t="str">
        <f>VLOOKUP(A129,[60]HardwareList!A:I,4,FALSE)</f>
        <v>V3</v>
      </c>
      <c r="D129" s="1" t="s">
        <v>266</v>
      </c>
      <c r="E129" s="6">
        <v>901285</v>
      </c>
      <c r="F129" s="6">
        <v>613268</v>
      </c>
      <c r="G129" s="8">
        <v>0.6804</v>
      </c>
      <c r="H129" s="6">
        <v>806750</v>
      </c>
      <c r="I129" s="6">
        <v>531233</v>
      </c>
      <c r="J129" s="8">
        <v>0.65849999999999997</v>
      </c>
      <c r="K129" s="6">
        <v>877021</v>
      </c>
      <c r="L129" s="6">
        <v>575340</v>
      </c>
      <c r="M129" s="8">
        <v>0.65600000000000003</v>
      </c>
      <c r="N129" s="6">
        <f>E129+H129+K129</f>
        <v>2585056</v>
      </c>
      <c r="O129" s="6">
        <f>F129+I129+L129</f>
        <v>1719841</v>
      </c>
      <c r="P129" s="8">
        <f t="shared" si="3"/>
        <v>0.66530125459564515</v>
      </c>
      <c r="Q129" s="6">
        <v>396690</v>
      </c>
      <c r="R129" s="6">
        <v>261408</v>
      </c>
      <c r="S129" s="8">
        <f t="shared" si="2"/>
        <v>0.65897300158814187</v>
      </c>
      <c r="T129" s="6">
        <v>889618</v>
      </c>
      <c r="U129" s="6">
        <v>580822</v>
      </c>
      <c r="V129" s="8">
        <f>U129/T129</f>
        <v>0.65288921761924779</v>
      </c>
    </row>
    <row r="130" spans="1:22" ht="14" x14ac:dyDescent="0.2">
      <c r="A130" s="1" t="s">
        <v>267</v>
      </c>
      <c r="B130" s="1" t="str">
        <f>VLOOKUP(A130,[60]HardwareList!A:I,3,FALSE)</f>
        <v>一般店</v>
      </c>
      <c r="C130" s="1" t="str">
        <f>VLOOKUP(A130,[60]HardwareList!A:I,4,FALSE)</f>
        <v>V4</v>
      </c>
      <c r="D130" s="1" t="s">
        <v>268</v>
      </c>
      <c r="E130" s="6">
        <v>906406</v>
      </c>
      <c r="F130" s="6">
        <v>604010</v>
      </c>
      <c r="G130" s="8">
        <v>0.66639999999999999</v>
      </c>
      <c r="H130" s="6">
        <v>951180</v>
      </c>
      <c r="I130" s="6">
        <v>638555</v>
      </c>
      <c r="J130" s="8">
        <v>0.67130000000000001</v>
      </c>
      <c r="K130" s="6">
        <v>951361</v>
      </c>
      <c r="L130" s="6">
        <v>654719</v>
      </c>
      <c r="M130" s="8">
        <v>0.68820000000000003</v>
      </c>
      <c r="N130" s="6">
        <f>E130+H130+K130</f>
        <v>2808947</v>
      </c>
      <c r="O130" s="6">
        <f>F130+I130+L130</f>
        <v>1897284</v>
      </c>
      <c r="P130" s="8">
        <f t="shared" si="3"/>
        <v>0.67544314648870196</v>
      </c>
      <c r="Q130" s="6">
        <v>438386</v>
      </c>
      <c r="R130" s="6">
        <v>278721</v>
      </c>
      <c r="S130" s="8">
        <f t="shared" si="2"/>
        <v>0.63578900786065251</v>
      </c>
      <c r="T130" s="6">
        <v>943218</v>
      </c>
      <c r="U130" s="6">
        <v>591508</v>
      </c>
      <c r="V130" s="8">
        <f>U130/T130</f>
        <v>0.62711695493512631</v>
      </c>
    </row>
    <row r="131" spans="1:22" ht="14" x14ac:dyDescent="0.2">
      <c r="A131" s="1" t="s">
        <v>269</v>
      </c>
      <c r="B131" s="1" t="str">
        <f>VLOOKUP(A131,[60]HardwareList!A:I,3,FALSE)</f>
        <v>數位店</v>
      </c>
      <c r="C131" s="1" t="str">
        <f>VLOOKUP(A131,[60]HardwareList!A:I,4,FALSE)</f>
        <v>V4*.16 .17, D2*.18</v>
      </c>
      <c r="D131" s="1" t="s">
        <v>270</v>
      </c>
      <c r="E131" s="6">
        <v>1393978</v>
      </c>
      <c r="F131" s="6">
        <v>1351018</v>
      </c>
      <c r="G131" s="8">
        <v>0.96919999999999995</v>
      </c>
      <c r="H131" s="6">
        <v>651848</v>
      </c>
      <c r="I131" s="6">
        <v>632930</v>
      </c>
      <c r="J131" s="8">
        <v>0.97099999999999997</v>
      </c>
      <c r="K131" s="6">
        <v>1370678</v>
      </c>
      <c r="L131" s="6">
        <v>1338632</v>
      </c>
      <c r="M131" s="8">
        <v>0.97660000000000002</v>
      </c>
      <c r="N131" s="6">
        <f>E131+H131+K131</f>
        <v>3416504</v>
      </c>
      <c r="O131" s="6">
        <f>F131+I131+L131</f>
        <v>3322580</v>
      </c>
      <c r="P131" s="8">
        <f t="shared" si="3"/>
        <v>0.972508739928301</v>
      </c>
      <c r="Q131" s="6">
        <v>591627</v>
      </c>
      <c r="R131" s="6">
        <v>566740</v>
      </c>
      <c r="S131" s="8">
        <f t="shared" ref="S131:S194" si="4">R131/Q131</f>
        <v>0.95793464463251343</v>
      </c>
      <c r="T131" s="6">
        <v>1906398</v>
      </c>
      <c r="U131" s="6">
        <v>1809519</v>
      </c>
      <c r="V131" s="8">
        <f>U131/T131</f>
        <v>0.94918217497080881</v>
      </c>
    </row>
    <row r="132" spans="1:22" ht="14" x14ac:dyDescent="0.2">
      <c r="A132" s="1" t="s">
        <v>271</v>
      </c>
      <c r="B132" s="1" t="str">
        <f>VLOOKUP(A132,[60]HardwareList!A:I,3,FALSE)</f>
        <v>數位店</v>
      </c>
      <c r="C132" s="1" t="str">
        <f>VLOOKUP(A132,[60]HardwareList!A:I,4,FALSE)</f>
        <v>V4</v>
      </c>
      <c r="D132" s="1" t="s">
        <v>272</v>
      </c>
      <c r="E132" s="6">
        <v>1368832</v>
      </c>
      <c r="F132" s="6">
        <v>1349340</v>
      </c>
      <c r="G132" s="8">
        <v>0.98580000000000001</v>
      </c>
      <c r="H132" s="6">
        <v>1252556</v>
      </c>
      <c r="I132" s="6">
        <v>1238955</v>
      </c>
      <c r="J132" s="8">
        <v>0.98909999999999998</v>
      </c>
      <c r="K132" s="6">
        <v>1172475</v>
      </c>
      <c r="L132" s="6">
        <v>1155700</v>
      </c>
      <c r="M132" s="8">
        <v>0.98570000000000002</v>
      </c>
      <c r="N132" s="6">
        <f>E132+H132+K132</f>
        <v>3793863</v>
      </c>
      <c r="O132" s="6">
        <f>F132+I132+L132</f>
        <v>3743995</v>
      </c>
      <c r="P132" s="8">
        <f t="shared" ref="P132:P195" si="5">O132/N132</f>
        <v>0.98685561392174681</v>
      </c>
      <c r="Q132" s="6">
        <v>604283</v>
      </c>
      <c r="R132" s="6">
        <v>591884</v>
      </c>
      <c r="S132" s="8">
        <f t="shared" si="4"/>
        <v>0.97948146812006953</v>
      </c>
      <c r="T132" s="6">
        <v>1978422</v>
      </c>
      <c r="U132" s="6">
        <v>1929057</v>
      </c>
      <c r="V132" s="8">
        <f>U132/T132</f>
        <v>0.97504829606625887</v>
      </c>
    </row>
    <row r="133" spans="1:22" ht="14" x14ac:dyDescent="0.2">
      <c r="A133" s="1" t="s">
        <v>273</v>
      </c>
      <c r="B133" s="1" t="str">
        <f>VLOOKUP(A133,[60]HardwareList!A:I,3,FALSE)</f>
        <v>一般店</v>
      </c>
      <c r="C133" s="1" t="str">
        <f>VLOOKUP(A133,[60]HardwareList!A:I,4,FALSE)</f>
        <v>V4</v>
      </c>
      <c r="D133" s="1" t="s">
        <v>274</v>
      </c>
      <c r="E133" s="6">
        <v>1222801</v>
      </c>
      <c r="F133" s="6">
        <v>840487</v>
      </c>
      <c r="G133" s="8">
        <v>0.68730000000000002</v>
      </c>
      <c r="H133" s="6">
        <v>1148657</v>
      </c>
      <c r="I133" s="6">
        <v>788247</v>
      </c>
      <c r="J133" s="8">
        <v>0.68620000000000003</v>
      </c>
      <c r="K133" s="6">
        <v>1105595</v>
      </c>
      <c r="L133" s="6">
        <v>757523</v>
      </c>
      <c r="M133" s="8">
        <v>0.68520000000000003</v>
      </c>
      <c r="N133" s="6">
        <f>E133+H133+K133</f>
        <v>3477053</v>
      </c>
      <c r="O133" s="6">
        <f>F133+I133+L133</f>
        <v>2386257</v>
      </c>
      <c r="P133" s="8">
        <f t="shared" si="5"/>
        <v>0.68628720931202369</v>
      </c>
      <c r="Q133" s="6">
        <v>506108</v>
      </c>
      <c r="R133" s="6">
        <v>321082</v>
      </c>
      <c r="S133" s="8">
        <f t="shared" si="4"/>
        <v>0.63441399859318559</v>
      </c>
      <c r="T133" s="6">
        <v>1093320</v>
      </c>
      <c r="U133" s="6">
        <v>694596</v>
      </c>
      <c r="V133" s="8">
        <f>U133/T133</f>
        <v>0.63530896718252661</v>
      </c>
    </row>
    <row r="134" spans="1:22" ht="14" x14ac:dyDescent="0.2">
      <c r="A134" s="1" t="s">
        <v>275</v>
      </c>
      <c r="B134" s="1" t="str">
        <f>VLOOKUP(A134,[60]HardwareList!A:I,3,FALSE)</f>
        <v>一般店</v>
      </c>
      <c r="C134" s="1" t="str">
        <f>VLOOKUP(A134,[60]HardwareList!A:I,4,FALSE)</f>
        <v>V3</v>
      </c>
      <c r="D134" s="1" t="s">
        <v>276</v>
      </c>
      <c r="E134" s="6">
        <v>1227611</v>
      </c>
      <c r="F134" s="6">
        <v>774053</v>
      </c>
      <c r="G134" s="8">
        <v>0.63049999999999995</v>
      </c>
      <c r="H134" s="6">
        <v>1283721</v>
      </c>
      <c r="I134" s="6">
        <v>809642</v>
      </c>
      <c r="J134" s="8">
        <v>0.63070000000000004</v>
      </c>
      <c r="K134" s="6">
        <v>1251033</v>
      </c>
      <c r="L134" s="6">
        <v>803400</v>
      </c>
      <c r="M134" s="8">
        <v>0.64219999999999999</v>
      </c>
      <c r="N134" s="6">
        <f>E134+H134+K134</f>
        <v>3762365</v>
      </c>
      <c r="O134" s="6">
        <f>F134+I134+L134</f>
        <v>2387095</v>
      </c>
      <c r="P134" s="8">
        <f t="shared" si="5"/>
        <v>0.63446661873582177</v>
      </c>
      <c r="Q134" s="6">
        <v>556430</v>
      </c>
      <c r="R134" s="6">
        <v>329255</v>
      </c>
      <c r="S134" s="8">
        <f t="shared" si="4"/>
        <v>0.59172762072497886</v>
      </c>
      <c r="T134" s="6">
        <v>1188750</v>
      </c>
      <c r="U134" s="6">
        <v>704718</v>
      </c>
      <c r="V134" s="8">
        <f>U134/T134</f>
        <v>0.59282271293375399</v>
      </c>
    </row>
    <row r="135" spans="1:22" ht="14" x14ac:dyDescent="0.2">
      <c r="A135" s="1" t="s">
        <v>277</v>
      </c>
      <c r="B135" s="1" t="str">
        <f>VLOOKUP(A135,[60]HardwareList!A:I,3,FALSE)</f>
        <v>一般店</v>
      </c>
      <c r="C135" s="1" t="str">
        <f>VLOOKUP(A135,[60]HardwareList!A:I,4,FALSE)</f>
        <v>D1</v>
      </c>
      <c r="D135" s="1" t="s">
        <v>278</v>
      </c>
      <c r="E135" s="6">
        <v>1410745</v>
      </c>
      <c r="F135" s="6">
        <v>770953</v>
      </c>
      <c r="G135" s="8">
        <v>0.54649999999999999</v>
      </c>
      <c r="H135" s="6">
        <v>1207095</v>
      </c>
      <c r="I135" s="6">
        <v>663825</v>
      </c>
      <c r="J135" s="8">
        <v>0.54990000000000006</v>
      </c>
      <c r="K135" s="6">
        <v>1272273</v>
      </c>
      <c r="L135" s="6">
        <v>722822</v>
      </c>
      <c r="M135" s="8">
        <v>0.56810000000000005</v>
      </c>
      <c r="N135" s="6">
        <f>E135+H135+K135</f>
        <v>3890113</v>
      </c>
      <c r="O135" s="6">
        <f>F135+I135+L135</f>
        <v>2157600</v>
      </c>
      <c r="P135" s="8">
        <f t="shared" si="5"/>
        <v>0.55463684473947161</v>
      </c>
      <c r="Q135" s="6">
        <v>669077</v>
      </c>
      <c r="R135" s="6">
        <v>341398</v>
      </c>
      <c r="S135" s="8">
        <f t="shared" si="4"/>
        <v>0.51025218323152643</v>
      </c>
      <c r="T135" s="6">
        <v>1486674</v>
      </c>
      <c r="U135" s="6">
        <v>756790</v>
      </c>
      <c r="V135" s="8">
        <f>U135/T135</f>
        <v>0.50904905850240201</v>
      </c>
    </row>
    <row r="136" spans="1:22" ht="14" x14ac:dyDescent="0.2">
      <c r="A136" s="1" t="s">
        <v>279</v>
      </c>
      <c r="B136" s="1" t="str">
        <f>VLOOKUP(A136,[60]HardwareList!A:I,3,FALSE)</f>
        <v>一般店</v>
      </c>
      <c r="C136" s="1" t="str">
        <f>VLOOKUP(A136,[60]HardwareList!A:I,4,FALSE)</f>
        <v>V3</v>
      </c>
      <c r="D136" s="1" t="s">
        <v>280</v>
      </c>
      <c r="E136" s="6">
        <v>1178969</v>
      </c>
      <c r="F136" s="6">
        <v>737911</v>
      </c>
      <c r="G136" s="8">
        <v>0.62590000000000001</v>
      </c>
      <c r="H136" s="6">
        <v>1165321</v>
      </c>
      <c r="I136" s="6">
        <v>702430</v>
      </c>
      <c r="J136" s="8">
        <v>0.6028</v>
      </c>
      <c r="K136" s="6">
        <v>1072035</v>
      </c>
      <c r="L136" s="6">
        <v>682692</v>
      </c>
      <c r="M136" s="8">
        <v>0.63680000000000003</v>
      </c>
      <c r="N136" s="6">
        <f>E136+H136+K136</f>
        <v>3416325</v>
      </c>
      <c r="O136" s="6">
        <f>F136+I136+L136</f>
        <v>2123033</v>
      </c>
      <c r="P136" s="8">
        <f t="shared" si="5"/>
        <v>0.62143765596071798</v>
      </c>
      <c r="Q136" s="6">
        <v>511361</v>
      </c>
      <c r="R136" s="6">
        <v>314907</v>
      </c>
      <c r="S136" s="8">
        <f t="shared" si="4"/>
        <v>0.61582130823430026</v>
      </c>
      <c r="T136" s="6">
        <v>1111768</v>
      </c>
      <c r="U136" s="6">
        <v>679988</v>
      </c>
      <c r="V136" s="8">
        <f>U136/T136</f>
        <v>0.61162760575947495</v>
      </c>
    </row>
    <row r="137" spans="1:22" ht="14" x14ac:dyDescent="0.2">
      <c r="A137" s="1" t="s">
        <v>281</v>
      </c>
      <c r="B137" s="1" t="str">
        <f>VLOOKUP(A137,[60]HardwareList!A:I,3,FALSE)</f>
        <v>一般店</v>
      </c>
      <c r="C137" s="1" t="str">
        <f>VLOOKUP(A137,[60]HardwareList!A:I,4,FALSE)</f>
        <v>V2</v>
      </c>
      <c r="D137" s="1" t="s">
        <v>282</v>
      </c>
      <c r="E137" s="6">
        <v>1057727</v>
      </c>
      <c r="F137" s="6">
        <v>675923</v>
      </c>
      <c r="G137" s="8">
        <v>0.63900000000000001</v>
      </c>
      <c r="H137" s="6">
        <v>1031457</v>
      </c>
      <c r="I137" s="6">
        <v>641420</v>
      </c>
      <c r="J137" s="8">
        <v>0.62190000000000001</v>
      </c>
      <c r="K137" s="6">
        <v>1100937</v>
      </c>
      <c r="L137" s="6">
        <v>710833</v>
      </c>
      <c r="M137" s="8">
        <v>0.64570000000000005</v>
      </c>
      <c r="N137" s="6">
        <f>E137+H137+K137</f>
        <v>3190121</v>
      </c>
      <c r="O137" s="6">
        <f>F137+I137+L137</f>
        <v>2028176</v>
      </c>
      <c r="P137" s="8">
        <f t="shared" si="5"/>
        <v>0.63576773420193156</v>
      </c>
      <c r="Q137" s="6">
        <v>495714</v>
      </c>
      <c r="R137" s="6">
        <v>282865</v>
      </c>
      <c r="S137" s="8">
        <f t="shared" si="4"/>
        <v>0.57062136635237248</v>
      </c>
      <c r="T137" s="6">
        <v>1269806</v>
      </c>
      <c r="U137" s="6">
        <v>605284</v>
      </c>
      <c r="V137" s="8">
        <f>U137/T137</f>
        <v>0.47667438963117198</v>
      </c>
    </row>
    <row r="138" spans="1:22" ht="14" x14ac:dyDescent="0.2">
      <c r="A138" s="1" t="s">
        <v>283</v>
      </c>
      <c r="B138" s="1" t="str">
        <f>VLOOKUP(A138,[60]HardwareList!A:I,3,FALSE)</f>
        <v>一般店</v>
      </c>
      <c r="C138" s="1" t="str">
        <f>VLOOKUP(A138,[60]HardwareList!A:I,4,FALSE)</f>
        <v>V2</v>
      </c>
      <c r="D138" s="1" t="s">
        <v>284</v>
      </c>
      <c r="E138" s="6">
        <v>1205211</v>
      </c>
      <c r="F138" s="6">
        <v>775536</v>
      </c>
      <c r="G138" s="8">
        <v>0.64349999999999996</v>
      </c>
      <c r="H138" s="6">
        <v>1091587</v>
      </c>
      <c r="I138" s="6">
        <v>688084</v>
      </c>
      <c r="J138" s="8">
        <v>0.63039999999999996</v>
      </c>
      <c r="K138" s="6">
        <v>1053085</v>
      </c>
      <c r="L138" s="6">
        <v>684102</v>
      </c>
      <c r="M138" s="8">
        <v>0.64959999999999996</v>
      </c>
      <c r="N138" s="6">
        <f>E138+H138+K138</f>
        <v>3349883</v>
      </c>
      <c r="O138" s="6">
        <f>F138+I138+L138</f>
        <v>2147722</v>
      </c>
      <c r="P138" s="8">
        <f t="shared" si="5"/>
        <v>0.64113343660062161</v>
      </c>
      <c r="Q138" s="6">
        <v>569755</v>
      </c>
      <c r="R138" s="6">
        <v>326835</v>
      </c>
      <c r="S138" s="8">
        <f t="shared" si="4"/>
        <v>0.57364130196312446</v>
      </c>
      <c r="T138" s="6">
        <v>1268092</v>
      </c>
      <c r="U138" s="6">
        <v>733320</v>
      </c>
      <c r="V138" s="8">
        <f>U138/T138</f>
        <v>0.57828611804190866</v>
      </c>
    </row>
    <row r="139" spans="1:22" ht="14" x14ac:dyDescent="0.2">
      <c r="A139" s="1" t="s">
        <v>285</v>
      </c>
      <c r="B139" s="1" t="str">
        <f>VLOOKUP(A139,[60]HardwareList!A:I,3,FALSE)</f>
        <v>一般店</v>
      </c>
      <c r="C139" s="1" t="str">
        <f>VLOOKUP(A139,[60]HardwareList!A:I,4,FALSE)</f>
        <v>V3</v>
      </c>
      <c r="D139" s="1" t="s">
        <v>286</v>
      </c>
      <c r="E139" s="6">
        <v>1039197</v>
      </c>
      <c r="F139" s="6">
        <v>658962</v>
      </c>
      <c r="G139" s="8">
        <v>0.6341</v>
      </c>
      <c r="H139" s="6">
        <v>1074140</v>
      </c>
      <c r="I139" s="6">
        <v>675091</v>
      </c>
      <c r="J139" s="8">
        <v>0.62849999999999995</v>
      </c>
      <c r="K139" s="6">
        <v>1080695</v>
      </c>
      <c r="L139" s="6">
        <v>702182</v>
      </c>
      <c r="M139" s="8">
        <v>0.64970000000000006</v>
      </c>
      <c r="N139" s="6">
        <f>E139+H139+K139</f>
        <v>3194032</v>
      </c>
      <c r="O139" s="6">
        <f>F139+I139+L139</f>
        <v>2036235</v>
      </c>
      <c r="P139" s="8">
        <f t="shared" si="5"/>
        <v>0.63751239812249849</v>
      </c>
      <c r="Q139" s="6">
        <v>442206</v>
      </c>
      <c r="R139" s="6">
        <v>274905</v>
      </c>
      <c r="S139" s="8">
        <f t="shared" si="4"/>
        <v>0.62166727724182846</v>
      </c>
      <c r="T139" s="6">
        <v>950026</v>
      </c>
      <c r="U139" s="6">
        <v>587038</v>
      </c>
      <c r="V139" s="8">
        <f>U139/T139</f>
        <v>0.61791782540688356</v>
      </c>
    </row>
    <row r="140" spans="1:22" ht="14" x14ac:dyDescent="0.2">
      <c r="A140" s="1" t="s">
        <v>287</v>
      </c>
      <c r="B140" s="1" t="str">
        <f>VLOOKUP(A140,[60]HardwareList!A:I,3,FALSE)</f>
        <v>數位店</v>
      </c>
      <c r="C140" s="1" t="str">
        <f>VLOOKUP(A140,[60]HardwareList!A:I,4,FALSE)</f>
        <v>V4</v>
      </c>
      <c r="D140" s="1" t="s">
        <v>288</v>
      </c>
      <c r="E140" s="6">
        <v>1551803</v>
      </c>
      <c r="F140" s="6">
        <v>1373555</v>
      </c>
      <c r="G140" s="8">
        <v>0.8851</v>
      </c>
      <c r="H140" s="6">
        <v>1537473</v>
      </c>
      <c r="I140" s="6">
        <v>1341390</v>
      </c>
      <c r="J140" s="8">
        <v>0.87250000000000005</v>
      </c>
      <c r="K140" s="6">
        <v>1387293</v>
      </c>
      <c r="L140" s="6">
        <v>1208375</v>
      </c>
      <c r="M140" s="8">
        <v>0.871</v>
      </c>
      <c r="N140" s="6">
        <f>E140+H140+K140</f>
        <v>4476569</v>
      </c>
      <c r="O140" s="6">
        <f>F140+I140+L140</f>
        <v>3923320</v>
      </c>
      <c r="P140" s="8">
        <f t="shared" si="5"/>
        <v>0.87641227020068269</v>
      </c>
      <c r="Q140" s="6">
        <v>676505</v>
      </c>
      <c r="R140" s="6">
        <v>578439</v>
      </c>
      <c r="S140" s="8">
        <f t="shared" si="4"/>
        <v>0.85504024360499919</v>
      </c>
      <c r="T140" s="6">
        <v>2919864</v>
      </c>
      <c r="U140" s="6">
        <v>2445316</v>
      </c>
      <c r="V140" s="8">
        <f>U140/T140</f>
        <v>0.83747599203250567</v>
      </c>
    </row>
    <row r="141" spans="1:22" ht="14" x14ac:dyDescent="0.2">
      <c r="A141" s="1" t="s">
        <v>289</v>
      </c>
      <c r="B141" s="1" t="str">
        <f>VLOOKUP(A141,[60]HardwareList!A:I,3,FALSE)</f>
        <v>數位店</v>
      </c>
      <c r="C141" s="1" t="str">
        <f>VLOOKUP(A141,[60]HardwareList!A:I,4,FALSE)</f>
        <v>V4</v>
      </c>
      <c r="D141" s="1" t="s">
        <v>290</v>
      </c>
      <c r="E141" s="6">
        <v>1714050</v>
      </c>
      <c r="F141" s="6">
        <v>1680738</v>
      </c>
      <c r="G141" s="8">
        <v>0.98060000000000003</v>
      </c>
      <c r="H141" s="6">
        <v>1596648</v>
      </c>
      <c r="I141" s="6">
        <v>1567555</v>
      </c>
      <c r="J141" s="8">
        <v>0.98180000000000001</v>
      </c>
      <c r="K141" s="6">
        <v>1798750</v>
      </c>
      <c r="L141" s="6">
        <v>1748744</v>
      </c>
      <c r="M141" s="8">
        <v>0.97219999999999995</v>
      </c>
      <c r="N141" s="6">
        <f>E141+H141+K141</f>
        <v>5109448</v>
      </c>
      <c r="O141" s="6">
        <f>F141+I141+L141</f>
        <v>4997037</v>
      </c>
      <c r="P141" s="8">
        <f t="shared" si="5"/>
        <v>0.977999384669342</v>
      </c>
      <c r="Q141" s="6">
        <v>802032</v>
      </c>
      <c r="R141" s="6">
        <v>773387</v>
      </c>
      <c r="S141" s="8">
        <f t="shared" si="4"/>
        <v>0.96428446745267027</v>
      </c>
      <c r="T141" s="6">
        <v>3440460</v>
      </c>
      <c r="U141" s="6">
        <v>3316936</v>
      </c>
      <c r="V141" s="8">
        <f>U141/T141</f>
        <v>0.96409666149293993</v>
      </c>
    </row>
    <row r="142" spans="1:22" ht="14" x14ac:dyDescent="0.2">
      <c r="A142" s="1" t="s">
        <v>291</v>
      </c>
      <c r="B142" s="1" t="str">
        <f>VLOOKUP(A142,[60]HardwareList!A:I,3,FALSE)</f>
        <v>一般店</v>
      </c>
      <c r="C142" s="1" t="str">
        <f>VLOOKUP(A142,[60]HardwareList!A:I,4,FALSE)</f>
        <v>V4</v>
      </c>
      <c r="D142" s="1" t="s">
        <v>292</v>
      </c>
      <c r="E142" s="6">
        <v>1105719</v>
      </c>
      <c r="F142" s="6">
        <v>617140</v>
      </c>
      <c r="G142" s="8">
        <v>0.55810000000000004</v>
      </c>
      <c r="H142" s="6">
        <v>1079551</v>
      </c>
      <c r="I142" s="6">
        <v>607363</v>
      </c>
      <c r="J142" s="8">
        <v>0.56259999999999999</v>
      </c>
      <c r="K142" s="6">
        <v>906654</v>
      </c>
      <c r="L142" s="6">
        <v>575775</v>
      </c>
      <c r="M142" s="8">
        <v>0.6351</v>
      </c>
      <c r="N142" s="6">
        <f>E142+H142+K142</f>
        <v>3091924</v>
      </c>
      <c r="O142" s="6">
        <f>F142+I142+L142</f>
        <v>1800278</v>
      </c>
      <c r="P142" s="8">
        <f t="shared" si="5"/>
        <v>0.58225169829530088</v>
      </c>
      <c r="Q142" s="6">
        <v>482075</v>
      </c>
      <c r="R142" s="6">
        <v>261453</v>
      </c>
      <c r="S142" s="8">
        <f t="shared" si="4"/>
        <v>0.54234921951978432</v>
      </c>
      <c r="T142" s="6">
        <v>1038744</v>
      </c>
      <c r="U142" s="6">
        <v>547686</v>
      </c>
      <c r="V142" s="8">
        <f>U142/T142</f>
        <v>0.52725791917931653</v>
      </c>
    </row>
    <row r="143" spans="1:22" ht="14" x14ac:dyDescent="0.2">
      <c r="A143" s="1" t="s">
        <v>293</v>
      </c>
      <c r="B143" s="1" t="str">
        <f>VLOOKUP(A143,[60]HardwareList!A:I,3,FALSE)</f>
        <v>一般店</v>
      </c>
      <c r="C143" s="1" t="str">
        <f>VLOOKUP(A143,[60]HardwareList!A:I,4,FALSE)</f>
        <v>V3</v>
      </c>
      <c r="D143" s="1" t="s">
        <v>294</v>
      </c>
      <c r="E143" s="6">
        <v>1315403</v>
      </c>
      <c r="F143" s="6">
        <v>906686</v>
      </c>
      <c r="G143" s="8">
        <v>0.68930000000000002</v>
      </c>
      <c r="H143" s="6">
        <v>1298733</v>
      </c>
      <c r="I143" s="6">
        <v>858036</v>
      </c>
      <c r="J143" s="8">
        <v>0.66069999999999995</v>
      </c>
      <c r="K143" s="6">
        <v>1267902</v>
      </c>
      <c r="L143" s="6">
        <v>856655</v>
      </c>
      <c r="M143" s="8">
        <v>0.67559999999999998</v>
      </c>
      <c r="N143" s="6">
        <f>E143+H143+K143</f>
        <v>3882038</v>
      </c>
      <c r="O143" s="6">
        <f>F143+I143+L143</f>
        <v>2621377</v>
      </c>
      <c r="P143" s="8">
        <f t="shared" si="5"/>
        <v>0.67525794440961162</v>
      </c>
      <c r="Q143" s="6">
        <v>556193</v>
      </c>
      <c r="R143" s="6">
        <v>337732</v>
      </c>
      <c r="S143" s="8">
        <f t="shared" si="4"/>
        <v>0.6072208747682909</v>
      </c>
      <c r="T143" s="6">
        <v>1176232</v>
      </c>
      <c r="U143" s="6">
        <v>716150</v>
      </c>
      <c r="V143" s="8">
        <f>U143/T143</f>
        <v>0.60885097497772545</v>
      </c>
    </row>
    <row r="144" spans="1:22" ht="14" x14ac:dyDescent="0.2">
      <c r="A144" s="1" t="s">
        <v>295</v>
      </c>
      <c r="B144" s="1" t="str">
        <f>VLOOKUP(A144,[60]HardwareList!A:I,3,FALSE)</f>
        <v>一般店</v>
      </c>
      <c r="C144" s="1" t="str">
        <f>VLOOKUP(A144,[60]HardwareList!A:I,4,FALSE)</f>
        <v>V4</v>
      </c>
      <c r="D144" s="1" t="s">
        <v>296</v>
      </c>
      <c r="E144" s="6">
        <v>0</v>
      </c>
      <c r="F144" s="6">
        <v>0</v>
      </c>
      <c r="G144" s="8"/>
      <c r="H144" s="6">
        <v>0</v>
      </c>
      <c r="I144" s="6">
        <v>0</v>
      </c>
      <c r="J144" s="6">
        <v>0</v>
      </c>
      <c r="K144" s="6">
        <v>953939</v>
      </c>
      <c r="L144" s="6">
        <v>526944</v>
      </c>
      <c r="M144" s="8">
        <v>0.5524</v>
      </c>
      <c r="N144" s="6">
        <f>E144+H144+K144</f>
        <v>953939</v>
      </c>
      <c r="O144" s="6">
        <f>F144+I144+L144</f>
        <v>526944</v>
      </c>
      <c r="P144" s="8">
        <f t="shared" si="5"/>
        <v>0.55238752163398286</v>
      </c>
      <c r="Q144" s="6">
        <v>484178</v>
      </c>
      <c r="R144" s="6">
        <v>210994</v>
      </c>
      <c r="S144" s="8">
        <f t="shared" si="4"/>
        <v>0.43577775115763212</v>
      </c>
      <c r="T144" s="6">
        <v>1030802</v>
      </c>
      <c r="U144" s="6">
        <v>446916</v>
      </c>
      <c r="V144" s="8">
        <f>U144/T144</f>
        <v>0.43356144050942858</v>
      </c>
    </row>
    <row r="145" spans="1:22" ht="14" x14ac:dyDescent="0.2">
      <c r="A145" s="1" t="s">
        <v>297</v>
      </c>
      <c r="B145" s="1" t="str">
        <f>VLOOKUP(A145,[60]HardwareList!A:I,3,FALSE)</f>
        <v>數位店</v>
      </c>
      <c r="C145" s="1" t="str">
        <f>VLOOKUP(A145,[60]HardwareList!A:I,4,FALSE)</f>
        <v>V4</v>
      </c>
      <c r="D145" s="1" t="s">
        <v>298</v>
      </c>
      <c r="E145" s="6">
        <v>1168798</v>
      </c>
      <c r="F145" s="6">
        <v>1124340</v>
      </c>
      <c r="G145" s="8">
        <v>0.96199999999999997</v>
      </c>
      <c r="H145" s="6">
        <v>1103703</v>
      </c>
      <c r="I145" s="6">
        <v>1070049</v>
      </c>
      <c r="J145" s="8">
        <v>0.96950000000000003</v>
      </c>
      <c r="K145" s="6">
        <v>855546</v>
      </c>
      <c r="L145" s="6">
        <v>829133</v>
      </c>
      <c r="M145" s="8">
        <v>0.96909999999999996</v>
      </c>
      <c r="N145" s="6">
        <f>E145+H145+K145</f>
        <v>3128047</v>
      </c>
      <c r="O145" s="6">
        <f>F145+I145+L145</f>
        <v>3023522</v>
      </c>
      <c r="P145" s="8">
        <f t="shared" si="5"/>
        <v>0.9665845813697812</v>
      </c>
      <c r="Q145" s="6">
        <v>490828</v>
      </c>
      <c r="R145" s="6">
        <v>470104</v>
      </c>
      <c r="S145" s="8">
        <f t="shared" si="4"/>
        <v>0.95777746990799217</v>
      </c>
      <c r="T145" s="6">
        <v>2152860</v>
      </c>
      <c r="U145" s="6">
        <v>2033444</v>
      </c>
      <c r="V145" s="8">
        <f>U145/T145</f>
        <v>0.94453146047583214</v>
      </c>
    </row>
    <row r="146" spans="1:22" ht="14" x14ac:dyDescent="0.2">
      <c r="A146" s="1" t="s">
        <v>299</v>
      </c>
      <c r="B146" s="1" t="str">
        <f>VLOOKUP(A146,[60]HardwareList!A:I,3,FALSE)</f>
        <v>一般店</v>
      </c>
      <c r="C146" s="1" t="str">
        <f>VLOOKUP(A146,[60]HardwareList!A:I,4,FALSE)</f>
        <v>V4</v>
      </c>
      <c r="D146" s="1" t="s">
        <v>300</v>
      </c>
      <c r="E146" s="6">
        <v>955536</v>
      </c>
      <c r="F146" s="6">
        <v>644107</v>
      </c>
      <c r="G146" s="8">
        <v>0.67410000000000003</v>
      </c>
      <c r="H146" s="6">
        <v>991776</v>
      </c>
      <c r="I146" s="6">
        <v>670331</v>
      </c>
      <c r="J146" s="8">
        <v>0.67589999999999995</v>
      </c>
      <c r="K146" s="6">
        <v>1129984</v>
      </c>
      <c r="L146" s="6">
        <v>769133</v>
      </c>
      <c r="M146" s="8">
        <v>0.68069999999999997</v>
      </c>
      <c r="N146" s="6">
        <f>E146+H146+K146</f>
        <v>3077296</v>
      </c>
      <c r="O146" s="6">
        <f>F146+I146+L146</f>
        <v>2083571</v>
      </c>
      <c r="P146" s="8">
        <f t="shared" si="5"/>
        <v>0.67707851308421418</v>
      </c>
      <c r="Q146" s="6">
        <v>418937</v>
      </c>
      <c r="R146" s="6">
        <v>259670</v>
      </c>
      <c r="S146" s="8">
        <f t="shared" si="4"/>
        <v>0.61983066666348396</v>
      </c>
      <c r="T146" s="6">
        <v>920336</v>
      </c>
      <c r="U146" s="6">
        <v>565970</v>
      </c>
      <c r="V146" s="8">
        <f>U146/T146</f>
        <v>0.61496018845291289</v>
      </c>
    </row>
    <row r="147" spans="1:22" ht="14" x14ac:dyDescent="0.2">
      <c r="A147" s="1" t="s">
        <v>301</v>
      </c>
      <c r="B147" s="1" t="str">
        <f>VLOOKUP(A147,[60]HardwareList!A:I,3,FALSE)</f>
        <v>一般店</v>
      </c>
      <c r="C147" s="1" t="str">
        <f>VLOOKUP(A147,[60]HardwareList!A:I,4,FALSE)</f>
        <v>V4</v>
      </c>
      <c r="D147" s="1" t="s">
        <v>302</v>
      </c>
      <c r="E147" s="6">
        <v>1442182</v>
      </c>
      <c r="F147" s="6">
        <v>864816</v>
      </c>
      <c r="G147" s="8">
        <v>0.59970000000000001</v>
      </c>
      <c r="H147" s="6">
        <v>1307797</v>
      </c>
      <c r="I147" s="6">
        <v>817704</v>
      </c>
      <c r="J147" s="8">
        <v>0.62529999999999997</v>
      </c>
      <c r="K147" s="6">
        <v>1584322</v>
      </c>
      <c r="L147" s="6">
        <v>1030244</v>
      </c>
      <c r="M147" s="8">
        <v>0.65029999999999999</v>
      </c>
      <c r="N147" s="6">
        <f>E147+H147+K147</f>
        <v>4334301</v>
      </c>
      <c r="O147" s="6">
        <f>F147+I147+L147</f>
        <v>2712764</v>
      </c>
      <c r="P147" s="8">
        <f t="shared" si="5"/>
        <v>0.62588269711771283</v>
      </c>
      <c r="Q147" s="6">
        <v>588601</v>
      </c>
      <c r="R147" s="6">
        <v>298748</v>
      </c>
      <c r="S147" s="8">
        <f t="shared" si="4"/>
        <v>0.50755605240222157</v>
      </c>
      <c r="T147" s="6">
        <v>1299574</v>
      </c>
      <c r="U147" s="6">
        <v>656930</v>
      </c>
      <c r="V147" s="8">
        <f>U147/T147</f>
        <v>0.50549641651802824</v>
      </c>
    </row>
    <row r="148" spans="1:22" ht="14" x14ac:dyDescent="0.2">
      <c r="A148" s="1" t="s">
        <v>303</v>
      </c>
      <c r="B148" s="1" t="str">
        <f>VLOOKUP(A148,[60]HardwareList!A:I,3,FALSE)</f>
        <v>一般店</v>
      </c>
      <c r="C148" s="1" t="str">
        <f>VLOOKUP(A148,[60]HardwareList!A:I,4,FALSE)</f>
        <v>V2</v>
      </c>
      <c r="D148" s="1" t="s">
        <v>304</v>
      </c>
      <c r="E148" s="6">
        <v>1378770</v>
      </c>
      <c r="F148" s="6">
        <v>810751</v>
      </c>
      <c r="G148" s="8">
        <v>0.58799999999999997</v>
      </c>
      <c r="H148" s="6">
        <v>1330669</v>
      </c>
      <c r="I148" s="6">
        <v>787041</v>
      </c>
      <c r="J148" s="8">
        <v>0.59150000000000003</v>
      </c>
      <c r="K148" s="6">
        <v>1557275</v>
      </c>
      <c r="L148" s="6">
        <v>936329</v>
      </c>
      <c r="M148" s="8">
        <v>0.60129999999999995</v>
      </c>
      <c r="N148" s="6">
        <f>E148+H148+K148</f>
        <v>4266714</v>
      </c>
      <c r="O148" s="6">
        <f>F148+I148+L148</f>
        <v>2534121</v>
      </c>
      <c r="P148" s="8">
        <f t="shared" si="5"/>
        <v>0.59392802048602278</v>
      </c>
      <c r="Q148" s="6">
        <v>571239</v>
      </c>
      <c r="R148" s="6">
        <v>285908</v>
      </c>
      <c r="S148" s="8">
        <f t="shared" si="4"/>
        <v>0.50050504254786521</v>
      </c>
      <c r="T148" s="6">
        <v>1279220</v>
      </c>
      <c r="U148" s="6">
        <v>634330</v>
      </c>
      <c r="V148" s="8">
        <f>U148/T148</f>
        <v>0.49587248479542223</v>
      </c>
    </row>
    <row r="149" spans="1:22" ht="14" x14ac:dyDescent="0.2">
      <c r="A149" s="1" t="s">
        <v>305</v>
      </c>
      <c r="B149" s="1" t="str">
        <f>VLOOKUP(A149,[60]HardwareList!A:I,3,FALSE)</f>
        <v>數位店</v>
      </c>
      <c r="C149" s="1" t="str">
        <f>VLOOKUP(A149,[60]HardwareList!A:I,4,FALSE)</f>
        <v>V4</v>
      </c>
      <c r="D149" s="1" t="s">
        <v>306</v>
      </c>
      <c r="E149" s="6">
        <v>1450501</v>
      </c>
      <c r="F149" s="6">
        <v>1424146</v>
      </c>
      <c r="G149" s="8">
        <v>0.98180000000000001</v>
      </c>
      <c r="H149" s="6">
        <v>1437752</v>
      </c>
      <c r="I149" s="6">
        <v>1410355</v>
      </c>
      <c r="J149" s="8">
        <v>0.98089999999999999</v>
      </c>
      <c r="K149" s="6">
        <v>1520394</v>
      </c>
      <c r="L149" s="6">
        <v>1488173</v>
      </c>
      <c r="M149" s="8">
        <v>0.9788</v>
      </c>
      <c r="N149" s="6">
        <f>E149+H149+K149</f>
        <v>4408647</v>
      </c>
      <c r="O149" s="6">
        <f>F149+I149+L149</f>
        <v>4322674</v>
      </c>
      <c r="P149" s="8">
        <f t="shared" si="5"/>
        <v>0.9804990057040176</v>
      </c>
      <c r="Q149" s="6">
        <v>581417</v>
      </c>
      <c r="R149" s="6">
        <v>551214</v>
      </c>
      <c r="S149" s="8">
        <f t="shared" si="4"/>
        <v>0.94805277451467707</v>
      </c>
      <c r="T149" s="6">
        <v>2448892</v>
      </c>
      <c r="U149" s="6">
        <v>2331688</v>
      </c>
      <c r="V149" s="8">
        <f>U149/T149</f>
        <v>0.95213998820691148</v>
      </c>
    </row>
    <row r="150" spans="1:22" ht="14" x14ac:dyDescent="0.2">
      <c r="A150" s="1" t="s">
        <v>307</v>
      </c>
      <c r="B150" s="1" t="str">
        <f>VLOOKUP(A150,[60]HardwareList!A:I,3,FALSE)</f>
        <v>數位店</v>
      </c>
      <c r="C150" s="1" t="str">
        <f>VLOOKUP(A150,[60]HardwareList!A:I,4,FALSE)</f>
        <v>V4</v>
      </c>
      <c r="D150" s="1" t="s">
        <v>308</v>
      </c>
      <c r="E150" s="6">
        <v>1309117</v>
      </c>
      <c r="F150" s="6">
        <v>1279797</v>
      </c>
      <c r="G150" s="8">
        <v>0.97760000000000002</v>
      </c>
      <c r="H150" s="6">
        <v>1375606</v>
      </c>
      <c r="I150" s="6">
        <v>1358937</v>
      </c>
      <c r="J150" s="8">
        <v>0.9879</v>
      </c>
      <c r="K150" s="6">
        <v>1512471</v>
      </c>
      <c r="L150" s="6">
        <v>1494012</v>
      </c>
      <c r="M150" s="8">
        <v>0.98780000000000001</v>
      </c>
      <c r="N150" s="6">
        <f>E150+H150+K150</f>
        <v>4197194</v>
      </c>
      <c r="O150" s="6">
        <f>F150+I150+L150</f>
        <v>4132746</v>
      </c>
      <c r="P150" s="8">
        <f t="shared" si="5"/>
        <v>0.98464497947914731</v>
      </c>
      <c r="Q150" s="6">
        <v>640500</v>
      </c>
      <c r="R150" s="6">
        <v>623101</v>
      </c>
      <c r="S150" s="8">
        <f t="shared" si="4"/>
        <v>0.97283528493364557</v>
      </c>
      <c r="T150" s="6">
        <v>2036706</v>
      </c>
      <c r="U150" s="6">
        <v>1983414</v>
      </c>
      <c r="V150" s="8">
        <f>U150/T150</f>
        <v>0.97383422055024138</v>
      </c>
    </row>
    <row r="151" spans="1:22" ht="14" x14ac:dyDescent="0.2">
      <c r="A151" s="1" t="s">
        <v>309</v>
      </c>
      <c r="B151" s="1" t="str">
        <f>VLOOKUP(A151,[60]HardwareList!A:I,3,FALSE)</f>
        <v>一般店</v>
      </c>
      <c r="C151" s="1" t="str">
        <f>VLOOKUP(A151,[60]HardwareList!A:I,4,FALSE)</f>
        <v>V2</v>
      </c>
      <c r="D151" s="1" t="s">
        <v>310</v>
      </c>
      <c r="E151" s="6">
        <v>1024843</v>
      </c>
      <c r="F151" s="6">
        <v>647255</v>
      </c>
      <c r="G151" s="8">
        <v>0.63160000000000005</v>
      </c>
      <c r="H151" s="6">
        <v>1030447</v>
      </c>
      <c r="I151" s="6">
        <v>659397</v>
      </c>
      <c r="J151" s="8">
        <v>0.63990000000000002</v>
      </c>
      <c r="K151" s="6">
        <v>972643</v>
      </c>
      <c r="L151" s="6">
        <v>637591</v>
      </c>
      <c r="M151" s="8">
        <v>0.65549999999999997</v>
      </c>
      <c r="N151" s="6">
        <f>E151+H151+K151</f>
        <v>3027933</v>
      </c>
      <c r="O151" s="6">
        <f>F151+I151+L151</f>
        <v>1944243</v>
      </c>
      <c r="P151" s="8">
        <f t="shared" si="5"/>
        <v>0.64210238469609471</v>
      </c>
      <c r="Q151" s="6">
        <v>387905</v>
      </c>
      <c r="R151" s="6">
        <v>228673</v>
      </c>
      <c r="S151" s="8">
        <f t="shared" si="4"/>
        <v>0.58950774029723774</v>
      </c>
      <c r="T151" s="6">
        <v>838708</v>
      </c>
      <c r="U151" s="6">
        <v>496820</v>
      </c>
      <c r="V151" s="8">
        <f>U151/T151</f>
        <v>0.59236349241929254</v>
      </c>
    </row>
    <row r="152" spans="1:22" ht="14" x14ac:dyDescent="0.2">
      <c r="A152" s="1" t="s">
        <v>311</v>
      </c>
      <c r="B152" s="1" t="str">
        <f>VLOOKUP(A152,[60]HardwareList!A:I,3,FALSE)</f>
        <v>一般店</v>
      </c>
      <c r="C152" s="1" t="str">
        <f>VLOOKUP(A152,[60]HardwareList!A:I,4,FALSE)</f>
        <v>V3</v>
      </c>
      <c r="D152" s="1" t="s">
        <v>312</v>
      </c>
      <c r="E152" s="6">
        <v>1145381</v>
      </c>
      <c r="F152" s="6">
        <v>790452</v>
      </c>
      <c r="G152" s="8">
        <v>0.69010000000000005</v>
      </c>
      <c r="H152" s="6">
        <v>1145874</v>
      </c>
      <c r="I152" s="6">
        <v>804396</v>
      </c>
      <c r="J152" s="8">
        <v>0.70199999999999996</v>
      </c>
      <c r="K152" s="6">
        <v>1310414</v>
      </c>
      <c r="L152" s="6">
        <v>937424</v>
      </c>
      <c r="M152" s="8">
        <v>0.71540000000000004</v>
      </c>
      <c r="N152" s="6">
        <f>E152+H152+K152</f>
        <v>3601669</v>
      </c>
      <c r="O152" s="6">
        <f>F152+I152+L152</f>
        <v>2532272</v>
      </c>
      <c r="P152" s="8">
        <f t="shared" si="5"/>
        <v>0.70308293182966008</v>
      </c>
      <c r="Q152" s="6">
        <v>512861</v>
      </c>
      <c r="R152" s="6">
        <v>343040</v>
      </c>
      <c r="S152" s="8">
        <f t="shared" si="4"/>
        <v>0.66887519230356762</v>
      </c>
      <c r="T152" s="6">
        <v>1099106</v>
      </c>
      <c r="U152" s="6">
        <v>733602</v>
      </c>
      <c r="V152" s="8">
        <f>U152/T152</f>
        <v>0.66745336664525534</v>
      </c>
    </row>
    <row r="153" spans="1:22" ht="14" x14ac:dyDescent="0.2">
      <c r="A153" s="1" t="s">
        <v>313</v>
      </c>
      <c r="B153" s="1" t="str">
        <f>VLOOKUP(A153,[60]HardwareList!A:I,3,FALSE)</f>
        <v>一般店</v>
      </c>
      <c r="C153" s="1" t="str">
        <f>VLOOKUP(A153,[60]HardwareList!A:I,4,FALSE)</f>
        <v>V3</v>
      </c>
      <c r="D153" s="1" t="s">
        <v>314</v>
      </c>
      <c r="E153" s="6">
        <v>1185266</v>
      </c>
      <c r="F153" s="6">
        <v>713771</v>
      </c>
      <c r="G153" s="8">
        <v>0.60219999999999996</v>
      </c>
      <c r="H153" s="6">
        <v>1196847</v>
      </c>
      <c r="I153" s="6">
        <v>707250</v>
      </c>
      <c r="J153" s="8">
        <v>0.59089999999999998</v>
      </c>
      <c r="K153" s="6">
        <v>1230914</v>
      </c>
      <c r="L153" s="6">
        <v>751922</v>
      </c>
      <c r="M153" s="8">
        <v>0.6109</v>
      </c>
      <c r="N153" s="6">
        <f>E153+H153+K153</f>
        <v>3613027</v>
      </c>
      <c r="O153" s="6">
        <f>F153+I153+L153</f>
        <v>2172943</v>
      </c>
      <c r="P153" s="8">
        <f t="shared" si="5"/>
        <v>0.60141897638738928</v>
      </c>
      <c r="Q153" s="6">
        <v>505052</v>
      </c>
      <c r="R153" s="6">
        <v>307553</v>
      </c>
      <c r="S153" s="8">
        <f t="shared" si="4"/>
        <v>0.60895313749871305</v>
      </c>
      <c r="T153" s="6">
        <v>1070542</v>
      </c>
      <c r="U153" s="6">
        <v>649666</v>
      </c>
      <c r="V153" s="8">
        <f>U153/T153</f>
        <v>0.60685708734454136</v>
      </c>
    </row>
    <row r="154" spans="1:22" ht="14" x14ac:dyDescent="0.2">
      <c r="A154" s="1" t="s">
        <v>315</v>
      </c>
      <c r="B154" s="1" t="str">
        <f>VLOOKUP(A154,[60]HardwareList!A:I,3,FALSE)</f>
        <v>一般店</v>
      </c>
      <c r="C154" s="1" t="str">
        <f>VLOOKUP(A154,[60]HardwareList!A:I,4,FALSE)</f>
        <v>V3</v>
      </c>
      <c r="D154" s="1" t="s">
        <v>316</v>
      </c>
      <c r="E154" s="6">
        <v>1042536</v>
      </c>
      <c r="F154" s="6">
        <v>694286</v>
      </c>
      <c r="G154" s="8">
        <v>0.66600000000000004</v>
      </c>
      <c r="H154" s="6">
        <v>961672</v>
      </c>
      <c r="I154" s="6">
        <v>640621</v>
      </c>
      <c r="J154" s="8">
        <v>0.66620000000000001</v>
      </c>
      <c r="K154" s="6">
        <v>1012724</v>
      </c>
      <c r="L154" s="6">
        <v>684108</v>
      </c>
      <c r="M154" s="8">
        <v>0.67549999999999999</v>
      </c>
      <c r="N154" s="6">
        <f>E154+H154+K154</f>
        <v>3016932</v>
      </c>
      <c r="O154" s="6">
        <f>F154+I154+L154</f>
        <v>2019015</v>
      </c>
      <c r="P154" s="8">
        <f t="shared" si="5"/>
        <v>0.66922787785737303</v>
      </c>
      <c r="Q154" s="6">
        <v>443421</v>
      </c>
      <c r="R154" s="6">
        <v>266713</v>
      </c>
      <c r="S154" s="8">
        <f t="shared" si="4"/>
        <v>0.60148932955362966</v>
      </c>
      <c r="T154" s="6">
        <v>955198</v>
      </c>
      <c r="U154" s="6">
        <v>574332</v>
      </c>
      <c r="V154" s="8">
        <f>U154/T154</f>
        <v>0.60127010316185758</v>
      </c>
    </row>
    <row r="155" spans="1:22" ht="14" x14ac:dyDescent="0.2">
      <c r="A155" s="1" t="s">
        <v>317</v>
      </c>
      <c r="B155" s="1" t="str">
        <f>VLOOKUP(A155,[60]HardwareList!A:I,3,FALSE)</f>
        <v>一般店</v>
      </c>
      <c r="C155" s="1" t="str">
        <f>VLOOKUP(A155,[60]HardwareList!A:I,4,FALSE)</f>
        <v>V3</v>
      </c>
      <c r="D155" s="1" t="s">
        <v>318</v>
      </c>
      <c r="E155" s="6">
        <v>1102251</v>
      </c>
      <c r="F155" s="6">
        <v>692166</v>
      </c>
      <c r="G155" s="8">
        <v>0.628</v>
      </c>
      <c r="H155" s="6">
        <v>1042173</v>
      </c>
      <c r="I155" s="6">
        <v>644046</v>
      </c>
      <c r="J155" s="8">
        <v>0.61799999999999999</v>
      </c>
      <c r="K155" s="6">
        <v>893455</v>
      </c>
      <c r="L155" s="6">
        <v>567142</v>
      </c>
      <c r="M155" s="8">
        <v>0.63480000000000003</v>
      </c>
      <c r="N155" s="6">
        <f>E155+H155+K155</f>
        <v>3037879</v>
      </c>
      <c r="O155" s="6">
        <f>F155+I155+L155</f>
        <v>1903354</v>
      </c>
      <c r="P155" s="8">
        <f t="shared" si="5"/>
        <v>0.62654042507947161</v>
      </c>
      <c r="Q155" s="6">
        <v>445211</v>
      </c>
      <c r="R155" s="6">
        <v>258349</v>
      </c>
      <c r="S155" s="8">
        <f t="shared" si="4"/>
        <v>0.58028440447338459</v>
      </c>
      <c r="T155" s="6">
        <v>941332</v>
      </c>
      <c r="U155" s="6">
        <v>550792</v>
      </c>
      <c r="V155" s="8">
        <f>U155/T155</f>
        <v>0.58511980895157079</v>
      </c>
    </row>
    <row r="156" spans="1:22" ht="14" x14ac:dyDescent="0.2">
      <c r="A156" s="1" t="s">
        <v>319</v>
      </c>
      <c r="B156" s="1" t="str">
        <f>VLOOKUP(A156,[60]HardwareList!A:I,3,FALSE)</f>
        <v>一般店</v>
      </c>
      <c r="C156" s="1" t="str">
        <f>VLOOKUP(A156,[60]HardwareList!A:I,4,FALSE)</f>
        <v>V3</v>
      </c>
      <c r="D156" s="1" t="s">
        <v>320</v>
      </c>
      <c r="E156" s="6">
        <v>1215799</v>
      </c>
      <c r="F156" s="6">
        <v>710319</v>
      </c>
      <c r="G156" s="8">
        <v>0.58420000000000005</v>
      </c>
      <c r="H156" s="6">
        <v>1688170</v>
      </c>
      <c r="I156" s="6">
        <v>958182</v>
      </c>
      <c r="J156" s="8">
        <v>0.56759999999999999</v>
      </c>
      <c r="K156" s="6">
        <v>1555278</v>
      </c>
      <c r="L156" s="6">
        <v>891651</v>
      </c>
      <c r="M156" s="8">
        <v>0.57330000000000003</v>
      </c>
      <c r="N156" s="6">
        <f>E156+H156+K156</f>
        <v>4459247</v>
      </c>
      <c r="O156" s="6">
        <f>F156+I156+L156</f>
        <v>2560152</v>
      </c>
      <c r="P156" s="8">
        <f t="shared" si="5"/>
        <v>0.57412204347505302</v>
      </c>
      <c r="Q156" s="6">
        <v>719849</v>
      </c>
      <c r="R156" s="6">
        <v>368160</v>
      </c>
      <c r="S156" s="8">
        <f t="shared" si="4"/>
        <v>0.51144059379119788</v>
      </c>
      <c r="T156" s="6">
        <v>1510740</v>
      </c>
      <c r="U156" s="6">
        <v>774306</v>
      </c>
      <c r="V156" s="8">
        <f>U156/T156</f>
        <v>0.5125342547360896</v>
      </c>
    </row>
    <row r="157" spans="1:22" ht="14" x14ac:dyDescent="0.2">
      <c r="A157" s="1" t="s">
        <v>321</v>
      </c>
      <c r="B157" s="1" t="str">
        <f>VLOOKUP(A157,[60]HardwareList!A:I,3,FALSE)</f>
        <v>一般店</v>
      </c>
      <c r="C157" s="1" t="str">
        <f>VLOOKUP(A157,[60]HardwareList!A:I,4,FALSE)</f>
        <v>V4</v>
      </c>
      <c r="D157" s="1" t="s">
        <v>322</v>
      </c>
      <c r="E157" s="6">
        <v>858205</v>
      </c>
      <c r="F157" s="6">
        <v>586150</v>
      </c>
      <c r="G157" s="8">
        <v>0.68300000000000005</v>
      </c>
      <c r="H157" s="6">
        <v>868825</v>
      </c>
      <c r="I157" s="6">
        <v>590115</v>
      </c>
      <c r="J157" s="8">
        <v>0.67920000000000003</v>
      </c>
      <c r="K157" s="6">
        <v>1020257</v>
      </c>
      <c r="L157" s="6">
        <v>703254</v>
      </c>
      <c r="M157" s="8">
        <v>0.68930000000000002</v>
      </c>
      <c r="N157" s="6">
        <f>E157+H157+K157</f>
        <v>2747287</v>
      </c>
      <c r="O157" s="6">
        <f>F157+I157+L157</f>
        <v>1879519</v>
      </c>
      <c r="P157" s="8">
        <f t="shared" si="5"/>
        <v>0.68413638618753703</v>
      </c>
      <c r="Q157" s="6">
        <v>431785</v>
      </c>
      <c r="R157" s="6">
        <v>272867</v>
      </c>
      <c r="S157" s="8">
        <f t="shared" si="4"/>
        <v>0.63195108676772005</v>
      </c>
      <c r="T157" s="6">
        <v>936342</v>
      </c>
      <c r="U157" s="6">
        <v>587508</v>
      </c>
      <c r="V157" s="8">
        <f>U157/T157</f>
        <v>0.62745022651979721</v>
      </c>
    </row>
    <row r="158" spans="1:22" ht="14" x14ac:dyDescent="0.2">
      <c r="A158" s="1" t="s">
        <v>323</v>
      </c>
      <c r="B158" s="1" t="str">
        <f>VLOOKUP(A158,[60]HardwareList!A:I,3,FALSE)</f>
        <v>數位店</v>
      </c>
      <c r="C158" s="1" t="str">
        <f>VLOOKUP(A158,[60]HardwareList!A:I,4,FALSE)</f>
        <v>V4</v>
      </c>
      <c r="D158" s="1" t="s">
        <v>324</v>
      </c>
      <c r="E158" s="6">
        <v>1641407</v>
      </c>
      <c r="F158" s="6">
        <v>1601993</v>
      </c>
      <c r="G158" s="8">
        <v>0.97599999999999998</v>
      </c>
      <c r="H158" s="6">
        <v>1546335</v>
      </c>
      <c r="I158" s="6">
        <v>1507435</v>
      </c>
      <c r="J158" s="8">
        <v>0.9748</v>
      </c>
      <c r="K158" s="6">
        <v>1369478</v>
      </c>
      <c r="L158" s="6">
        <v>1332969</v>
      </c>
      <c r="M158" s="8">
        <v>0.97330000000000005</v>
      </c>
      <c r="N158" s="6">
        <f>E158+H158+K158</f>
        <v>4557220</v>
      </c>
      <c r="O158" s="6">
        <f>F158+I158+L158</f>
        <v>4442397</v>
      </c>
      <c r="P158" s="8">
        <f t="shared" si="5"/>
        <v>0.9748041569202277</v>
      </c>
      <c r="Q158" s="6">
        <v>670058</v>
      </c>
      <c r="R158" s="6">
        <v>643239</v>
      </c>
      <c r="S158" s="8">
        <f t="shared" si="4"/>
        <v>0.95997510663256014</v>
      </c>
      <c r="T158" s="6">
        <v>2912968</v>
      </c>
      <c r="U158" s="6">
        <v>2785700</v>
      </c>
      <c r="V158" s="8">
        <f>U158/T158</f>
        <v>0.95630985304335647</v>
      </c>
    </row>
    <row r="159" spans="1:22" ht="14" x14ac:dyDescent="0.2">
      <c r="A159" s="1" t="s">
        <v>325</v>
      </c>
      <c r="B159" s="1" t="str">
        <f>VLOOKUP(A159,[60]HardwareList!A:I,3,FALSE)</f>
        <v>數位店</v>
      </c>
      <c r="C159" s="1" t="str">
        <f>VLOOKUP(A159,[60]HardwareList!A:I,4,FALSE)</f>
        <v>V4</v>
      </c>
      <c r="D159" s="1" t="s">
        <v>326</v>
      </c>
      <c r="E159" s="6">
        <v>1483624</v>
      </c>
      <c r="F159" s="6">
        <v>1454230</v>
      </c>
      <c r="G159" s="8">
        <v>0.98019999999999996</v>
      </c>
      <c r="H159" s="6">
        <v>1408825</v>
      </c>
      <c r="I159" s="6">
        <v>1391542</v>
      </c>
      <c r="J159" s="8">
        <v>0.98770000000000002</v>
      </c>
      <c r="K159" s="6">
        <v>1506746</v>
      </c>
      <c r="L159" s="6">
        <v>1481285</v>
      </c>
      <c r="M159" s="8">
        <v>0.98309999999999997</v>
      </c>
      <c r="N159" s="6">
        <f>E159+H159+K159</f>
        <v>4399195</v>
      </c>
      <c r="O159" s="6">
        <f>F159+I159+L159</f>
        <v>4327057</v>
      </c>
      <c r="P159" s="8">
        <f t="shared" si="5"/>
        <v>0.98360199991134745</v>
      </c>
      <c r="Q159" s="6">
        <v>639662</v>
      </c>
      <c r="R159" s="6">
        <v>620152</v>
      </c>
      <c r="S159" s="8">
        <f t="shared" si="4"/>
        <v>0.9694995169323799</v>
      </c>
      <c r="T159" s="6">
        <v>2808356</v>
      </c>
      <c r="U159" s="6">
        <v>2714072</v>
      </c>
      <c r="V159" s="8">
        <f>U159/T159</f>
        <v>0.96642733328680552</v>
      </c>
    </row>
    <row r="160" spans="1:22" ht="14" x14ac:dyDescent="0.2">
      <c r="A160" s="1" t="s">
        <v>327</v>
      </c>
      <c r="B160" s="1" t="str">
        <f>VLOOKUP(A160,[60]HardwareList!A:I,3,FALSE)</f>
        <v>一般店</v>
      </c>
      <c r="C160" s="1" t="str">
        <f>VLOOKUP(A160,[60]HardwareList!A:I,4,FALSE)</f>
        <v>V2</v>
      </c>
      <c r="D160" s="1" t="s">
        <v>328</v>
      </c>
      <c r="E160" s="6">
        <v>643052</v>
      </c>
      <c r="F160" s="6">
        <v>428484</v>
      </c>
      <c r="G160" s="8">
        <v>0.6663</v>
      </c>
      <c r="H160" s="6">
        <v>617165</v>
      </c>
      <c r="I160" s="6">
        <v>417156</v>
      </c>
      <c r="J160" s="8">
        <v>0.67589999999999995</v>
      </c>
      <c r="K160" s="6">
        <v>729262</v>
      </c>
      <c r="L160" s="6">
        <v>490125</v>
      </c>
      <c r="M160" s="8">
        <v>0.67210000000000003</v>
      </c>
      <c r="N160" s="6">
        <f>E160+H160+K160</f>
        <v>1989479</v>
      </c>
      <c r="O160" s="6">
        <f>F160+I160+L160</f>
        <v>1335765</v>
      </c>
      <c r="P160" s="8">
        <f t="shared" si="5"/>
        <v>0.67141447585021008</v>
      </c>
      <c r="Q160" s="6">
        <v>249285</v>
      </c>
      <c r="R160" s="6">
        <v>160796</v>
      </c>
      <c r="S160" s="8">
        <f t="shared" si="4"/>
        <v>0.64502878231742788</v>
      </c>
      <c r="T160" s="6">
        <v>269420</v>
      </c>
      <c r="U160" s="6">
        <v>171797</v>
      </c>
      <c r="V160" s="8">
        <f>U160/T160</f>
        <v>0.63765496251206299</v>
      </c>
    </row>
    <row r="161" spans="1:22" ht="14" x14ac:dyDescent="0.2">
      <c r="A161" s="1" t="s">
        <v>329</v>
      </c>
      <c r="B161" s="1" t="str">
        <f>VLOOKUP(A161,[60]HardwareList!A:I,3,FALSE)</f>
        <v>數位店</v>
      </c>
      <c r="C161" s="1" t="str">
        <f>VLOOKUP(A161,[60]HardwareList!A:I,4,FALSE)</f>
        <v>V4</v>
      </c>
      <c r="D161" s="1" t="s">
        <v>330</v>
      </c>
      <c r="E161" s="6">
        <v>1294709</v>
      </c>
      <c r="F161" s="6">
        <v>1264409</v>
      </c>
      <c r="G161" s="8">
        <v>0.97660000000000002</v>
      </c>
      <c r="H161" s="6">
        <v>1323429</v>
      </c>
      <c r="I161" s="6">
        <v>1291815</v>
      </c>
      <c r="J161" s="8">
        <v>0.97609999999999997</v>
      </c>
      <c r="K161" s="6">
        <v>1261546</v>
      </c>
      <c r="L161" s="6">
        <v>1237626</v>
      </c>
      <c r="M161" s="8">
        <v>0.98099999999999998</v>
      </c>
      <c r="N161" s="6">
        <f>E161+H161+K161</f>
        <v>3879684</v>
      </c>
      <c r="O161" s="6">
        <f>F161+I161+L161</f>
        <v>3793850</v>
      </c>
      <c r="P161" s="8">
        <f t="shared" si="5"/>
        <v>0.97787603320270411</v>
      </c>
      <c r="Q161" s="6">
        <v>542147</v>
      </c>
      <c r="R161" s="6">
        <v>520103</v>
      </c>
      <c r="S161" s="8">
        <f t="shared" si="4"/>
        <v>0.95933944114788061</v>
      </c>
      <c r="T161" s="6">
        <v>2313564</v>
      </c>
      <c r="U161" s="6">
        <v>2225444</v>
      </c>
      <c r="V161" s="8">
        <f>U161/T161</f>
        <v>0.96191157884545231</v>
      </c>
    </row>
    <row r="162" spans="1:22" ht="14" x14ac:dyDescent="0.2">
      <c r="A162" s="1" t="s">
        <v>331</v>
      </c>
      <c r="B162" s="1" t="str">
        <f>VLOOKUP(A162,[60]HardwareList!A:I,3,FALSE)</f>
        <v>一般店</v>
      </c>
      <c r="C162" s="1" t="str">
        <f>VLOOKUP(A162,[60]HardwareList!A:I,4,FALSE)</f>
        <v>V4</v>
      </c>
      <c r="D162" s="1" t="s">
        <v>332</v>
      </c>
      <c r="E162" s="6">
        <v>778094</v>
      </c>
      <c r="F162" s="6">
        <v>482958</v>
      </c>
      <c r="G162" s="8">
        <v>0.62070000000000003</v>
      </c>
      <c r="H162" s="6">
        <v>897269</v>
      </c>
      <c r="I162" s="6">
        <v>576814</v>
      </c>
      <c r="J162" s="8">
        <v>0.64290000000000003</v>
      </c>
      <c r="K162" s="6">
        <v>998791</v>
      </c>
      <c r="L162" s="6">
        <v>654604</v>
      </c>
      <c r="M162" s="8">
        <v>0.65539999999999998</v>
      </c>
      <c r="N162" s="6">
        <f>E162+H162+K162</f>
        <v>2674154</v>
      </c>
      <c r="O162" s="6">
        <f>F162+I162+L162</f>
        <v>1714376</v>
      </c>
      <c r="P162" s="8">
        <f t="shared" si="5"/>
        <v>0.64109097680986216</v>
      </c>
      <c r="Q162" s="6">
        <v>443586</v>
      </c>
      <c r="R162" s="6">
        <v>286115</v>
      </c>
      <c r="S162" s="8">
        <f t="shared" si="4"/>
        <v>0.64500457633919916</v>
      </c>
      <c r="T162" s="6">
        <v>953182</v>
      </c>
      <c r="U162" s="6">
        <v>619714</v>
      </c>
      <c r="V162" s="8">
        <f>U162/T162</f>
        <v>0.65015285643245468</v>
      </c>
    </row>
    <row r="163" spans="1:22" ht="14" x14ac:dyDescent="0.2">
      <c r="A163" s="1" t="s">
        <v>333</v>
      </c>
      <c r="B163" s="1" t="str">
        <f>VLOOKUP(A163,[60]HardwareList!A:I,3,FALSE)</f>
        <v>一般店</v>
      </c>
      <c r="C163" s="1" t="str">
        <f>VLOOKUP(A163,[60]HardwareList!A:I,4,FALSE)</f>
        <v>V3</v>
      </c>
      <c r="D163" s="1" t="s">
        <v>334</v>
      </c>
      <c r="E163" s="6">
        <v>1110589</v>
      </c>
      <c r="F163" s="6">
        <v>668375</v>
      </c>
      <c r="G163" s="8">
        <v>0.6018</v>
      </c>
      <c r="H163" s="6">
        <v>1071001</v>
      </c>
      <c r="I163" s="6">
        <v>654580</v>
      </c>
      <c r="J163" s="8">
        <v>0.61119999999999997</v>
      </c>
      <c r="K163" s="6">
        <v>1164851</v>
      </c>
      <c r="L163" s="6">
        <v>732067</v>
      </c>
      <c r="M163" s="8">
        <v>0.62849999999999995</v>
      </c>
      <c r="N163" s="6">
        <f>E163+H163+K163</f>
        <v>3346441</v>
      </c>
      <c r="O163" s="6">
        <f>F163+I163+L163</f>
        <v>2055022</v>
      </c>
      <c r="P163" s="8">
        <f t="shared" si="5"/>
        <v>0.61409180678816688</v>
      </c>
      <c r="Q163" s="6">
        <v>466700</v>
      </c>
      <c r="R163" s="6">
        <v>259507</v>
      </c>
      <c r="S163" s="8">
        <f t="shared" si="4"/>
        <v>0.55604671094921787</v>
      </c>
      <c r="T163" s="6">
        <v>1011462</v>
      </c>
      <c r="U163" s="6">
        <v>570290</v>
      </c>
      <c r="V163" s="8">
        <f>U163/T163</f>
        <v>0.56382741022401239</v>
      </c>
    </row>
    <row r="164" spans="1:22" ht="14" x14ac:dyDescent="0.2">
      <c r="A164" s="1" t="s">
        <v>335</v>
      </c>
      <c r="B164" s="1" t="str">
        <f>VLOOKUP(A164,[60]HardwareList!A:I,3,FALSE)</f>
        <v>一般店</v>
      </c>
      <c r="C164" s="1" t="str">
        <f>VLOOKUP(A164,[60]HardwareList!A:I,4,FALSE)</f>
        <v>V3</v>
      </c>
      <c r="D164" s="1" t="s">
        <v>336</v>
      </c>
      <c r="E164" s="6">
        <v>1032409</v>
      </c>
      <c r="F164" s="6">
        <v>656640</v>
      </c>
      <c r="G164" s="8">
        <v>0.63600000000000001</v>
      </c>
      <c r="H164" s="6">
        <v>1102546</v>
      </c>
      <c r="I164" s="6">
        <v>669939</v>
      </c>
      <c r="J164" s="8">
        <v>0.60760000000000003</v>
      </c>
      <c r="K164" s="6">
        <v>1361890</v>
      </c>
      <c r="L164" s="6">
        <v>835968</v>
      </c>
      <c r="M164" s="8">
        <v>0.61380000000000001</v>
      </c>
      <c r="N164" s="6">
        <f>E164+H164+K164</f>
        <v>3496845</v>
      </c>
      <c r="O164" s="6">
        <f>F164+I164+L164</f>
        <v>2162547</v>
      </c>
      <c r="P164" s="8">
        <f t="shared" si="5"/>
        <v>0.6184280401333202</v>
      </c>
      <c r="Q164" s="6">
        <v>534712</v>
      </c>
      <c r="R164" s="6">
        <v>311894</v>
      </c>
      <c r="S164" s="8">
        <f t="shared" si="4"/>
        <v>0.58329343646673348</v>
      </c>
      <c r="T164" s="6">
        <v>1108536</v>
      </c>
      <c r="U164" s="6">
        <v>649660</v>
      </c>
      <c r="V164" s="8">
        <f>U164/T164</f>
        <v>0.58605223465904577</v>
      </c>
    </row>
    <row r="165" spans="1:22" ht="14" x14ac:dyDescent="0.2">
      <c r="A165" s="1" t="s">
        <v>337</v>
      </c>
      <c r="B165" s="1" t="str">
        <f>VLOOKUP(A165,[60]HardwareList!A:I,3,FALSE)</f>
        <v>一般店</v>
      </c>
      <c r="C165" s="1" t="str">
        <f>VLOOKUP(A165,[60]HardwareList!A:I,4,FALSE)</f>
        <v>V3</v>
      </c>
      <c r="D165" s="1" t="s">
        <v>338</v>
      </c>
      <c r="E165" s="6">
        <v>1178654</v>
      </c>
      <c r="F165" s="6">
        <v>668144</v>
      </c>
      <c r="G165" s="8">
        <v>0.56689999999999996</v>
      </c>
      <c r="H165" s="6">
        <v>1190148</v>
      </c>
      <c r="I165" s="6">
        <v>688008</v>
      </c>
      <c r="J165" s="8">
        <v>0.57809999999999995</v>
      </c>
      <c r="K165" s="6">
        <v>1245851</v>
      </c>
      <c r="L165" s="6">
        <v>738590</v>
      </c>
      <c r="M165" s="8">
        <v>0.59279999999999999</v>
      </c>
      <c r="N165" s="6">
        <f>E165+H165+K165</f>
        <v>3614653</v>
      </c>
      <c r="O165" s="6">
        <f>F165+I165+L165</f>
        <v>2094742</v>
      </c>
      <c r="P165" s="8">
        <f t="shared" si="5"/>
        <v>0.57951399484265853</v>
      </c>
      <c r="Q165" s="6">
        <v>490304</v>
      </c>
      <c r="R165" s="6">
        <v>272578</v>
      </c>
      <c r="S165" s="8">
        <f t="shared" si="4"/>
        <v>0.55593672497063051</v>
      </c>
      <c r="T165" s="6">
        <v>1056188</v>
      </c>
      <c r="U165" s="6">
        <v>578618</v>
      </c>
      <c r="V165" s="8">
        <f>U165/T165</f>
        <v>0.54783618067995465</v>
      </c>
    </row>
    <row r="166" spans="1:22" ht="14" x14ac:dyDescent="0.2">
      <c r="A166" s="1" t="s">
        <v>339</v>
      </c>
      <c r="B166" s="1" t="str">
        <f>VLOOKUP(A166,[60]HardwareList!A:I,3,FALSE)</f>
        <v>數位店</v>
      </c>
      <c r="C166" s="1" t="str">
        <f>VLOOKUP(A166,[60]HardwareList!A:I,4,FALSE)</f>
        <v>V4</v>
      </c>
      <c r="D166" s="1" t="s">
        <v>340</v>
      </c>
      <c r="E166" s="6">
        <v>1801952</v>
      </c>
      <c r="F166" s="6">
        <v>1752032</v>
      </c>
      <c r="G166" s="8">
        <v>0.97230000000000005</v>
      </c>
      <c r="H166" s="6">
        <v>1744468</v>
      </c>
      <c r="I166" s="6">
        <v>1683379</v>
      </c>
      <c r="J166" s="8">
        <v>0.96499999999999997</v>
      </c>
      <c r="K166" s="6">
        <v>1719058</v>
      </c>
      <c r="L166" s="6">
        <v>1544578</v>
      </c>
      <c r="M166" s="8">
        <v>0.89849999999999997</v>
      </c>
      <c r="N166" s="6">
        <f>E166+H166+K166</f>
        <v>5265478</v>
      </c>
      <c r="O166" s="6">
        <f>F166+I166+L166</f>
        <v>4979989</v>
      </c>
      <c r="P166" s="8">
        <f t="shared" si="5"/>
        <v>0.9457809908236251</v>
      </c>
      <c r="Q166" s="6">
        <v>646570</v>
      </c>
      <c r="R166" s="6">
        <v>619490</v>
      </c>
      <c r="S166" s="8">
        <f t="shared" si="4"/>
        <v>0.95811745054673125</v>
      </c>
      <c r="T166" s="6">
        <v>2051472</v>
      </c>
      <c r="U166" s="6">
        <v>1960698</v>
      </c>
      <c r="V166" s="8">
        <f>U166/T166</f>
        <v>0.95575177238587705</v>
      </c>
    </row>
    <row r="167" spans="1:22" ht="14" x14ac:dyDescent="0.2">
      <c r="A167" s="1" t="s">
        <v>341</v>
      </c>
      <c r="B167" s="1" t="str">
        <f>VLOOKUP(A167,[60]HardwareList!A:I,3,FALSE)</f>
        <v>一般店</v>
      </c>
      <c r="C167" s="1" t="str">
        <f>VLOOKUP(A167,[60]HardwareList!A:I,4,FALSE)</f>
        <v>V2</v>
      </c>
      <c r="D167" s="1" t="s">
        <v>342</v>
      </c>
      <c r="E167" s="6">
        <v>1199874</v>
      </c>
      <c r="F167" s="6">
        <v>756459</v>
      </c>
      <c r="G167" s="8">
        <v>0.63039999999999996</v>
      </c>
      <c r="H167" s="6">
        <v>1247455</v>
      </c>
      <c r="I167" s="6">
        <v>784273</v>
      </c>
      <c r="J167" s="8">
        <v>0.62870000000000004</v>
      </c>
      <c r="K167" s="6">
        <v>1191423</v>
      </c>
      <c r="L167" s="6">
        <v>739134</v>
      </c>
      <c r="M167" s="8">
        <v>0.62039999999999995</v>
      </c>
      <c r="N167" s="6">
        <f>E167+H167+K167</f>
        <v>3638752</v>
      </c>
      <c r="O167" s="6">
        <f>F167+I167+L167</f>
        <v>2279866</v>
      </c>
      <c r="P167" s="8">
        <f t="shared" si="5"/>
        <v>0.62655163088883226</v>
      </c>
      <c r="Q167" s="6">
        <v>504118</v>
      </c>
      <c r="R167" s="6">
        <v>296106</v>
      </c>
      <c r="S167" s="8">
        <f t="shared" si="4"/>
        <v>0.58737438456869229</v>
      </c>
      <c r="T167" s="6">
        <v>1079318</v>
      </c>
      <c r="U167" s="6">
        <v>626326</v>
      </c>
      <c r="V167" s="8">
        <f>U167/T167</f>
        <v>0.58029792887730958</v>
      </c>
    </row>
    <row r="168" spans="1:22" ht="14" x14ac:dyDescent="0.2">
      <c r="A168" s="1" t="s">
        <v>343</v>
      </c>
      <c r="B168" s="1" t="str">
        <f>VLOOKUP(A168,[60]HardwareList!A:I,3,FALSE)</f>
        <v>一般店</v>
      </c>
      <c r="C168" s="1" t="str">
        <f>VLOOKUP(A168,[60]HardwareList!A:I,4,FALSE)</f>
        <v>V3</v>
      </c>
      <c r="D168" s="1" t="s">
        <v>344</v>
      </c>
      <c r="E168" s="6">
        <v>1033786</v>
      </c>
      <c r="F168" s="6">
        <v>650541</v>
      </c>
      <c r="G168" s="8">
        <v>0.62929999999999997</v>
      </c>
      <c r="H168" s="6">
        <v>1040090</v>
      </c>
      <c r="I168" s="6">
        <v>669045</v>
      </c>
      <c r="J168" s="8">
        <v>0.64329999999999998</v>
      </c>
      <c r="K168" s="6">
        <v>1084556</v>
      </c>
      <c r="L168" s="6">
        <v>665661</v>
      </c>
      <c r="M168" s="8">
        <v>0.61380000000000001</v>
      </c>
      <c r="N168" s="6">
        <f>E168+H168+K168</f>
        <v>3158432</v>
      </c>
      <c r="O168" s="6">
        <f>F168+I168+L168</f>
        <v>1985247</v>
      </c>
      <c r="P168" s="8">
        <f t="shared" si="5"/>
        <v>0.62855461190869388</v>
      </c>
      <c r="Q168" s="6">
        <v>446264</v>
      </c>
      <c r="R168" s="6">
        <v>263910</v>
      </c>
      <c r="S168" s="8">
        <f t="shared" si="4"/>
        <v>0.59137640499793842</v>
      </c>
      <c r="T168" s="6">
        <v>958376</v>
      </c>
      <c r="U168" s="6">
        <v>563530</v>
      </c>
      <c r="V168" s="8">
        <f>U168/T168</f>
        <v>0.58800512533702842</v>
      </c>
    </row>
    <row r="169" spans="1:22" ht="14" x14ac:dyDescent="0.2">
      <c r="A169" s="1" t="s">
        <v>345</v>
      </c>
      <c r="B169" s="1" t="str">
        <f>VLOOKUP(A169,[60]HardwareList!A:I,3,FALSE)</f>
        <v>數位店</v>
      </c>
      <c r="C169" s="1" t="str">
        <f>VLOOKUP(A169,[60]HardwareList!A:I,4,FALSE)</f>
        <v>V4</v>
      </c>
      <c r="D169" s="1" t="s">
        <v>346</v>
      </c>
      <c r="E169" s="6">
        <v>1755687</v>
      </c>
      <c r="F169" s="6">
        <v>1715953</v>
      </c>
      <c r="G169" s="8">
        <v>0.97740000000000005</v>
      </c>
      <c r="H169" s="6">
        <v>1549482</v>
      </c>
      <c r="I169" s="6">
        <v>1511306</v>
      </c>
      <c r="J169" s="8">
        <v>0.97540000000000004</v>
      </c>
      <c r="K169" s="6">
        <v>1601938</v>
      </c>
      <c r="L169" s="6">
        <v>1575462</v>
      </c>
      <c r="M169" s="8">
        <v>0.98350000000000004</v>
      </c>
      <c r="N169" s="6">
        <f>E169+H169+K169</f>
        <v>4907107</v>
      </c>
      <c r="O169" s="6">
        <f>F169+I169+L169</f>
        <v>4802721</v>
      </c>
      <c r="P169" s="8">
        <f t="shared" si="5"/>
        <v>0.97872758837335316</v>
      </c>
      <c r="Q169" s="6">
        <v>800255</v>
      </c>
      <c r="R169" s="6">
        <v>777411</v>
      </c>
      <c r="S169" s="8">
        <f t="shared" si="4"/>
        <v>0.97145409900594182</v>
      </c>
      <c r="T169" s="6">
        <v>2596884</v>
      </c>
      <c r="U169" s="6">
        <v>2516412</v>
      </c>
      <c r="V169" s="8">
        <f>U169/T169</f>
        <v>0.96901209295447932</v>
      </c>
    </row>
    <row r="170" spans="1:22" ht="14" x14ac:dyDescent="0.2">
      <c r="A170" s="1" t="s">
        <v>347</v>
      </c>
      <c r="B170" s="1" t="str">
        <f>VLOOKUP(A170,[60]HardwareList!A:I,3,FALSE)</f>
        <v>數位店</v>
      </c>
      <c r="C170" s="1" t="str">
        <f>VLOOKUP(A170,[60]HardwareList!A:I,4,FALSE)</f>
        <v>V4</v>
      </c>
      <c r="D170" s="1" t="s">
        <v>348</v>
      </c>
      <c r="E170" s="6">
        <v>1133452</v>
      </c>
      <c r="F170" s="6">
        <v>1098948</v>
      </c>
      <c r="G170" s="8">
        <v>0.96960000000000002</v>
      </c>
      <c r="H170" s="6">
        <v>1052538</v>
      </c>
      <c r="I170" s="6">
        <v>1019847</v>
      </c>
      <c r="J170" s="8">
        <v>0.96889999999999998</v>
      </c>
      <c r="K170" s="6">
        <v>941371</v>
      </c>
      <c r="L170" s="6">
        <v>918662</v>
      </c>
      <c r="M170" s="8">
        <v>0.97589999999999999</v>
      </c>
      <c r="N170" s="6">
        <f>E170+H170+K170</f>
        <v>3127361</v>
      </c>
      <c r="O170" s="6">
        <f>F170+I170+L170</f>
        <v>3037457</v>
      </c>
      <c r="P170" s="8">
        <f t="shared" si="5"/>
        <v>0.97125243935701699</v>
      </c>
      <c r="Q170" s="6">
        <v>467923</v>
      </c>
      <c r="R170" s="6">
        <v>450617</v>
      </c>
      <c r="S170" s="8">
        <f t="shared" si="4"/>
        <v>0.96301528242894663</v>
      </c>
      <c r="T170" s="6">
        <v>1502709</v>
      </c>
      <c r="U170" s="6">
        <v>1419075</v>
      </c>
      <c r="V170" s="8">
        <f>U170/T170</f>
        <v>0.94434451380806261</v>
      </c>
    </row>
    <row r="171" spans="1:22" ht="14" x14ac:dyDescent="0.2">
      <c r="A171" s="1" t="s">
        <v>349</v>
      </c>
      <c r="B171" s="1" t="str">
        <f>VLOOKUP(A171,[60]HardwareList!A:I,3,FALSE)</f>
        <v>數位店</v>
      </c>
      <c r="C171" s="1" t="str">
        <f>VLOOKUP(A171,[60]HardwareList!A:I,4,FALSE)</f>
        <v>V4</v>
      </c>
      <c r="D171" s="1" t="s">
        <v>350</v>
      </c>
      <c r="E171" s="6">
        <v>1575905</v>
      </c>
      <c r="F171" s="6">
        <v>1542889</v>
      </c>
      <c r="G171" s="8">
        <v>0.97899999999999998</v>
      </c>
      <c r="H171" s="6">
        <v>1463677</v>
      </c>
      <c r="I171" s="6">
        <v>1436742</v>
      </c>
      <c r="J171" s="8">
        <v>0.98160000000000003</v>
      </c>
      <c r="K171" s="6">
        <v>1532233</v>
      </c>
      <c r="L171" s="6">
        <v>1505253</v>
      </c>
      <c r="M171" s="8">
        <v>0.98240000000000005</v>
      </c>
      <c r="N171" s="6">
        <f>E171+H171+K171</f>
        <v>4571815</v>
      </c>
      <c r="O171" s="6">
        <f>F171+I171+L171</f>
        <v>4484884</v>
      </c>
      <c r="P171" s="8">
        <f t="shared" si="5"/>
        <v>0.98098545107358892</v>
      </c>
      <c r="Q171" s="6">
        <v>646066</v>
      </c>
      <c r="R171" s="6">
        <v>626559</v>
      </c>
      <c r="S171" s="8">
        <f t="shared" si="4"/>
        <v>0.96980649035857014</v>
      </c>
      <c r="T171" s="6">
        <v>2866412</v>
      </c>
      <c r="U171" s="6">
        <v>2772648</v>
      </c>
      <c r="V171" s="8">
        <f>U171/T171</f>
        <v>0.96728872192832016</v>
      </c>
    </row>
    <row r="172" spans="1:22" ht="14" x14ac:dyDescent="0.2">
      <c r="A172" s="1" t="s">
        <v>351</v>
      </c>
      <c r="B172" s="1" t="str">
        <f>VLOOKUP(A172,[60]HardwareList!A:I,3,FALSE)</f>
        <v>一般店</v>
      </c>
      <c r="C172" s="1" t="str">
        <f>VLOOKUP(A172,[60]HardwareList!A:I,4,FALSE)</f>
        <v>V3</v>
      </c>
      <c r="D172" s="1" t="s">
        <v>352</v>
      </c>
      <c r="E172" s="6">
        <v>1500071</v>
      </c>
      <c r="F172" s="6">
        <v>913561</v>
      </c>
      <c r="G172" s="8">
        <v>0.60899999999999999</v>
      </c>
      <c r="H172" s="6">
        <v>1339069</v>
      </c>
      <c r="I172" s="6">
        <v>807714</v>
      </c>
      <c r="J172" s="8">
        <v>0.60319999999999996</v>
      </c>
      <c r="K172" s="6">
        <v>1383873</v>
      </c>
      <c r="L172" s="6">
        <v>874141</v>
      </c>
      <c r="M172" s="8">
        <v>0.63170000000000004</v>
      </c>
      <c r="N172" s="6">
        <f>E172+H172+K172</f>
        <v>4223013</v>
      </c>
      <c r="O172" s="6">
        <f>F172+I172+L172</f>
        <v>2595416</v>
      </c>
      <c r="P172" s="8">
        <f t="shared" si="5"/>
        <v>0.61458868348262252</v>
      </c>
      <c r="Q172" s="6">
        <v>585694</v>
      </c>
      <c r="R172" s="6">
        <v>363462</v>
      </c>
      <c r="S172" s="8">
        <f t="shared" si="4"/>
        <v>0.62056637083528254</v>
      </c>
      <c r="T172" s="6">
        <v>1270810</v>
      </c>
      <c r="U172" s="6">
        <v>785856</v>
      </c>
      <c r="V172" s="8">
        <f>U172/T172</f>
        <v>0.61838984584634993</v>
      </c>
    </row>
    <row r="173" spans="1:22" ht="14" x14ac:dyDescent="0.2">
      <c r="A173" s="1" t="s">
        <v>353</v>
      </c>
      <c r="B173" s="1" t="str">
        <f>VLOOKUP(A173,[60]HardwareList!A:I,3,FALSE)</f>
        <v>一般店</v>
      </c>
      <c r="C173" s="1" t="str">
        <f>VLOOKUP(A173,[60]HardwareList!A:I,4,FALSE)</f>
        <v>V2</v>
      </c>
      <c r="D173" s="1" t="s">
        <v>354</v>
      </c>
      <c r="E173" s="6">
        <v>1259093</v>
      </c>
      <c r="F173" s="6">
        <v>797814</v>
      </c>
      <c r="G173" s="8">
        <v>0.63360000000000005</v>
      </c>
      <c r="H173" s="6">
        <v>1140216</v>
      </c>
      <c r="I173" s="6">
        <v>718398</v>
      </c>
      <c r="J173" s="8">
        <v>0.63009999999999999</v>
      </c>
      <c r="K173" s="6">
        <v>1162288</v>
      </c>
      <c r="L173" s="6">
        <v>751722</v>
      </c>
      <c r="M173" s="8">
        <v>0.64680000000000004</v>
      </c>
      <c r="N173" s="6">
        <f>E173+H173+K173</f>
        <v>3561597</v>
      </c>
      <c r="O173" s="6">
        <f>F173+I173+L173</f>
        <v>2267934</v>
      </c>
      <c r="P173" s="8">
        <f t="shared" si="5"/>
        <v>0.63677445819950995</v>
      </c>
      <c r="Q173" s="6">
        <v>494881</v>
      </c>
      <c r="R173" s="6">
        <v>302950</v>
      </c>
      <c r="S173" s="8">
        <f t="shared" si="4"/>
        <v>0.61216736952924033</v>
      </c>
      <c r="T173" s="6">
        <v>1078774</v>
      </c>
      <c r="U173" s="6">
        <v>666828</v>
      </c>
      <c r="V173" s="8">
        <f>U173/T173</f>
        <v>0.61813503106304013</v>
      </c>
    </row>
    <row r="174" spans="1:22" ht="14" x14ac:dyDescent="0.2">
      <c r="A174" s="1" t="s">
        <v>355</v>
      </c>
      <c r="B174" s="1" t="str">
        <f>VLOOKUP(A174,[60]HardwareList!A:I,3,FALSE)</f>
        <v>一般店</v>
      </c>
      <c r="C174" s="1" t="str">
        <f>VLOOKUP(A174,[60]HardwareList!A:I,4,FALSE)</f>
        <v>V3</v>
      </c>
      <c r="D174" s="1" t="s">
        <v>356</v>
      </c>
      <c r="E174" s="6">
        <v>1180095</v>
      </c>
      <c r="F174" s="6">
        <v>685990</v>
      </c>
      <c r="G174" s="8">
        <v>0.58130000000000004</v>
      </c>
      <c r="H174" s="6">
        <v>1194519</v>
      </c>
      <c r="I174" s="6">
        <v>674721</v>
      </c>
      <c r="J174" s="8">
        <v>0.56479999999999997</v>
      </c>
      <c r="K174" s="6">
        <v>1022862</v>
      </c>
      <c r="L174" s="6">
        <v>618364</v>
      </c>
      <c r="M174" s="8">
        <v>0.60450000000000004</v>
      </c>
      <c r="N174" s="6">
        <f>E174+H174+K174</f>
        <v>3397476</v>
      </c>
      <c r="O174" s="6">
        <f>F174+I174+L174</f>
        <v>1979075</v>
      </c>
      <c r="P174" s="8">
        <f t="shared" si="5"/>
        <v>0.58251331282399055</v>
      </c>
      <c r="Q174" s="6">
        <v>494403</v>
      </c>
      <c r="R174" s="6">
        <v>283296</v>
      </c>
      <c r="S174" s="8">
        <f t="shared" si="4"/>
        <v>0.57300623175830245</v>
      </c>
      <c r="T174" s="6">
        <v>1058268</v>
      </c>
      <c r="U174" s="6">
        <v>598466</v>
      </c>
      <c r="V174" s="8">
        <f>U174/T174</f>
        <v>0.56551459554668571</v>
      </c>
    </row>
    <row r="175" spans="1:22" ht="14" x14ac:dyDescent="0.2">
      <c r="A175" s="1" t="s">
        <v>357</v>
      </c>
      <c r="B175" s="1" t="str">
        <f>VLOOKUP(A175,[60]HardwareList!A:I,3,FALSE)</f>
        <v>一般店</v>
      </c>
      <c r="C175" s="1" t="str">
        <f>VLOOKUP(A175,[60]HardwareList!A:I,4,FALSE)</f>
        <v>V4</v>
      </c>
      <c r="D175" s="1" t="s">
        <v>358</v>
      </c>
      <c r="E175" s="6">
        <v>964289</v>
      </c>
      <c r="F175" s="6">
        <v>648947</v>
      </c>
      <c r="G175" s="8">
        <v>0.67300000000000004</v>
      </c>
      <c r="H175" s="6">
        <v>945417</v>
      </c>
      <c r="I175" s="6">
        <v>618914</v>
      </c>
      <c r="J175" s="8">
        <v>0.65459999999999996</v>
      </c>
      <c r="K175" s="6">
        <v>977858</v>
      </c>
      <c r="L175" s="6">
        <v>661352</v>
      </c>
      <c r="M175" s="8">
        <v>0.67630000000000001</v>
      </c>
      <c r="N175" s="6">
        <f>E175+H175+K175</f>
        <v>2887564</v>
      </c>
      <c r="O175" s="6">
        <f>F175+I175+L175</f>
        <v>1929213</v>
      </c>
      <c r="P175" s="8">
        <f t="shared" si="5"/>
        <v>0.66811090594009348</v>
      </c>
      <c r="Q175" s="6">
        <v>417906</v>
      </c>
      <c r="R175" s="6">
        <v>268789</v>
      </c>
      <c r="S175" s="8">
        <f t="shared" si="4"/>
        <v>0.64318052384986102</v>
      </c>
      <c r="T175" s="6">
        <v>890036</v>
      </c>
      <c r="U175" s="6">
        <v>569182</v>
      </c>
      <c r="V175" s="8">
        <f>U175/T175</f>
        <v>0.63950446948213335</v>
      </c>
    </row>
    <row r="176" spans="1:22" ht="14" x14ac:dyDescent="0.2">
      <c r="A176" s="1" t="s">
        <v>359</v>
      </c>
      <c r="B176" s="1" t="str">
        <f>VLOOKUP(A176,[60]HardwareList!A:I,3,FALSE)</f>
        <v>一般店</v>
      </c>
      <c r="C176" s="1" t="str">
        <f>VLOOKUP(A176,[60]HardwareList!A:I,4,FALSE)</f>
        <v>V4</v>
      </c>
      <c r="D176" s="1" t="s">
        <v>360</v>
      </c>
      <c r="E176" s="6">
        <v>861628</v>
      </c>
      <c r="F176" s="6">
        <v>606901</v>
      </c>
      <c r="G176" s="8">
        <v>0.70440000000000003</v>
      </c>
      <c r="H176" s="6">
        <v>778973</v>
      </c>
      <c r="I176" s="6">
        <v>533908</v>
      </c>
      <c r="J176" s="8">
        <v>0.68540000000000001</v>
      </c>
      <c r="K176" s="6">
        <v>802193</v>
      </c>
      <c r="L176" s="6">
        <v>550571</v>
      </c>
      <c r="M176" s="8">
        <v>0.68630000000000002</v>
      </c>
      <c r="N176" s="6">
        <f>E176+H176+K176</f>
        <v>2442794</v>
      </c>
      <c r="O176" s="6">
        <f>F176+I176+L176</f>
        <v>1691380</v>
      </c>
      <c r="P176" s="8">
        <f t="shared" si="5"/>
        <v>0.69239567478878694</v>
      </c>
      <c r="Q176" s="6">
        <v>362128</v>
      </c>
      <c r="R176" s="6">
        <v>228317</v>
      </c>
      <c r="S176" s="8">
        <f t="shared" si="4"/>
        <v>0.63048701011796937</v>
      </c>
      <c r="T176" s="6">
        <v>794334</v>
      </c>
      <c r="U176" s="6">
        <v>499774</v>
      </c>
      <c r="V176" s="8">
        <f>U176/T176</f>
        <v>0.62917362217908335</v>
      </c>
    </row>
    <row r="177" spans="1:22" ht="14" x14ac:dyDescent="0.2">
      <c r="A177" s="1" t="s">
        <v>361</v>
      </c>
      <c r="B177" s="1" t="str">
        <f>VLOOKUP(A177,[60]HardwareList!A:I,3,FALSE)</f>
        <v>一般店</v>
      </c>
      <c r="C177" s="1" t="str">
        <f>VLOOKUP(A177,[60]HardwareList!A:I,4,FALSE)</f>
        <v>V4</v>
      </c>
      <c r="D177" s="1" t="s">
        <v>362</v>
      </c>
      <c r="E177" s="6">
        <v>1136797</v>
      </c>
      <c r="F177" s="6">
        <v>704324</v>
      </c>
      <c r="G177" s="8">
        <v>0.61960000000000004</v>
      </c>
      <c r="H177" s="6">
        <v>1084541</v>
      </c>
      <c r="I177" s="6">
        <v>675624</v>
      </c>
      <c r="J177" s="8">
        <v>0.623</v>
      </c>
      <c r="K177" s="6">
        <v>1172875</v>
      </c>
      <c r="L177" s="6">
        <v>742352</v>
      </c>
      <c r="M177" s="8">
        <v>0.63290000000000002</v>
      </c>
      <c r="N177" s="6">
        <f>E177+H177+K177</f>
        <v>3394213</v>
      </c>
      <c r="O177" s="6">
        <f>F177+I177+L177</f>
        <v>2122300</v>
      </c>
      <c r="P177" s="8">
        <f t="shared" si="5"/>
        <v>0.62527012889291278</v>
      </c>
      <c r="Q177" s="6">
        <v>388956</v>
      </c>
      <c r="R177" s="6">
        <v>207304</v>
      </c>
      <c r="S177" s="8">
        <f t="shared" si="4"/>
        <v>0.53297545223624265</v>
      </c>
      <c r="T177" s="6">
        <v>829984</v>
      </c>
      <c r="U177" s="6">
        <v>439906</v>
      </c>
      <c r="V177" s="8">
        <f>U177/T177</f>
        <v>0.53001744611944324</v>
      </c>
    </row>
    <row r="178" spans="1:22" ht="14" x14ac:dyDescent="0.2">
      <c r="A178" s="1" t="s">
        <v>363</v>
      </c>
      <c r="B178" s="1" t="str">
        <f>VLOOKUP(A178,[60]HardwareList!A:I,3,FALSE)</f>
        <v>一般店</v>
      </c>
      <c r="C178" s="1" t="str">
        <f>VLOOKUP(A178,[60]HardwareList!A:I,4,FALSE)</f>
        <v>V2</v>
      </c>
      <c r="D178" s="1" t="s">
        <v>364</v>
      </c>
      <c r="E178" s="6">
        <v>1497018</v>
      </c>
      <c r="F178" s="6">
        <v>1026613</v>
      </c>
      <c r="G178" s="8">
        <v>0.68579999999999997</v>
      </c>
      <c r="H178" s="6">
        <v>1713414</v>
      </c>
      <c r="I178" s="6">
        <v>1138335</v>
      </c>
      <c r="J178" s="8">
        <v>0.66439999999999999</v>
      </c>
      <c r="K178" s="6">
        <v>1764485</v>
      </c>
      <c r="L178" s="6">
        <v>1212843</v>
      </c>
      <c r="M178" s="8">
        <v>0.68740000000000001</v>
      </c>
      <c r="N178" s="6">
        <f>E178+H178+K178</f>
        <v>4974917</v>
      </c>
      <c r="O178" s="6">
        <f>F178+I178+L178</f>
        <v>3377791</v>
      </c>
      <c r="P178" s="8">
        <f t="shared" si="5"/>
        <v>0.67896429226859467</v>
      </c>
      <c r="Q178" s="6">
        <v>719786</v>
      </c>
      <c r="R178" s="6">
        <v>446413</v>
      </c>
      <c r="S178" s="8">
        <f t="shared" si="4"/>
        <v>0.62020239348917594</v>
      </c>
      <c r="T178" s="6">
        <v>1567916</v>
      </c>
      <c r="U178" s="6">
        <v>975532</v>
      </c>
      <c r="V178" s="8">
        <f>U178/T178</f>
        <v>0.62218384148130379</v>
      </c>
    </row>
    <row r="179" spans="1:22" ht="14" x14ac:dyDescent="0.2">
      <c r="A179" s="1" t="s">
        <v>365</v>
      </c>
      <c r="B179" s="1" t="str">
        <f>VLOOKUP(A179,[60]HardwareList!A:I,3,FALSE)</f>
        <v>一般店</v>
      </c>
      <c r="C179" s="1" t="str">
        <f>VLOOKUP(A179,[60]HardwareList!A:I,4,FALSE)</f>
        <v>V4</v>
      </c>
      <c r="D179" s="1" t="s">
        <v>366</v>
      </c>
      <c r="E179" s="6">
        <v>1253212</v>
      </c>
      <c r="F179" s="6">
        <v>848808</v>
      </c>
      <c r="G179" s="8">
        <v>0.67730000000000001</v>
      </c>
      <c r="H179" s="6">
        <v>1263684</v>
      </c>
      <c r="I179" s="6">
        <v>842302</v>
      </c>
      <c r="J179" s="8">
        <v>0.66649999999999998</v>
      </c>
      <c r="K179" s="6">
        <v>1273886</v>
      </c>
      <c r="L179" s="6">
        <v>859540</v>
      </c>
      <c r="M179" s="8">
        <v>0.67469999999999997</v>
      </c>
      <c r="N179" s="6">
        <f>E179+H179+K179</f>
        <v>3790782</v>
      </c>
      <c r="O179" s="6">
        <f>F179+I179+L179</f>
        <v>2550650</v>
      </c>
      <c r="P179" s="8">
        <f t="shared" si="5"/>
        <v>0.67285589094809461</v>
      </c>
      <c r="Q179" s="6">
        <v>533304</v>
      </c>
      <c r="R179" s="6">
        <v>313818</v>
      </c>
      <c r="S179" s="8">
        <f t="shared" si="4"/>
        <v>0.58844111426128443</v>
      </c>
      <c r="T179" s="6">
        <v>1150146</v>
      </c>
      <c r="U179" s="6">
        <v>673560</v>
      </c>
      <c r="V179" s="8">
        <f>U179/T179</f>
        <v>0.58562999827847939</v>
      </c>
    </row>
    <row r="180" spans="1:22" ht="14" x14ac:dyDescent="0.2">
      <c r="A180" s="1" t="s">
        <v>367</v>
      </c>
      <c r="B180" s="1" t="str">
        <f>VLOOKUP(A180,[60]HardwareList!A:I,3,FALSE)</f>
        <v>數位店</v>
      </c>
      <c r="C180" s="1" t="str">
        <f>VLOOKUP(A180,[60]HardwareList!A:I,4,FALSE)</f>
        <v>V4</v>
      </c>
      <c r="D180" s="1" t="s">
        <v>368</v>
      </c>
      <c r="E180" s="6">
        <v>1091273</v>
      </c>
      <c r="F180" s="6">
        <v>1068424</v>
      </c>
      <c r="G180" s="8">
        <v>0.97909999999999997</v>
      </c>
      <c r="H180" s="6">
        <v>1027752</v>
      </c>
      <c r="I180" s="6">
        <v>1011495</v>
      </c>
      <c r="J180" s="8">
        <v>0.98419999999999996</v>
      </c>
      <c r="K180" s="6">
        <v>981968</v>
      </c>
      <c r="L180" s="6">
        <v>958725</v>
      </c>
      <c r="M180" s="8">
        <v>0.97629999999999995</v>
      </c>
      <c r="N180" s="6">
        <f>E180+H180+K180</f>
        <v>3100993</v>
      </c>
      <c r="O180" s="6">
        <f>F180+I180+L180</f>
        <v>3038644</v>
      </c>
      <c r="P180" s="8">
        <f t="shared" si="5"/>
        <v>0.97989385980555266</v>
      </c>
      <c r="Q180" s="6">
        <v>416468</v>
      </c>
      <c r="R180" s="6">
        <v>398219</v>
      </c>
      <c r="S180" s="8">
        <f t="shared" si="4"/>
        <v>0.95618150734270102</v>
      </c>
      <c r="T180" s="6">
        <v>1781016</v>
      </c>
      <c r="U180" s="6">
        <v>1703064</v>
      </c>
      <c r="V180" s="8">
        <f>U180/T180</f>
        <v>0.95623172391488898</v>
      </c>
    </row>
    <row r="181" spans="1:22" ht="14" x14ac:dyDescent="0.2">
      <c r="A181" s="1" t="s">
        <v>369</v>
      </c>
      <c r="B181" s="1" t="str">
        <f>VLOOKUP(A181,[60]HardwareList!A:I,3,FALSE)</f>
        <v>一般店</v>
      </c>
      <c r="C181" s="1" t="str">
        <f>VLOOKUP(A181,[60]HardwareList!A:I,4,FALSE)</f>
        <v>V4</v>
      </c>
      <c r="D181" s="1" t="s">
        <v>370</v>
      </c>
      <c r="E181" s="6">
        <v>1097271</v>
      </c>
      <c r="F181" s="6">
        <v>780264</v>
      </c>
      <c r="G181" s="8">
        <v>0.71109999999999995</v>
      </c>
      <c r="H181" s="6">
        <v>1105876</v>
      </c>
      <c r="I181" s="6">
        <v>762420</v>
      </c>
      <c r="J181" s="8">
        <v>0.68940000000000001</v>
      </c>
      <c r="K181" s="6">
        <v>1060283</v>
      </c>
      <c r="L181" s="6">
        <v>761812</v>
      </c>
      <c r="M181" s="8">
        <v>0.71850000000000003</v>
      </c>
      <c r="N181" s="6">
        <f>E181+H181+K181</f>
        <v>3263430</v>
      </c>
      <c r="O181" s="6">
        <f>F181+I181+L181</f>
        <v>2304496</v>
      </c>
      <c r="P181" s="8">
        <f t="shared" si="5"/>
        <v>0.70615763169426038</v>
      </c>
      <c r="Q181" s="6">
        <v>495564</v>
      </c>
      <c r="R181" s="6">
        <v>317642</v>
      </c>
      <c r="S181" s="8">
        <f t="shared" si="4"/>
        <v>0.64097069197923984</v>
      </c>
      <c r="T181" s="6">
        <v>1068536</v>
      </c>
      <c r="U181" s="6">
        <v>685926</v>
      </c>
      <c r="V181" s="8">
        <f>U181/T181</f>
        <v>0.64193064155068247</v>
      </c>
    </row>
    <row r="182" spans="1:22" ht="14" x14ac:dyDescent="0.2">
      <c r="A182" s="1" t="s">
        <v>371</v>
      </c>
      <c r="B182" s="1" t="str">
        <f>VLOOKUP(A182,[60]HardwareList!A:I,3,FALSE)</f>
        <v>數位店</v>
      </c>
      <c r="C182" s="1" t="str">
        <f>VLOOKUP(A182,[60]HardwareList!A:I,4,FALSE)</f>
        <v>V4</v>
      </c>
      <c r="D182" s="1" t="s">
        <v>372</v>
      </c>
      <c r="E182" s="6">
        <v>1930461</v>
      </c>
      <c r="F182" s="6">
        <v>1902385</v>
      </c>
      <c r="G182" s="8">
        <v>0.98550000000000004</v>
      </c>
      <c r="H182" s="6">
        <v>1825422</v>
      </c>
      <c r="I182" s="6">
        <v>1803737</v>
      </c>
      <c r="J182" s="8">
        <v>0.98809999999999998</v>
      </c>
      <c r="K182" s="6">
        <v>2012924</v>
      </c>
      <c r="L182" s="6">
        <v>1973404</v>
      </c>
      <c r="M182" s="8">
        <v>0.98040000000000005</v>
      </c>
      <c r="N182" s="6">
        <f>E182+H182+K182</f>
        <v>5768807</v>
      </c>
      <c r="O182" s="6">
        <f>F182+I182+L182</f>
        <v>5679526</v>
      </c>
      <c r="P182" s="8">
        <f t="shared" si="5"/>
        <v>0.98452348986540894</v>
      </c>
      <c r="Q182" s="6">
        <v>771657</v>
      </c>
      <c r="R182" s="6">
        <v>741796</v>
      </c>
      <c r="S182" s="8">
        <f t="shared" si="4"/>
        <v>0.96130275498051598</v>
      </c>
      <c r="T182" s="6">
        <v>3354848</v>
      </c>
      <c r="U182" s="6">
        <v>3222056</v>
      </c>
      <c r="V182" s="8">
        <f>U182/T182</f>
        <v>0.96041787884279706</v>
      </c>
    </row>
    <row r="183" spans="1:22" ht="14" x14ac:dyDescent="0.2">
      <c r="A183" s="1" t="s">
        <v>373</v>
      </c>
      <c r="B183" s="1" t="str">
        <f>VLOOKUP(A183,[60]HardwareList!A:I,3,FALSE)</f>
        <v>一般店</v>
      </c>
      <c r="C183" s="1" t="str">
        <f>VLOOKUP(A183,[60]HardwareList!A:I,4,FALSE)</f>
        <v>D1</v>
      </c>
      <c r="D183" s="1" t="s">
        <v>374</v>
      </c>
      <c r="E183" s="6">
        <v>766381</v>
      </c>
      <c r="F183" s="6">
        <v>482770</v>
      </c>
      <c r="G183" s="8">
        <v>0.62990000000000002</v>
      </c>
      <c r="H183" s="6">
        <v>796083</v>
      </c>
      <c r="I183" s="6">
        <v>505812</v>
      </c>
      <c r="J183" s="8">
        <v>0.63539999999999996</v>
      </c>
      <c r="K183" s="6">
        <v>939605</v>
      </c>
      <c r="L183" s="6">
        <v>615266</v>
      </c>
      <c r="M183" s="8">
        <v>0.65480000000000005</v>
      </c>
      <c r="N183" s="6">
        <f>E183+H183+K183</f>
        <v>2502069</v>
      </c>
      <c r="O183" s="6">
        <f>F183+I183+L183</f>
        <v>1603848</v>
      </c>
      <c r="P183" s="8">
        <f t="shared" si="5"/>
        <v>0.64100870119888775</v>
      </c>
      <c r="Q183" s="6">
        <v>371825</v>
      </c>
      <c r="R183" s="6">
        <v>234269</v>
      </c>
      <c r="S183" s="8">
        <f t="shared" si="4"/>
        <v>0.63005177166677873</v>
      </c>
      <c r="T183" s="6">
        <v>799798</v>
      </c>
      <c r="U183" s="6">
        <v>500900</v>
      </c>
      <c r="V183" s="8">
        <f>U183/T183</f>
        <v>0.62628313649196421</v>
      </c>
    </row>
    <row r="184" spans="1:22" ht="14" x14ac:dyDescent="0.2">
      <c r="A184" s="1" t="s">
        <v>375</v>
      </c>
      <c r="B184" s="1" t="str">
        <f>VLOOKUP(A184,[60]HardwareList!A:I,3,FALSE)</f>
        <v>數位店</v>
      </c>
      <c r="C184" s="1" t="str">
        <f>VLOOKUP(A184,[60]HardwareList!A:I,4,FALSE)</f>
        <v>V4</v>
      </c>
      <c r="D184" s="1" t="s">
        <v>376</v>
      </c>
      <c r="E184" s="6">
        <v>1629349</v>
      </c>
      <c r="F184" s="6">
        <v>1600748</v>
      </c>
      <c r="G184" s="8">
        <v>0.98240000000000005</v>
      </c>
      <c r="H184" s="6">
        <v>1438018</v>
      </c>
      <c r="I184" s="6">
        <v>1418023</v>
      </c>
      <c r="J184" s="8">
        <v>0.98609999999999998</v>
      </c>
      <c r="K184" s="6">
        <v>1373639</v>
      </c>
      <c r="L184" s="6">
        <v>1356029</v>
      </c>
      <c r="M184" s="8">
        <v>0.98719999999999997</v>
      </c>
      <c r="N184" s="6">
        <f>E184+H184+K184</f>
        <v>4441006</v>
      </c>
      <c r="O184" s="6">
        <f>F184+I184+L184</f>
        <v>4374800</v>
      </c>
      <c r="P184" s="8">
        <f t="shared" si="5"/>
        <v>0.98509211651594253</v>
      </c>
      <c r="Q184" s="6">
        <v>671483</v>
      </c>
      <c r="R184" s="6">
        <v>650865</v>
      </c>
      <c r="S184" s="8">
        <f t="shared" si="4"/>
        <v>0.96929482950424661</v>
      </c>
      <c r="T184" s="6">
        <v>2888700</v>
      </c>
      <c r="U184" s="6">
        <v>2813148</v>
      </c>
      <c r="V184" s="8">
        <f>U184/T184</f>
        <v>0.97384567452487281</v>
      </c>
    </row>
    <row r="185" spans="1:22" ht="14" x14ac:dyDescent="0.2">
      <c r="A185" s="1" t="s">
        <v>377</v>
      </c>
      <c r="B185" s="1" t="str">
        <f>VLOOKUP(A185,[60]HardwareList!A:I,3,FALSE)</f>
        <v>一般店</v>
      </c>
      <c r="C185" s="1" t="str">
        <f>VLOOKUP(A185,[60]HardwareList!A:I,4,FALSE)</f>
        <v>V4</v>
      </c>
      <c r="D185" s="1" t="s">
        <v>378</v>
      </c>
      <c r="E185" s="6">
        <v>952820</v>
      </c>
      <c r="F185" s="6">
        <v>614155</v>
      </c>
      <c r="G185" s="8">
        <v>0.64459999999999995</v>
      </c>
      <c r="H185" s="6">
        <v>892395</v>
      </c>
      <c r="I185" s="6">
        <v>582024</v>
      </c>
      <c r="J185" s="8">
        <v>0.6522</v>
      </c>
      <c r="K185" s="6">
        <v>884688</v>
      </c>
      <c r="L185" s="6">
        <v>606778</v>
      </c>
      <c r="M185" s="8">
        <v>0.68589999999999995</v>
      </c>
      <c r="N185" s="6">
        <f>E185+H185+K185</f>
        <v>2729903</v>
      </c>
      <c r="O185" s="6">
        <f>F185+I185+L185</f>
        <v>1802957</v>
      </c>
      <c r="P185" s="8">
        <f t="shared" si="5"/>
        <v>0.66044727596548303</v>
      </c>
      <c r="Q185" s="6">
        <v>454215</v>
      </c>
      <c r="R185" s="6">
        <v>274529</v>
      </c>
      <c r="S185" s="8">
        <f t="shared" si="4"/>
        <v>0.60440320112721946</v>
      </c>
      <c r="T185" s="6">
        <v>1015244</v>
      </c>
      <c r="U185" s="6">
        <v>614662</v>
      </c>
      <c r="V185" s="8">
        <f>U185/T185</f>
        <v>0.605432782661114</v>
      </c>
    </row>
    <row r="186" spans="1:22" ht="14" x14ac:dyDescent="0.2">
      <c r="A186" s="1" t="s">
        <v>379</v>
      </c>
      <c r="B186" s="1" t="str">
        <f>VLOOKUP(A186,[60]HardwareList!A:I,3,FALSE)</f>
        <v>數位店</v>
      </c>
      <c r="C186" s="1" t="str">
        <f>VLOOKUP(A186,[60]HardwareList!A:I,4,FALSE)</f>
        <v>V4</v>
      </c>
      <c r="D186" s="1" t="s">
        <v>380</v>
      </c>
      <c r="E186" s="6">
        <v>1596903</v>
      </c>
      <c r="F186" s="6">
        <v>1564537</v>
      </c>
      <c r="G186" s="8">
        <v>0.97970000000000002</v>
      </c>
      <c r="H186" s="6">
        <v>1628163</v>
      </c>
      <c r="I186" s="6">
        <v>1603018</v>
      </c>
      <c r="J186" s="8">
        <v>0.98460000000000003</v>
      </c>
      <c r="K186" s="6">
        <v>1912658</v>
      </c>
      <c r="L186" s="6">
        <v>1878063</v>
      </c>
      <c r="M186" s="8">
        <v>0.9819</v>
      </c>
      <c r="N186" s="6">
        <f>E186+H186+K186</f>
        <v>5137724</v>
      </c>
      <c r="O186" s="6">
        <f>F186+I186+L186</f>
        <v>5045618</v>
      </c>
      <c r="P186" s="8">
        <f t="shared" si="5"/>
        <v>0.98207260646932382</v>
      </c>
      <c r="Q186" s="6">
        <v>643753</v>
      </c>
      <c r="R186" s="6">
        <v>623029</v>
      </c>
      <c r="S186" s="8">
        <f t="shared" si="4"/>
        <v>0.96780752866394404</v>
      </c>
      <c r="T186" s="6">
        <v>2702368</v>
      </c>
      <c r="U186" s="6">
        <v>2622472</v>
      </c>
      <c r="V186" s="8">
        <f>U186/T186</f>
        <v>0.97043481864794134</v>
      </c>
    </row>
    <row r="187" spans="1:22" ht="14" x14ac:dyDescent="0.2">
      <c r="A187" s="1" t="s">
        <v>381</v>
      </c>
      <c r="B187" s="1" t="str">
        <f>VLOOKUP(A187,[60]HardwareList!A:I,3,FALSE)</f>
        <v>數位店</v>
      </c>
      <c r="C187" s="1" t="str">
        <f>VLOOKUP(A187,[60]HardwareList!A:I,4,FALSE)</f>
        <v>V4</v>
      </c>
      <c r="D187" s="1" t="s">
        <v>382</v>
      </c>
      <c r="E187" s="6">
        <v>887905</v>
      </c>
      <c r="F187" s="6">
        <v>865001</v>
      </c>
      <c r="G187" s="8">
        <v>0.97419999999999995</v>
      </c>
      <c r="H187" s="6">
        <v>904531</v>
      </c>
      <c r="I187" s="6">
        <v>888269</v>
      </c>
      <c r="J187" s="8">
        <v>0.98199999999999998</v>
      </c>
      <c r="K187" s="6">
        <v>815209</v>
      </c>
      <c r="L187" s="6">
        <v>795994</v>
      </c>
      <c r="M187" s="8">
        <v>0.97640000000000005</v>
      </c>
      <c r="N187" s="6">
        <f>E187+H187+K187</f>
        <v>2607645</v>
      </c>
      <c r="O187" s="6">
        <f>F187+I187+L187</f>
        <v>2549264</v>
      </c>
      <c r="P187" s="8">
        <f t="shared" si="5"/>
        <v>0.97761159973846135</v>
      </c>
      <c r="Q187" s="6">
        <v>384648</v>
      </c>
      <c r="R187" s="6">
        <v>367502</v>
      </c>
      <c r="S187" s="8">
        <f t="shared" si="4"/>
        <v>0.95542418002953344</v>
      </c>
      <c r="T187" s="6">
        <v>1668124</v>
      </c>
      <c r="U187" s="6">
        <v>1590032</v>
      </c>
      <c r="V187" s="8">
        <f>U187/T187</f>
        <v>0.95318573439384602</v>
      </c>
    </row>
    <row r="188" spans="1:22" ht="14" x14ac:dyDescent="0.2">
      <c r="A188" s="1" t="s">
        <v>383</v>
      </c>
      <c r="B188" s="1" t="str">
        <f>VLOOKUP(A188,[60]HardwareList!A:I,3,FALSE)</f>
        <v>一般店</v>
      </c>
      <c r="C188" s="1" t="str">
        <f>VLOOKUP(A188,[60]HardwareList!A:I,4,FALSE)</f>
        <v>V4</v>
      </c>
      <c r="D188" s="1" t="s">
        <v>384</v>
      </c>
      <c r="E188" s="6">
        <v>910933</v>
      </c>
      <c r="F188" s="6">
        <v>585818</v>
      </c>
      <c r="G188" s="8">
        <v>0.6431</v>
      </c>
      <c r="H188" s="6">
        <v>970982</v>
      </c>
      <c r="I188" s="6">
        <v>626276</v>
      </c>
      <c r="J188" s="8">
        <v>0.64500000000000002</v>
      </c>
      <c r="K188" s="6">
        <v>1087069</v>
      </c>
      <c r="L188" s="6">
        <v>700439</v>
      </c>
      <c r="M188" s="8">
        <v>0.64429999999999998</v>
      </c>
      <c r="N188" s="6">
        <f>E188+H188+K188</f>
        <v>2968984</v>
      </c>
      <c r="O188" s="6">
        <f>F188+I188+L188</f>
        <v>1912533</v>
      </c>
      <c r="P188" s="8">
        <f t="shared" si="5"/>
        <v>0.64417086787938227</v>
      </c>
      <c r="Q188" s="6">
        <v>476993</v>
      </c>
      <c r="R188" s="6">
        <v>271762</v>
      </c>
      <c r="S188" s="8">
        <f t="shared" si="4"/>
        <v>0.56974001714909861</v>
      </c>
      <c r="T188" s="6">
        <v>1028442</v>
      </c>
      <c r="U188" s="6">
        <v>576914</v>
      </c>
      <c r="V188" s="8">
        <f>U188/T188</f>
        <v>0.56095919847691944</v>
      </c>
    </row>
    <row r="189" spans="1:22" ht="14" x14ac:dyDescent="0.2">
      <c r="A189" s="1" t="s">
        <v>385</v>
      </c>
      <c r="B189" s="1" t="str">
        <f>VLOOKUP(A189,[60]HardwareList!A:I,3,FALSE)</f>
        <v>一般店</v>
      </c>
      <c r="C189" s="1" t="str">
        <f>VLOOKUP(A189,[60]HardwareList!A:I,4,FALSE)</f>
        <v>V4</v>
      </c>
      <c r="D189" s="1" t="s">
        <v>386</v>
      </c>
      <c r="E189" s="6">
        <v>785149</v>
      </c>
      <c r="F189" s="6">
        <v>512167</v>
      </c>
      <c r="G189" s="8">
        <v>0.65229999999999999</v>
      </c>
      <c r="H189" s="6">
        <v>732788</v>
      </c>
      <c r="I189" s="6">
        <v>469208</v>
      </c>
      <c r="J189" s="8">
        <v>0.64029999999999998</v>
      </c>
      <c r="K189" s="6">
        <v>755003</v>
      </c>
      <c r="L189" s="6">
        <v>489759</v>
      </c>
      <c r="M189" s="8">
        <v>0.64870000000000005</v>
      </c>
      <c r="N189" s="6">
        <f>E189+H189+K189</f>
        <v>2272940</v>
      </c>
      <c r="O189" s="6">
        <f>F189+I189+L189</f>
        <v>1471134</v>
      </c>
      <c r="P189" s="8">
        <f t="shared" si="5"/>
        <v>0.64723837848777355</v>
      </c>
      <c r="Q189" s="6">
        <v>330493</v>
      </c>
      <c r="R189" s="6">
        <v>188333</v>
      </c>
      <c r="S189" s="8">
        <f t="shared" si="4"/>
        <v>0.56985473217284477</v>
      </c>
      <c r="T189" s="6">
        <v>728078</v>
      </c>
      <c r="U189" s="6">
        <v>421120</v>
      </c>
      <c r="V189" s="8">
        <f>U189/T189</f>
        <v>0.57839956707935136</v>
      </c>
    </row>
    <row r="190" spans="1:22" ht="14" x14ac:dyDescent="0.2">
      <c r="A190" s="1" t="s">
        <v>387</v>
      </c>
      <c r="B190" s="1" t="str">
        <f>VLOOKUP(A190,[60]HardwareList!A:I,3,FALSE)</f>
        <v>一般店</v>
      </c>
      <c r="C190" s="1" t="str">
        <f>VLOOKUP(A190,[60]HardwareList!A:I,4,FALSE)</f>
        <v>V2*.16, V3*.17</v>
      </c>
      <c r="D190" s="1" t="s">
        <v>388</v>
      </c>
      <c r="E190" s="6">
        <v>877917</v>
      </c>
      <c r="F190" s="6">
        <v>559110</v>
      </c>
      <c r="G190" s="8">
        <v>0.63690000000000002</v>
      </c>
      <c r="H190" s="6">
        <v>849331</v>
      </c>
      <c r="I190" s="6">
        <v>511502</v>
      </c>
      <c r="J190" s="8">
        <v>0.60219999999999996</v>
      </c>
      <c r="K190" s="6">
        <v>843412</v>
      </c>
      <c r="L190" s="6">
        <v>510869</v>
      </c>
      <c r="M190" s="8">
        <v>0.60570000000000002</v>
      </c>
      <c r="N190" s="6">
        <f>E190+H190+K190</f>
        <v>2570660</v>
      </c>
      <c r="O190" s="6">
        <f>F190+I190+L190</f>
        <v>1581481</v>
      </c>
      <c r="P190" s="8">
        <f t="shared" si="5"/>
        <v>0.61520426660857519</v>
      </c>
      <c r="Q190" s="6">
        <v>374660</v>
      </c>
      <c r="R190" s="6">
        <v>222898</v>
      </c>
      <c r="S190" s="8">
        <f t="shared" si="4"/>
        <v>0.59493407356002781</v>
      </c>
      <c r="T190" s="6">
        <v>802234</v>
      </c>
      <c r="U190" s="6">
        <v>477278</v>
      </c>
      <c r="V190" s="8">
        <f>U190/T190</f>
        <v>0.59493614082674129</v>
      </c>
    </row>
    <row r="191" spans="1:22" ht="14" x14ac:dyDescent="0.2">
      <c r="A191" s="1" t="s">
        <v>389</v>
      </c>
      <c r="B191" s="1" t="str">
        <f>VLOOKUP(A191,[60]HardwareList!A:I,3,FALSE)</f>
        <v>一般店</v>
      </c>
      <c r="C191" s="1" t="str">
        <f>VLOOKUP(A191,[60]HardwareList!A:I,4,FALSE)</f>
        <v>V3</v>
      </c>
      <c r="D191" s="1" t="s">
        <v>390</v>
      </c>
      <c r="E191" s="6">
        <v>1566308</v>
      </c>
      <c r="F191" s="6">
        <v>980975</v>
      </c>
      <c r="G191" s="8">
        <v>0.62629999999999997</v>
      </c>
      <c r="H191" s="6">
        <v>1612119</v>
      </c>
      <c r="I191" s="6">
        <v>1007183</v>
      </c>
      <c r="J191" s="8">
        <v>0.62480000000000002</v>
      </c>
      <c r="K191" s="6">
        <v>1665527</v>
      </c>
      <c r="L191" s="6">
        <v>1046745</v>
      </c>
      <c r="M191" s="8">
        <v>0.62849999999999995</v>
      </c>
      <c r="N191" s="6">
        <f>E191+H191+K191</f>
        <v>4843954</v>
      </c>
      <c r="O191" s="6">
        <f>F191+I191+L191</f>
        <v>3034903</v>
      </c>
      <c r="P191" s="8">
        <f t="shared" si="5"/>
        <v>0.62653423215827397</v>
      </c>
      <c r="Q191" s="6">
        <v>736736</v>
      </c>
      <c r="R191" s="6">
        <v>439704</v>
      </c>
      <c r="S191" s="8">
        <f t="shared" si="4"/>
        <v>0.59682708595752076</v>
      </c>
      <c r="T191" s="6">
        <v>1581018</v>
      </c>
      <c r="U191" s="6">
        <v>952850</v>
      </c>
      <c r="V191" s="8">
        <f>U191/T191</f>
        <v>0.60268131039621309</v>
      </c>
    </row>
    <row r="192" spans="1:22" ht="14" x14ac:dyDescent="0.2">
      <c r="A192" s="1" t="s">
        <v>391</v>
      </c>
      <c r="B192" s="1" t="str">
        <f>VLOOKUP(A192,[60]HardwareList!A:I,3,FALSE)</f>
        <v>數位店</v>
      </c>
      <c r="C192" s="1" t="str">
        <f>VLOOKUP(A192,[60]HardwareList!A:I,4,FALSE)</f>
        <v>V4</v>
      </c>
      <c r="D192" s="1" t="s">
        <v>392</v>
      </c>
      <c r="E192" s="6">
        <v>1657217</v>
      </c>
      <c r="F192" s="6">
        <v>1625121</v>
      </c>
      <c r="G192" s="8">
        <v>0.98060000000000003</v>
      </c>
      <c r="H192" s="6">
        <v>1522430</v>
      </c>
      <c r="I192" s="6">
        <v>1502880</v>
      </c>
      <c r="J192" s="8">
        <v>0.98719999999999997</v>
      </c>
      <c r="K192" s="6">
        <v>1572378</v>
      </c>
      <c r="L192" s="6">
        <v>1554127</v>
      </c>
      <c r="M192" s="8">
        <v>0.98839999999999995</v>
      </c>
      <c r="N192" s="6">
        <f>E192+H192+K192</f>
        <v>4752025</v>
      </c>
      <c r="O192" s="6">
        <f>F192+I192+L192</f>
        <v>4682128</v>
      </c>
      <c r="P192" s="8">
        <f t="shared" si="5"/>
        <v>0.98529111273614933</v>
      </c>
      <c r="Q192" s="6">
        <v>703051</v>
      </c>
      <c r="R192" s="6">
        <v>679453</v>
      </c>
      <c r="S192" s="8">
        <f t="shared" si="4"/>
        <v>0.96643486745627272</v>
      </c>
      <c r="T192" s="6">
        <v>2258469</v>
      </c>
      <c r="U192" s="6">
        <v>2174874</v>
      </c>
      <c r="V192" s="8">
        <f>U192/T192</f>
        <v>0.96298598741005526</v>
      </c>
    </row>
    <row r="193" spans="1:22" ht="14" x14ac:dyDescent="0.2">
      <c r="A193" s="1" t="s">
        <v>393</v>
      </c>
      <c r="B193" s="1" t="str">
        <f>VLOOKUP(A193,[60]HardwareList!A:I,3,FALSE)</f>
        <v>一般店</v>
      </c>
      <c r="C193" s="1" t="str">
        <f>VLOOKUP(A193,[60]HardwareList!A:I,4,FALSE)</f>
        <v>V2</v>
      </c>
      <c r="D193" s="1" t="s">
        <v>394</v>
      </c>
      <c r="E193" s="6">
        <v>1520791</v>
      </c>
      <c r="F193" s="6">
        <v>864149</v>
      </c>
      <c r="G193" s="8">
        <v>0.56820000000000004</v>
      </c>
      <c r="H193" s="6">
        <v>1365436</v>
      </c>
      <c r="I193" s="6">
        <v>765938</v>
      </c>
      <c r="J193" s="8">
        <v>0.56089999999999995</v>
      </c>
      <c r="K193" s="6">
        <v>1594898</v>
      </c>
      <c r="L193" s="6">
        <v>926937</v>
      </c>
      <c r="M193" s="8">
        <v>0.58120000000000005</v>
      </c>
      <c r="N193" s="6">
        <f>E193+H193+K193</f>
        <v>4481125</v>
      </c>
      <c r="O193" s="6">
        <f>F193+I193+L193</f>
        <v>2557024</v>
      </c>
      <c r="P193" s="8">
        <f t="shared" si="5"/>
        <v>0.57062099361209517</v>
      </c>
      <c r="Q193" s="6">
        <v>769369</v>
      </c>
      <c r="R193" s="6">
        <v>485980</v>
      </c>
      <c r="S193" s="8">
        <f t="shared" si="4"/>
        <v>0.63166049060983742</v>
      </c>
      <c r="T193" s="6">
        <v>1660390</v>
      </c>
      <c r="U193" s="6">
        <v>1065838</v>
      </c>
      <c r="V193" s="8">
        <f>U193/T193</f>
        <v>0.64192027174338562</v>
      </c>
    </row>
    <row r="194" spans="1:22" ht="14" x14ac:dyDescent="0.2">
      <c r="A194" s="1" t="s">
        <v>395</v>
      </c>
      <c r="B194" s="1" t="str">
        <f>VLOOKUP(A194,[60]HardwareList!A:I,3,FALSE)</f>
        <v>一般店</v>
      </c>
      <c r="C194" s="1" t="str">
        <f>VLOOKUP(A194,[60]HardwareList!A:I,4,FALSE)</f>
        <v>V2</v>
      </c>
      <c r="D194" s="1" t="s">
        <v>396</v>
      </c>
      <c r="E194" s="6">
        <v>1456873</v>
      </c>
      <c r="F194" s="6">
        <v>774363</v>
      </c>
      <c r="G194" s="8">
        <v>0.53149999999999997</v>
      </c>
      <c r="H194" s="6">
        <v>1323954</v>
      </c>
      <c r="I194" s="6">
        <v>723178</v>
      </c>
      <c r="J194" s="8">
        <v>0.54620000000000002</v>
      </c>
      <c r="K194" s="6">
        <v>1214931</v>
      </c>
      <c r="L194" s="6">
        <v>645698</v>
      </c>
      <c r="M194" s="8">
        <v>0.53149999999999997</v>
      </c>
      <c r="N194" s="6">
        <f>E194+H194+K194</f>
        <v>3995758</v>
      </c>
      <c r="O194" s="6">
        <f>F194+I194+L194</f>
        <v>2143239</v>
      </c>
      <c r="P194" s="8">
        <f t="shared" si="5"/>
        <v>0.53637857948354228</v>
      </c>
      <c r="Q194" s="6">
        <v>614433</v>
      </c>
      <c r="R194" s="6">
        <v>306708</v>
      </c>
      <c r="S194" s="8">
        <f t="shared" si="4"/>
        <v>0.49917240773200661</v>
      </c>
      <c r="T194" s="6">
        <v>1360044</v>
      </c>
      <c r="U194" s="6">
        <v>671066</v>
      </c>
      <c r="V194" s="8">
        <f>U194/T194</f>
        <v>0.49341491892909345</v>
      </c>
    </row>
    <row r="195" spans="1:22" ht="14" x14ac:dyDescent="0.2">
      <c r="A195" s="1" t="s">
        <v>397</v>
      </c>
      <c r="B195" s="1" t="str">
        <f>VLOOKUP(A195,[60]HardwareList!A:I,3,FALSE)</f>
        <v>數位店</v>
      </c>
      <c r="C195" s="1" t="str">
        <f>VLOOKUP(A195,[60]HardwareList!A:I,4,FALSE)</f>
        <v>V4</v>
      </c>
      <c r="D195" s="1" t="s">
        <v>398</v>
      </c>
      <c r="E195" s="6">
        <v>1873452</v>
      </c>
      <c r="F195" s="6">
        <v>1842941</v>
      </c>
      <c r="G195" s="8">
        <v>0.98370000000000002</v>
      </c>
      <c r="H195" s="6">
        <v>1851280</v>
      </c>
      <c r="I195" s="6">
        <v>1824361</v>
      </c>
      <c r="J195" s="8">
        <v>0.98550000000000004</v>
      </c>
      <c r="K195" s="6">
        <v>1926021</v>
      </c>
      <c r="L195" s="6">
        <v>1883807</v>
      </c>
      <c r="M195" s="8">
        <v>0.97809999999999997</v>
      </c>
      <c r="N195" s="6">
        <f>E195+H195+K195</f>
        <v>5650753</v>
      </c>
      <c r="O195" s="6">
        <f>F195+I195+L195</f>
        <v>5551109</v>
      </c>
      <c r="P195" s="8">
        <f t="shared" si="5"/>
        <v>0.98236624393244587</v>
      </c>
      <c r="Q195" s="6">
        <v>711589</v>
      </c>
      <c r="R195" s="6">
        <v>694221</v>
      </c>
      <c r="S195" s="8">
        <f t="shared" ref="S195:S198" si="6">R195/Q195</f>
        <v>0.9755926525002494</v>
      </c>
      <c r="T195" s="6">
        <v>3075656</v>
      </c>
      <c r="U195" s="6">
        <v>2981336</v>
      </c>
      <c r="V195" s="8">
        <f>U195/T195</f>
        <v>0.96933337148237642</v>
      </c>
    </row>
    <row r="196" spans="1:22" ht="14" x14ac:dyDescent="0.2">
      <c r="A196" s="1" t="s">
        <v>399</v>
      </c>
      <c r="B196" s="1" t="str">
        <f>VLOOKUP(A196,[60]HardwareList!A:I,3,FALSE)</f>
        <v>數位店</v>
      </c>
      <c r="C196" s="1" t="str">
        <f>VLOOKUP(A196,[60]HardwareList!A:I,4,FALSE)</f>
        <v>D2</v>
      </c>
      <c r="D196" s="1" t="s">
        <v>400</v>
      </c>
      <c r="E196" s="6">
        <v>1763152</v>
      </c>
      <c r="F196" s="6">
        <v>1709902</v>
      </c>
      <c r="G196" s="8">
        <v>0.9698</v>
      </c>
      <c r="H196" s="6">
        <v>1703272</v>
      </c>
      <c r="I196" s="6">
        <v>1652287</v>
      </c>
      <c r="J196" s="8">
        <v>0.97009999999999996</v>
      </c>
      <c r="K196" s="6">
        <v>1620852</v>
      </c>
      <c r="L196" s="6">
        <v>1560648</v>
      </c>
      <c r="M196" s="8">
        <v>0.96289999999999998</v>
      </c>
      <c r="N196" s="6">
        <f>E196+H196+K196</f>
        <v>5087276</v>
      </c>
      <c r="O196" s="6">
        <f>F196+I196+L196</f>
        <v>4922837</v>
      </c>
      <c r="P196" s="8">
        <f t="shared" ref="P196:P199" si="7">O196/N196</f>
        <v>0.96767641464705278</v>
      </c>
      <c r="Q196" s="6">
        <v>683551</v>
      </c>
      <c r="R196" s="6">
        <v>656911</v>
      </c>
      <c r="S196" s="8">
        <f t="shared" si="6"/>
        <v>0.96102704845724751</v>
      </c>
      <c r="T196" s="6">
        <v>2202750</v>
      </c>
      <c r="U196" s="6">
        <v>2115093</v>
      </c>
      <c r="V196" s="8">
        <f>U196/T196</f>
        <v>0.96020565202587671</v>
      </c>
    </row>
    <row r="197" spans="1:22" ht="14" x14ac:dyDescent="0.2">
      <c r="A197" s="1" t="s">
        <v>401</v>
      </c>
      <c r="B197" s="1" t="str">
        <f>VLOOKUP(A197,[60]HardwareList!A:I,3,FALSE)</f>
        <v>一般店</v>
      </c>
      <c r="C197" s="1" t="str">
        <f>VLOOKUP(A197,[60]HardwareList!A:I,4,FALSE)</f>
        <v>V2</v>
      </c>
      <c r="D197" s="1" t="s">
        <v>402</v>
      </c>
      <c r="E197" s="6">
        <v>1040142</v>
      </c>
      <c r="F197" s="6">
        <v>629943</v>
      </c>
      <c r="G197" s="8">
        <v>0.60560000000000003</v>
      </c>
      <c r="H197" s="6">
        <v>1099837</v>
      </c>
      <c r="I197" s="6">
        <v>658362</v>
      </c>
      <c r="J197" s="8">
        <v>0.59860000000000002</v>
      </c>
      <c r="K197" s="6">
        <v>1108339</v>
      </c>
      <c r="L197" s="6">
        <v>678116</v>
      </c>
      <c r="M197" s="8">
        <v>0.61180000000000001</v>
      </c>
      <c r="N197" s="6">
        <f>E197+H197+K197</f>
        <v>3248318</v>
      </c>
      <c r="O197" s="6">
        <f>F197+I197+L197</f>
        <v>1966421</v>
      </c>
      <c r="P197" s="8">
        <f t="shared" si="7"/>
        <v>0.60536591552920616</v>
      </c>
      <c r="Q197" s="6">
        <v>462886</v>
      </c>
      <c r="R197" s="6">
        <v>275064</v>
      </c>
      <c r="S197" s="8">
        <f t="shared" si="6"/>
        <v>0.59423702596319616</v>
      </c>
      <c r="T197" s="6">
        <v>987436</v>
      </c>
      <c r="U197" s="6">
        <v>586710</v>
      </c>
      <c r="V197" s="8">
        <f>U197/T197</f>
        <v>0.59417521743181334</v>
      </c>
    </row>
    <row r="198" spans="1:22" ht="14" x14ac:dyDescent="0.2">
      <c r="A198" s="1" t="s">
        <v>403</v>
      </c>
      <c r="B198" s="1" t="str">
        <f>VLOOKUP(A198,[60]HardwareList!A:I,3,FALSE)</f>
        <v>一般店</v>
      </c>
      <c r="C198" s="1" t="str">
        <f>VLOOKUP(A198,[60]HardwareList!A:I,4,FALSE)</f>
        <v>V4</v>
      </c>
      <c r="D198" s="1" t="s">
        <v>404</v>
      </c>
      <c r="E198" s="6">
        <v>995471</v>
      </c>
      <c r="F198" s="6">
        <v>636058</v>
      </c>
      <c r="G198" s="8">
        <v>0.63900000000000001</v>
      </c>
      <c r="H198" s="6">
        <v>919385</v>
      </c>
      <c r="I198" s="6">
        <v>582024</v>
      </c>
      <c r="J198" s="8">
        <v>0.6331</v>
      </c>
      <c r="K198" s="6">
        <v>1077898</v>
      </c>
      <c r="L198" s="6">
        <v>704695</v>
      </c>
      <c r="M198" s="8">
        <v>0.65380000000000005</v>
      </c>
      <c r="N198" s="6">
        <f>E198+H198+K198</f>
        <v>2992754</v>
      </c>
      <c r="O198" s="6">
        <f>F198+I198+L198</f>
        <v>1922777</v>
      </c>
      <c r="P198" s="8">
        <f t="shared" si="7"/>
        <v>0.64247746390114258</v>
      </c>
      <c r="Q198" s="6">
        <v>430920</v>
      </c>
      <c r="R198" s="6">
        <v>253792</v>
      </c>
      <c r="S198" s="8">
        <f t="shared" si="6"/>
        <v>0.58895386614684864</v>
      </c>
      <c r="T198" s="6">
        <v>923448</v>
      </c>
      <c r="U198" s="6">
        <v>539160</v>
      </c>
      <c r="V198" s="8">
        <f>U198/T198</f>
        <v>0.58385529017335036</v>
      </c>
    </row>
    <row r="199" spans="1:22" ht="14" x14ac:dyDescent="0.2">
      <c r="E199" s="14">
        <f>SUM(E2:E198)</f>
        <v>186069299</v>
      </c>
      <c r="F199" s="14">
        <f>SUM(F2:F198)</f>
        <v>134816789</v>
      </c>
      <c r="G199" s="15">
        <f>F199/E199</f>
        <v>0.72455149626806514</v>
      </c>
      <c r="H199" s="14">
        <f>SUM(H2:H198)</f>
        <v>182912878</v>
      </c>
      <c r="I199" s="14">
        <f>SUM(I2:I198)</f>
        <v>131150809</v>
      </c>
      <c r="J199" s="15">
        <f>I199/H199</f>
        <v>0.71701244020664312</v>
      </c>
      <c r="K199" s="14">
        <f>SUM(K2:K198)</f>
        <v>186628294</v>
      </c>
      <c r="L199" s="14">
        <f>SUM(L2:L198)</f>
        <v>134618491</v>
      </c>
      <c r="M199" s="15">
        <f>L199/K199</f>
        <v>0.72131876745334234</v>
      </c>
      <c r="N199" s="14">
        <f>SUM(N2:N198)</f>
        <v>555610471</v>
      </c>
      <c r="O199" s="14">
        <f>SUM(O2:O198)</f>
        <v>400586089</v>
      </c>
      <c r="P199" s="15">
        <f>O199/N199</f>
        <v>0.72098369254815575</v>
      </c>
      <c r="Q199" s="14">
        <f>SUM(Q2:Q198)</f>
        <v>84563855</v>
      </c>
      <c r="R199" s="14">
        <f>SUM(R2:R198)</f>
        <v>57608801</v>
      </c>
      <c r="S199" s="15">
        <f>R199/Q199</f>
        <v>0.68124615416361989</v>
      </c>
      <c r="T199" s="14">
        <f>SUM(T2:T198)</f>
        <v>218141697</v>
      </c>
      <c r="U199" s="14">
        <f>SUM(U2:U198)</f>
        <v>159608785</v>
      </c>
      <c r="V199" s="15">
        <f>U199/T199</f>
        <v>0.73167481134979895</v>
      </c>
    </row>
    <row r="200" spans="1:22" ht="14" x14ac:dyDescent="0.2"/>
    <row r="201" spans="1:22" ht="14" x14ac:dyDescent="0.2"/>
    <row r="202" spans="1:22" ht="14" x14ac:dyDescent="0.2"/>
    <row r="203" spans="1:22" ht="14" x14ac:dyDescent="0.2"/>
    <row r="204" spans="1:22" ht="14" x14ac:dyDescent="0.2"/>
    <row r="205" spans="1:22" ht="14" x14ac:dyDescent="0.2"/>
    <row r="206" spans="1:22" ht="14" x14ac:dyDescent="0.2"/>
    <row r="207" spans="1:22" ht="14" x14ac:dyDescent="0.2"/>
    <row r="208" spans="1:22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ht="14" x14ac:dyDescent="0.2"/>
    <row r="370" ht="14" x14ac:dyDescent="0.2"/>
    <row r="371" ht="14" x14ac:dyDescent="0.2"/>
    <row r="372" ht="14" x14ac:dyDescent="0.2"/>
    <row r="373" ht="14" x14ac:dyDescent="0.2"/>
    <row r="374" ht="14" x14ac:dyDescent="0.2"/>
    <row r="375" ht="14" x14ac:dyDescent="0.2"/>
    <row r="376" ht="14" x14ac:dyDescent="0.2"/>
    <row r="377" ht="14" x14ac:dyDescent="0.2"/>
    <row r="378" ht="14" x14ac:dyDescent="0.2"/>
    <row r="379" ht="14" x14ac:dyDescent="0.2"/>
    <row r="380" ht="14" x14ac:dyDescent="0.2"/>
    <row r="381" ht="14" x14ac:dyDescent="0.2"/>
    <row r="382" ht="14" x14ac:dyDescent="0.2"/>
    <row r="383" ht="14" x14ac:dyDescent="0.2"/>
    <row r="384" ht="14" x14ac:dyDescent="0.2"/>
    <row r="385" ht="14" x14ac:dyDescent="0.2"/>
    <row r="386" ht="14" x14ac:dyDescent="0.2"/>
    <row r="387" ht="14" x14ac:dyDescent="0.2"/>
    <row r="388" ht="14" x14ac:dyDescent="0.2"/>
    <row r="389" ht="14" x14ac:dyDescent="0.2"/>
    <row r="390" ht="14" x14ac:dyDescent="0.2"/>
    <row r="391" ht="14" x14ac:dyDescent="0.2"/>
    <row r="392" ht="14" x14ac:dyDescent="0.2"/>
    <row r="393" ht="14" x14ac:dyDescent="0.2"/>
    <row r="394" ht="14" x14ac:dyDescent="0.2"/>
    <row r="395" ht="14" x14ac:dyDescent="0.2"/>
    <row r="396" ht="14" x14ac:dyDescent="0.2"/>
    <row r="397" ht="14" x14ac:dyDescent="0.2"/>
    <row r="398" ht="14" x14ac:dyDescent="0.2"/>
    <row r="399" ht="14" x14ac:dyDescent="0.2"/>
    <row r="400" ht="14" x14ac:dyDescent="0.2"/>
    <row r="401" ht="14" x14ac:dyDescent="0.2"/>
    <row r="402" ht="14" x14ac:dyDescent="0.2"/>
    <row r="403" ht="14" x14ac:dyDescent="0.2"/>
    <row r="404" ht="14" x14ac:dyDescent="0.2"/>
    <row r="405" ht="14" x14ac:dyDescent="0.2"/>
    <row r="406" ht="14" x14ac:dyDescent="0.2"/>
    <row r="407" ht="14" x14ac:dyDescent="0.2"/>
    <row r="408" ht="14" x14ac:dyDescent="0.2"/>
    <row r="409" ht="14" x14ac:dyDescent="0.2"/>
    <row r="410" ht="14" x14ac:dyDescent="0.2"/>
    <row r="411" ht="14" x14ac:dyDescent="0.2"/>
    <row r="412" ht="14" x14ac:dyDescent="0.2"/>
    <row r="413" ht="14" x14ac:dyDescent="0.2"/>
    <row r="414" ht="14" x14ac:dyDescent="0.2"/>
    <row r="415" ht="14" x14ac:dyDescent="0.2"/>
    <row r="416" ht="14" x14ac:dyDescent="0.2"/>
    <row r="417" ht="14" x14ac:dyDescent="0.2"/>
    <row r="418" ht="14" x14ac:dyDescent="0.2"/>
    <row r="419" ht="14" x14ac:dyDescent="0.2"/>
    <row r="420" ht="14" x14ac:dyDescent="0.2"/>
    <row r="421" ht="14" x14ac:dyDescent="0.2"/>
    <row r="422" ht="14" x14ac:dyDescent="0.2"/>
    <row r="423" ht="14" x14ac:dyDescent="0.2"/>
    <row r="424" ht="14" x14ac:dyDescent="0.2"/>
    <row r="425" ht="14" x14ac:dyDescent="0.2"/>
    <row r="426" ht="14" x14ac:dyDescent="0.2"/>
    <row r="427" ht="14" x14ac:dyDescent="0.2"/>
    <row r="428" ht="14" x14ac:dyDescent="0.2"/>
    <row r="429" ht="14" x14ac:dyDescent="0.2"/>
    <row r="430" ht="14" x14ac:dyDescent="0.2"/>
    <row r="431" ht="14" x14ac:dyDescent="0.2"/>
    <row r="432" ht="14" x14ac:dyDescent="0.2"/>
    <row r="433" ht="14" x14ac:dyDescent="0.2"/>
    <row r="434" ht="14" x14ac:dyDescent="0.2"/>
    <row r="435" ht="14" x14ac:dyDescent="0.2"/>
    <row r="436" ht="14" x14ac:dyDescent="0.2"/>
    <row r="437" ht="14" x14ac:dyDescent="0.2"/>
    <row r="438" ht="14" x14ac:dyDescent="0.2"/>
    <row r="439" ht="14" x14ac:dyDescent="0.2"/>
    <row r="440" ht="14" x14ac:dyDescent="0.2"/>
    <row r="441" ht="14" x14ac:dyDescent="0.2"/>
    <row r="442" ht="14" x14ac:dyDescent="0.2"/>
    <row r="443" ht="14" x14ac:dyDescent="0.2"/>
    <row r="444" ht="14" x14ac:dyDescent="0.2"/>
    <row r="445" ht="14" x14ac:dyDescent="0.2"/>
    <row r="446" ht="14" x14ac:dyDescent="0.2"/>
    <row r="447" ht="14" x14ac:dyDescent="0.2"/>
    <row r="448" ht="14" x14ac:dyDescent="0.2"/>
    <row r="449" ht="14" x14ac:dyDescent="0.2"/>
    <row r="450" ht="14" x14ac:dyDescent="0.2"/>
    <row r="451" ht="14" x14ac:dyDescent="0.2"/>
    <row r="452" ht="14" x14ac:dyDescent="0.2"/>
    <row r="453" ht="14" x14ac:dyDescent="0.2"/>
    <row r="454" ht="14" x14ac:dyDescent="0.2"/>
    <row r="455" ht="14" x14ac:dyDescent="0.2"/>
    <row r="456" ht="14" x14ac:dyDescent="0.2"/>
    <row r="457" ht="14" x14ac:dyDescent="0.2"/>
    <row r="458" ht="14" x14ac:dyDescent="0.2"/>
    <row r="459" ht="14" x14ac:dyDescent="0.2"/>
    <row r="460" ht="14" x14ac:dyDescent="0.2"/>
    <row r="461" ht="14" x14ac:dyDescent="0.2"/>
    <row r="462" ht="14" x14ac:dyDescent="0.2"/>
    <row r="463" ht="14" x14ac:dyDescent="0.2"/>
    <row r="464" ht="14" x14ac:dyDescent="0.2"/>
    <row r="465" ht="14" x14ac:dyDescent="0.2"/>
    <row r="466" ht="14" x14ac:dyDescent="0.2"/>
    <row r="467" ht="14" x14ac:dyDescent="0.2"/>
    <row r="468" ht="14" x14ac:dyDescent="0.2"/>
    <row r="469" ht="14" x14ac:dyDescent="0.2"/>
    <row r="470" ht="14" x14ac:dyDescent="0.2"/>
    <row r="471" ht="14" x14ac:dyDescent="0.2"/>
    <row r="472" ht="14" x14ac:dyDescent="0.2"/>
    <row r="473" ht="14" x14ac:dyDescent="0.2"/>
    <row r="474" ht="14" x14ac:dyDescent="0.2"/>
    <row r="475" ht="14" x14ac:dyDescent="0.2"/>
    <row r="476" ht="14" x14ac:dyDescent="0.2"/>
    <row r="477" ht="14" x14ac:dyDescent="0.2"/>
    <row r="478" ht="14" x14ac:dyDescent="0.2"/>
    <row r="479" ht="14" x14ac:dyDescent="0.2"/>
    <row r="480" ht="14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  <row r="489" ht="14" x14ac:dyDescent="0.2"/>
    <row r="490" ht="14" x14ac:dyDescent="0.2"/>
    <row r="491" ht="14" x14ac:dyDescent="0.2"/>
    <row r="492" ht="14" x14ac:dyDescent="0.2"/>
    <row r="493" ht="14" x14ac:dyDescent="0.2"/>
    <row r="494" ht="14" x14ac:dyDescent="0.2"/>
    <row r="495" ht="14" x14ac:dyDescent="0.2"/>
    <row r="496" ht="14" x14ac:dyDescent="0.2"/>
    <row r="497" ht="14" x14ac:dyDescent="0.2"/>
    <row r="498" ht="14" x14ac:dyDescent="0.2"/>
    <row r="499" ht="14" x14ac:dyDescent="0.2"/>
    <row r="500" ht="14" x14ac:dyDescent="0.2"/>
    <row r="501" ht="14" x14ac:dyDescent="0.2"/>
    <row r="502" ht="14" x14ac:dyDescent="0.2"/>
    <row r="503" ht="14" x14ac:dyDescent="0.2"/>
    <row r="504" ht="14" x14ac:dyDescent="0.2"/>
    <row r="505" ht="14" x14ac:dyDescent="0.2"/>
    <row r="506" ht="14" x14ac:dyDescent="0.2"/>
    <row r="507" ht="14" x14ac:dyDescent="0.2"/>
    <row r="508" ht="14" x14ac:dyDescent="0.2"/>
    <row r="509" ht="14" x14ac:dyDescent="0.2"/>
    <row r="510" ht="14" x14ac:dyDescent="0.2"/>
    <row r="511" ht="14" x14ac:dyDescent="0.2"/>
    <row r="512" ht="14" x14ac:dyDescent="0.2"/>
    <row r="513" ht="14" x14ac:dyDescent="0.2"/>
    <row r="514" ht="14" x14ac:dyDescent="0.2"/>
    <row r="515" ht="14" x14ac:dyDescent="0.2"/>
    <row r="516" ht="14" x14ac:dyDescent="0.2"/>
    <row r="517" ht="14" x14ac:dyDescent="0.2"/>
    <row r="518" ht="14" x14ac:dyDescent="0.2"/>
    <row r="519" ht="14" x14ac:dyDescent="0.2"/>
    <row r="520" ht="14" x14ac:dyDescent="0.2"/>
    <row r="521" ht="14" x14ac:dyDescent="0.2"/>
    <row r="522" ht="14" x14ac:dyDescent="0.2"/>
    <row r="523" ht="14" x14ac:dyDescent="0.2"/>
    <row r="524" ht="14" x14ac:dyDescent="0.2"/>
    <row r="525" ht="14" x14ac:dyDescent="0.2"/>
    <row r="526" ht="14" x14ac:dyDescent="0.2"/>
    <row r="527" ht="14" x14ac:dyDescent="0.2"/>
    <row r="528" ht="14" x14ac:dyDescent="0.2"/>
    <row r="529" ht="14" x14ac:dyDescent="0.2"/>
    <row r="530" ht="14" x14ac:dyDescent="0.2"/>
    <row r="531" ht="14" x14ac:dyDescent="0.2"/>
    <row r="532" ht="14" x14ac:dyDescent="0.2"/>
    <row r="533" ht="14" x14ac:dyDescent="0.2"/>
    <row r="534" ht="14" x14ac:dyDescent="0.2"/>
    <row r="535" ht="14" x14ac:dyDescent="0.2"/>
    <row r="536" ht="14" x14ac:dyDescent="0.2"/>
    <row r="537" ht="14" x14ac:dyDescent="0.2"/>
    <row r="538" ht="14" x14ac:dyDescent="0.2"/>
    <row r="539" ht="14" x14ac:dyDescent="0.2"/>
    <row r="540" ht="14" x14ac:dyDescent="0.2"/>
    <row r="541" ht="14" x14ac:dyDescent="0.2"/>
    <row r="542" ht="14" x14ac:dyDescent="0.2"/>
    <row r="543" ht="14" x14ac:dyDescent="0.2"/>
    <row r="544" ht="14" x14ac:dyDescent="0.2"/>
    <row r="545" ht="14" x14ac:dyDescent="0.2"/>
    <row r="546" ht="14" x14ac:dyDescent="0.2"/>
    <row r="547" ht="14" x14ac:dyDescent="0.2"/>
    <row r="548" ht="14" x14ac:dyDescent="0.2"/>
    <row r="549" ht="14" x14ac:dyDescent="0.2"/>
    <row r="550" ht="14" x14ac:dyDescent="0.2"/>
    <row r="551" ht="14" x14ac:dyDescent="0.2"/>
    <row r="552" ht="14" x14ac:dyDescent="0.2"/>
    <row r="553" ht="14" x14ac:dyDescent="0.2"/>
    <row r="554" ht="14" x14ac:dyDescent="0.2"/>
    <row r="555" ht="14" x14ac:dyDescent="0.2"/>
    <row r="556" ht="14" x14ac:dyDescent="0.2"/>
    <row r="557" ht="14" x14ac:dyDescent="0.2"/>
    <row r="558" ht="14" x14ac:dyDescent="0.2"/>
    <row r="559" ht="14" x14ac:dyDescent="0.2"/>
    <row r="560" ht="14" x14ac:dyDescent="0.2"/>
    <row r="561" ht="14" x14ac:dyDescent="0.2"/>
    <row r="562" ht="14" x14ac:dyDescent="0.2"/>
    <row r="563" ht="14" x14ac:dyDescent="0.2"/>
    <row r="564" ht="14" x14ac:dyDescent="0.2"/>
    <row r="565" ht="14" x14ac:dyDescent="0.2"/>
    <row r="566" ht="14" x14ac:dyDescent="0.2"/>
    <row r="567" ht="14" x14ac:dyDescent="0.2"/>
    <row r="568" ht="14" x14ac:dyDescent="0.2"/>
    <row r="569" ht="14" x14ac:dyDescent="0.2"/>
    <row r="570" ht="14" x14ac:dyDescent="0.2"/>
    <row r="571" ht="14" x14ac:dyDescent="0.2"/>
    <row r="572" ht="14" x14ac:dyDescent="0.2"/>
    <row r="573" ht="14" x14ac:dyDescent="0.2"/>
    <row r="574" ht="14" x14ac:dyDescent="0.2"/>
    <row r="575" ht="14" x14ac:dyDescent="0.2"/>
    <row r="576" ht="14" x14ac:dyDescent="0.2"/>
    <row r="577" ht="14" x14ac:dyDescent="0.2"/>
    <row r="578" ht="14" x14ac:dyDescent="0.2"/>
    <row r="579" ht="14" x14ac:dyDescent="0.2"/>
    <row r="580" ht="14" x14ac:dyDescent="0.2"/>
    <row r="581" ht="14" x14ac:dyDescent="0.2"/>
    <row r="582" ht="14" x14ac:dyDescent="0.2"/>
    <row r="583" ht="14" x14ac:dyDescent="0.2"/>
    <row r="584" ht="14" x14ac:dyDescent="0.2"/>
    <row r="585" ht="14" x14ac:dyDescent="0.2"/>
    <row r="586" ht="14" x14ac:dyDescent="0.2"/>
    <row r="587" ht="14" x14ac:dyDescent="0.2"/>
    <row r="588" ht="14" x14ac:dyDescent="0.2"/>
    <row r="589" ht="14" x14ac:dyDescent="0.2"/>
    <row r="590" ht="14" x14ac:dyDescent="0.2"/>
    <row r="591" ht="14" x14ac:dyDescent="0.2"/>
    <row r="592" ht="14" x14ac:dyDescent="0.2"/>
    <row r="593" ht="14" x14ac:dyDescent="0.2"/>
    <row r="594" ht="14" x14ac:dyDescent="0.2"/>
    <row r="595" ht="14" x14ac:dyDescent="0.2"/>
    <row r="596" ht="14" x14ac:dyDescent="0.2"/>
    <row r="597" ht="14" x14ac:dyDescent="0.2"/>
    <row r="598" ht="14" x14ac:dyDescent="0.2"/>
    <row r="599" ht="14" x14ac:dyDescent="0.2"/>
    <row r="600" ht="14" x14ac:dyDescent="0.2"/>
    <row r="601" ht="14" x14ac:dyDescent="0.2"/>
    <row r="602" ht="14" x14ac:dyDescent="0.2"/>
    <row r="603" ht="14" x14ac:dyDescent="0.2"/>
    <row r="604" ht="14" x14ac:dyDescent="0.2"/>
    <row r="605" ht="14" x14ac:dyDescent="0.2"/>
    <row r="606" ht="14" x14ac:dyDescent="0.2"/>
    <row r="607" ht="14" x14ac:dyDescent="0.2"/>
    <row r="608" ht="14" x14ac:dyDescent="0.2"/>
    <row r="609" ht="14" x14ac:dyDescent="0.2"/>
    <row r="610" ht="14" x14ac:dyDescent="0.2"/>
    <row r="611" ht="14" x14ac:dyDescent="0.2"/>
    <row r="612" ht="14" x14ac:dyDescent="0.2"/>
    <row r="613" ht="14" x14ac:dyDescent="0.2"/>
    <row r="614" ht="14" x14ac:dyDescent="0.2"/>
    <row r="615" ht="14" x14ac:dyDescent="0.2"/>
    <row r="616" ht="14" x14ac:dyDescent="0.2"/>
    <row r="617" ht="14" x14ac:dyDescent="0.2"/>
    <row r="618" ht="14" x14ac:dyDescent="0.2"/>
    <row r="619" ht="14" x14ac:dyDescent="0.2"/>
    <row r="620" ht="14" x14ac:dyDescent="0.2"/>
    <row r="621" ht="14" x14ac:dyDescent="0.2"/>
    <row r="622" ht="14" x14ac:dyDescent="0.2"/>
    <row r="623" ht="14" x14ac:dyDescent="0.2"/>
    <row r="624" ht="14" x14ac:dyDescent="0.2"/>
    <row r="625" ht="14" x14ac:dyDescent="0.2"/>
    <row r="626" ht="14" x14ac:dyDescent="0.2"/>
    <row r="627" ht="14" x14ac:dyDescent="0.2"/>
    <row r="628" ht="14" x14ac:dyDescent="0.2"/>
    <row r="629" ht="14" x14ac:dyDescent="0.2"/>
    <row r="630" ht="14" x14ac:dyDescent="0.2"/>
    <row r="631" ht="14" x14ac:dyDescent="0.2"/>
    <row r="632" ht="14" x14ac:dyDescent="0.2"/>
    <row r="633" ht="14" x14ac:dyDescent="0.2"/>
    <row r="634" ht="14" x14ac:dyDescent="0.2"/>
    <row r="635" ht="14" x14ac:dyDescent="0.2"/>
    <row r="636" ht="14" x14ac:dyDescent="0.2"/>
    <row r="637" ht="14" x14ac:dyDescent="0.2"/>
    <row r="638" ht="14" x14ac:dyDescent="0.2"/>
    <row r="639" ht="14" x14ac:dyDescent="0.2"/>
    <row r="640" ht="14" x14ac:dyDescent="0.2"/>
    <row r="641" ht="14" x14ac:dyDescent="0.2"/>
    <row r="642" ht="14" x14ac:dyDescent="0.2"/>
    <row r="643" ht="14" x14ac:dyDescent="0.2"/>
    <row r="644" ht="14" x14ac:dyDescent="0.2"/>
    <row r="645" ht="14" x14ac:dyDescent="0.2"/>
    <row r="646" ht="14" x14ac:dyDescent="0.2"/>
    <row r="647" ht="14" x14ac:dyDescent="0.2"/>
    <row r="648" ht="14" x14ac:dyDescent="0.2"/>
    <row r="649" ht="14" x14ac:dyDescent="0.2"/>
    <row r="650" ht="14" x14ac:dyDescent="0.2"/>
    <row r="651" ht="14" x14ac:dyDescent="0.2"/>
    <row r="652" ht="14" x14ac:dyDescent="0.2"/>
    <row r="653" ht="14" x14ac:dyDescent="0.2"/>
    <row r="654" ht="14" x14ac:dyDescent="0.2"/>
    <row r="655" ht="14" x14ac:dyDescent="0.2"/>
    <row r="656" ht="14" x14ac:dyDescent="0.2"/>
    <row r="657" ht="14" x14ac:dyDescent="0.2"/>
    <row r="658" ht="14" x14ac:dyDescent="0.2"/>
    <row r="659" ht="14" x14ac:dyDescent="0.2"/>
    <row r="660" ht="14" x14ac:dyDescent="0.2"/>
    <row r="661" ht="14" x14ac:dyDescent="0.2"/>
    <row r="662" ht="14" x14ac:dyDescent="0.2"/>
    <row r="663" ht="14" x14ac:dyDescent="0.2"/>
    <row r="664" ht="14" x14ac:dyDescent="0.2"/>
    <row r="665" ht="14" x14ac:dyDescent="0.2"/>
    <row r="666" ht="14" x14ac:dyDescent="0.2"/>
    <row r="667" ht="14" x14ac:dyDescent="0.2"/>
    <row r="668" ht="14" x14ac:dyDescent="0.2"/>
    <row r="669" ht="14" x14ac:dyDescent="0.2"/>
    <row r="670" ht="14" x14ac:dyDescent="0.2"/>
    <row r="671" ht="14" x14ac:dyDescent="0.2"/>
    <row r="672" ht="14" x14ac:dyDescent="0.2"/>
    <row r="673" ht="14" x14ac:dyDescent="0.2"/>
    <row r="674" ht="14" x14ac:dyDescent="0.2"/>
    <row r="675" ht="14" x14ac:dyDescent="0.2"/>
    <row r="676" ht="14" x14ac:dyDescent="0.2"/>
    <row r="677" ht="14" x14ac:dyDescent="0.2"/>
    <row r="678" ht="14" x14ac:dyDescent="0.2"/>
    <row r="679" ht="14" x14ac:dyDescent="0.2"/>
    <row r="680" ht="14" x14ac:dyDescent="0.2"/>
    <row r="681" ht="14" x14ac:dyDescent="0.2"/>
    <row r="682" ht="14" x14ac:dyDescent="0.2"/>
    <row r="683" ht="14" x14ac:dyDescent="0.2"/>
    <row r="684" ht="14" x14ac:dyDescent="0.2"/>
    <row r="685" ht="14" x14ac:dyDescent="0.2"/>
    <row r="686" ht="14" x14ac:dyDescent="0.2"/>
    <row r="687" ht="14" x14ac:dyDescent="0.2"/>
    <row r="688" ht="14" x14ac:dyDescent="0.2"/>
    <row r="689" ht="14" x14ac:dyDescent="0.2"/>
    <row r="690" ht="14" x14ac:dyDescent="0.2"/>
    <row r="691" ht="14" x14ac:dyDescent="0.2"/>
    <row r="692" ht="14" x14ac:dyDescent="0.2"/>
    <row r="693" ht="14" x14ac:dyDescent="0.2"/>
    <row r="694" ht="14" x14ac:dyDescent="0.2"/>
    <row r="695" ht="14" x14ac:dyDescent="0.2"/>
    <row r="696" ht="14" x14ac:dyDescent="0.2"/>
    <row r="697" ht="14" x14ac:dyDescent="0.2"/>
    <row r="698" ht="14" x14ac:dyDescent="0.2"/>
    <row r="699" ht="14" x14ac:dyDescent="0.2"/>
    <row r="700" ht="14" x14ac:dyDescent="0.2"/>
    <row r="701" ht="14" x14ac:dyDescent="0.2"/>
    <row r="702" ht="14" x14ac:dyDescent="0.2"/>
    <row r="703" ht="14" x14ac:dyDescent="0.2"/>
    <row r="704" ht="14" x14ac:dyDescent="0.2"/>
    <row r="705" ht="14" x14ac:dyDescent="0.2"/>
    <row r="706" ht="14" x14ac:dyDescent="0.2"/>
    <row r="707" ht="14" x14ac:dyDescent="0.2"/>
    <row r="708" ht="14" x14ac:dyDescent="0.2"/>
    <row r="709" ht="14" x14ac:dyDescent="0.2"/>
    <row r="710" ht="14" x14ac:dyDescent="0.2"/>
    <row r="711" ht="14" x14ac:dyDescent="0.2"/>
    <row r="712" ht="14" x14ac:dyDescent="0.2"/>
    <row r="713" ht="14" x14ac:dyDescent="0.2"/>
    <row r="714" ht="14" x14ac:dyDescent="0.2"/>
    <row r="715" ht="14" x14ac:dyDescent="0.2"/>
    <row r="716" ht="14" x14ac:dyDescent="0.2"/>
    <row r="717" ht="14" x14ac:dyDescent="0.2"/>
    <row r="718" ht="14" x14ac:dyDescent="0.2"/>
    <row r="719" ht="14" x14ac:dyDescent="0.2"/>
    <row r="720" ht="14" x14ac:dyDescent="0.2"/>
    <row r="721" ht="14" x14ac:dyDescent="0.2"/>
    <row r="722" ht="14" x14ac:dyDescent="0.2"/>
    <row r="723" ht="14" x14ac:dyDescent="0.2"/>
    <row r="724" ht="14" x14ac:dyDescent="0.2"/>
    <row r="725" ht="14" x14ac:dyDescent="0.2"/>
    <row r="726" ht="14" x14ac:dyDescent="0.2"/>
    <row r="727" ht="14" x14ac:dyDescent="0.2"/>
    <row r="728" ht="14" x14ac:dyDescent="0.2"/>
    <row r="729" ht="14" x14ac:dyDescent="0.2"/>
    <row r="730" ht="14" x14ac:dyDescent="0.2"/>
    <row r="731" ht="14" x14ac:dyDescent="0.2"/>
    <row r="732" ht="14" x14ac:dyDescent="0.2"/>
    <row r="733" ht="14" x14ac:dyDescent="0.2"/>
    <row r="734" ht="14" x14ac:dyDescent="0.2"/>
    <row r="735" ht="14" x14ac:dyDescent="0.2"/>
    <row r="736" ht="14" x14ac:dyDescent="0.2"/>
    <row r="737" ht="14" x14ac:dyDescent="0.2"/>
    <row r="738" ht="14" x14ac:dyDescent="0.2"/>
    <row r="739" ht="14" x14ac:dyDescent="0.2"/>
    <row r="740" ht="14" x14ac:dyDescent="0.2"/>
    <row r="741" ht="14" x14ac:dyDescent="0.2"/>
    <row r="742" ht="14" x14ac:dyDescent="0.2"/>
    <row r="743" ht="14" x14ac:dyDescent="0.2"/>
    <row r="744" ht="14" x14ac:dyDescent="0.2"/>
    <row r="745" ht="14" x14ac:dyDescent="0.2"/>
    <row r="746" ht="14" x14ac:dyDescent="0.2"/>
    <row r="747" ht="14" x14ac:dyDescent="0.2"/>
    <row r="748" ht="14" x14ac:dyDescent="0.2"/>
    <row r="749" ht="14" x14ac:dyDescent="0.2"/>
    <row r="750" ht="14" x14ac:dyDescent="0.2"/>
    <row r="751" ht="14" x14ac:dyDescent="0.2"/>
    <row r="752" ht="14" x14ac:dyDescent="0.2"/>
    <row r="753" ht="14" x14ac:dyDescent="0.2"/>
    <row r="754" ht="14" x14ac:dyDescent="0.2"/>
    <row r="755" ht="14" x14ac:dyDescent="0.2"/>
    <row r="756" ht="14" x14ac:dyDescent="0.2"/>
    <row r="757" ht="14" x14ac:dyDescent="0.2"/>
    <row r="758" ht="14" x14ac:dyDescent="0.2"/>
    <row r="759" ht="14" x14ac:dyDescent="0.2"/>
    <row r="760" ht="14" x14ac:dyDescent="0.2"/>
    <row r="761" ht="14" x14ac:dyDescent="0.2"/>
    <row r="762" ht="14" x14ac:dyDescent="0.2"/>
    <row r="763" ht="14" x14ac:dyDescent="0.2"/>
    <row r="764" ht="14" x14ac:dyDescent="0.2"/>
    <row r="765" ht="14" x14ac:dyDescent="0.2"/>
    <row r="766" ht="14" x14ac:dyDescent="0.2"/>
    <row r="767" ht="14" x14ac:dyDescent="0.2"/>
    <row r="768" ht="14" x14ac:dyDescent="0.2"/>
    <row r="769" ht="14" x14ac:dyDescent="0.2"/>
    <row r="770" ht="14" x14ac:dyDescent="0.2"/>
    <row r="771" ht="14" x14ac:dyDescent="0.2"/>
    <row r="772" ht="14" x14ac:dyDescent="0.2"/>
    <row r="773" ht="14" x14ac:dyDescent="0.2"/>
    <row r="774" ht="14" x14ac:dyDescent="0.2"/>
    <row r="775" ht="14" x14ac:dyDescent="0.2"/>
    <row r="776" ht="14" x14ac:dyDescent="0.2"/>
    <row r="777" ht="14" x14ac:dyDescent="0.2"/>
    <row r="778" ht="14" x14ac:dyDescent="0.2"/>
    <row r="779" ht="14" x14ac:dyDescent="0.2"/>
    <row r="780" ht="14" x14ac:dyDescent="0.2"/>
    <row r="781" ht="14" x14ac:dyDescent="0.2"/>
    <row r="782" ht="14" x14ac:dyDescent="0.2"/>
    <row r="783" ht="14" x14ac:dyDescent="0.2"/>
    <row r="784" ht="14" x14ac:dyDescent="0.2"/>
    <row r="785" ht="14" x14ac:dyDescent="0.2"/>
    <row r="786" ht="14" x14ac:dyDescent="0.2"/>
    <row r="787" ht="14" x14ac:dyDescent="0.2"/>
    <row r="788" ht="14" x14ac:dyDescent="0.2"/>
    <row r="789" ht="14" x14ac:dyDescent="0.2"/>
    <row r="790" ht="14" x14ac:dyDescent="0.2"/>
    <row r="791" ht="14" x14ac:dyDescent="0.2"/>
    <row r="792" ht="14" x14ac:dyDescent="0.2"/>
    <row r="793" ht="14" x14ac:dyDescent="0.2"/>
    <row r="794" ht="14" x14ac:dyDescent="0.2"/>
    <row r="795" ht="14" x14ac:dyDescent="0.2"/>
    <row r="796" ht="14" x14ac:dyDescent="0.2"/>
    <row r="797" ht="14" x14ac:dyDescent="0.2"/>
    <row r="798" ht="14" x14ac:dyDescent="0.2"/>
    <row r="799" ht="14" x14ac:dyDescent="0.2"/>
    <row r="800" ht="14" x14ac:dyDescent="0.2"/>
    <row r="801" ht="14" x14ac:dyDescent="0.2"/>
    <row r="802" ht="14" x14ac:dyDescent="0.2"/>
    <row r="803" ht="14" x14ac:dyDescent="0.2"/>
    <row r="804" ht="14" x14ac:dyDescent="0.2"/>
    <row r="805" ht="14" x14ac:dyDescent="0.2"/>
    <row r="806" ht="14" x14ac:dyDescent="0.2"/>
    <row r="807" ht="14" x14ac:dyDescent="0.2"/>
    <row r="808" ht="14" x14ac:dyDescent="0.2"/>
    <row r="809" ht="14" x14ac:dyDescent="0.2"/>
    <row r="810" ht="14" x14ac:dyDescent="0.2"/>
    <row r="811" ht="14" x14ac:dyDescent="0.2"/>
    <row r="812" ht="14" x14ac:dyDescent="0.2"/>
    <row r="813" ht="14" x14ac:dyDescent="0.2"/>
    <row r="814" ht="14" x14ac:dyDescent="0.2"/>
    <row r="815" ht="14" x14ac:dyDescent="0.2"/>
    <row r="816" ht="14" x14ac:dyDescent="0.2"/>
    <row r="817" ht="14" x14ac:dyDescent="0.2"/>
    <row r="818" ht="14" x14ac:dyDescent="0.2"/>
    <row r="819" ht="14" x14ac:dyDescent="0.2"/>
    <row r="820" ht="14" x14ac:dyDescent="0.2"/>
    <row r="821" ht="14" x14ac:dyDescent="0.2"/>
    <row r="822" ht="14" x14ac:dyDescent="0.2"/>
    <row r="823" ht="14" x14ac:dyDescent="0.2"/>
    <row r="824" ht="14" x14ac:dyDescent="0.2"/>
    <row r="825" ht="14" x14ac:dyDescent="0.2"/>
    <row r="826" ht="14" x14ac:dyDescent="0.2"/>
    <row r="827" ht="14" x14ac:dyDescent="0.2"/>
    <row r="828" ht="14" x14ac:dyDescent="0.2"/>
    <row r="829" ht="14" x14ac:dyDescent="0.2"/>
    <row r="830" ht="14" x14ac:dyDescent="0.2"/>
    <row r="831" ht="14" x14ac:dyDescent="0.2"/>
    <row r="832" ht="14" x14ac:dyDescent="0.2"/>
    <row r="833" ht="14" x14ac:dyDescent="0.2"/>
    <row r="834" ht="14" x14ac:dyDescent="0.2"/>
    <row r="835" ht="14" x14ac:dyDescent="0.2"/>
    <row r="836" ht="14" x14ac:dyDescent="0.2"/>
    <row r="837" ht="14" x14ac:dyDescent="0.2"/>
    <row r="838" ht="14" x14ac:dyDescent="0.2"/>
    <row r="839" ht="14" x14ac:dyDescent="0.2"/>
    <row r="840" ht="14" x14ac:dyDescent="0.2"/>
    <row r="841" ht="14" x14ac:dyDescent="0.2"/>
    <row r="842" ht="14" x14ac:dyDescent="0.2"/>
    <row r="843" ht="14" x14ac:dyDescent="0.2"/>
    <row r="844" ht="14" x14ac:dyDescent="0.2"/>
    <row r="845" ht="14" x14ac:dyDescent="0.2"/>
    <row r="846" ht="14" x14ac:dyDescent="0.2"/>
    <row r="847" ht="14" x14ac:dyDescent="0.2"/>
    <row r="848" ht="14" x14ac:dyDescent="0.2"/>
    <row r="849" ht="14" x14ac:dyDescent="0.2"/>
    <row r="850" ht="14" x14ac:dyDescent="0.2"/>
    <row r="851" ht="14" x14ac:dyDescent="0.2"/>
    <row r="852" ht="14" x14ac:dyDescent="0.2"/>
    <row r="853" ht="14" x14ac:dyDescent="0.2"/>
    <row r="854" ht="14" x14ac:dyDescent="0.2"/>
    <row r="855" ht="14" x14ac:dyDescent="0.2"/>
    <row r="856" ht="14" x14ac:dyDescent="0.2"/>
    <row r="857" ht="14" x14ac:dyDescent="0.2"/>
    <row r="858" ht="14" x14ac:dyDescent="0.2"/>
    <row r="859" ht="14" x14ac:dyDescent="0.2"/>
    <row r="860" ht="14" x14ac:dyDescent="0.2"/>
    <row r="861" ht="14" x14ac:dyDescent="0.2"/>
    <row r="862" ht="14" x14ac:dyDescent="0.2"/>
    <row r="863" ht="14" x14ac:dyDescent="0.2"/>
    <row r="864" ht="14" x14ac:dyDescent="0.2"/>
    <row r="865" ht="14" x14ac:dyDescent="0.2"/>
    <row r="866" ht="14" x14ac:dyDescent="0.2"/>
    <row r="867" ht="14" x14ac:dyDescent="0.2"/>
    <row r="868" ht="14" x14ac:dyDescent="0.2"/>
    <row r="869" ht="14" x14ac:dyDescent="0.2"/>
    <row r="870" ht="14" x14ac:dyDescent="0.2"/>
    <row r="871" ht="14" x14ac:dyDescent="0.2"/>
    <row r="872" ht="14" x14ac:dyDescent="0.2"/>
    <row r="873" ht="14" x14ac:dyDescent="0.2"/>
    <row r="874" ht="14" x14ac:dyDescent="0.2"/>
    <row r="875" ht="14" x14ac:dyDescent="0.2"/>
    <row r="876" ht="14" x14ac:dyDescent="0.2"/>
    <row r="877" ht="14" x14ac:dyDescent="0.2"/>
    <row r="878" ht="14" x14ac:dyDescent="0.2"/>
    <row r="879" ht="14" x14ac:dyDescent="0.2"/>
    <row r="880" ht="14" x14ac:dyDescent="0.2"/>
    <row r="881" ht="14" x14ac:dyDescent="0.2"/>
    <row r="882" ht="14" x14ac:dyDescent="0.2"/>
    <row r="883" ht="14" x14ac:dyDescent="0.2"/>
    <row r="884" ht="14" x14ac:dyDescent="0.2"/>
    <row r="885" ht="14" x14ac:dyDescent="0.2"/>
    <row r="886" ht="14" x14ac:dyDescent="0.2"/>
    <row r="887" ht="14" x14ac:dyDescent="0.2"/>
    <row r="888" ht="14" x14ac:dyDescent="0.2"/>
    <row r="889" ht="14" x14ac:dyDescent="0.2"/>
    <row r="890" ht="14" x14ac:dyDescent="0.2"/>
    <row r="891" ht="14" x14ac:dyDescent="0.2"/>
    <row r="892" ht="14" x14ac:dyDescent="0.2"/>
    <row r="893" ht="14" x14ac:dyDescent="0.2"/>
    <row r="894" ht="14" x14ac:dyDescent="0.2"/>
    <row r="895" ht="14" x14ac:dyDescent="0.2"/>
    <row r="896" ht="14" x14ac:dyDescent="0.2"/>
    <row r="897" ht="14" x14ac:dyDescent="0.2"/>
    <row r="898" ht="14" x14ac:dyDescent="0.2"/>
    <row r="899" ht="14" x14ac:dyDescent="0.2"/>
    <row r="900" ht="14" x14ac:dyDescent="0.2"/>
    <row r="901" ht="14" x14ac:dyDescent="0.2"/>
    <row r="902" ht="14" x14ac:dyDescent="0.2"/>
    <row r="903" ht="14" x14ac:dyDescent="0.2"/>
    <row r="904" ht="14" x14ac:dyDescent="0.2"/>
    <row r="905" ht="14" x14ac:dyDescent="0.2"/>
    <row r="906" ht="14" x14ac:dyDescent="0.2"/>
    <row r="907" ht="14" x14ac:dyDescent="0.2"/>
    <row r="908" ht="14" x14ac:dyDescent="0.2"/>
    <row r="909" ht="14" x14ac:dyDescent="0.2"/>
    <row r="910" ht="14" x14ac:dyDescent="0.2"/>
    <row r="911" ht="14" x14ac:dyDescent="0.2"/>
    <row r="912" ht="14" x14ac:dyDescent="0.2"/>
    <row r="913" ht="14" x14ac:dyDescent="0.2"/>
    <row r="914" ht="14" x14ac:dyDescent="0.2"/>
    <row r="915" ht="14" x14ac:dyDescent="0.2"/>
    <row r="916" ht="14" x14ac:dyDescent="0.2"/>
    <row r="917" ht="14" x14ac:dyDescent="0.2"/>
    <row r="918" ht="14" x14ac:dyDescent="0.2"/>
    <row r="919" ht="14" x14ac:dyDescent="0.2"/>
    <row r="920" ht="14" x14ac:dyDescent="0.2"/>
    <row r="921" ht="14" x14ac:dyDescent="0.2"/>
    <row r="922" ht="14" x14ac:dyDescent="0.2"/>
    <row r="923" ht="14" x14ac:dyDescent="0.2"/>
    <row r="924" ht="14" x14ac:dyDescent="0.2"/>
    <row r="925" ht="14" x14ac:dyDescent="0.2"/>
    <row r="926" ht="14" x14ac:dyDescent="0.2"/>
    <row r="927" ht="14" x14ac:dyDescent="0.2"/>
    <row r="928" ht="14" x14ac:dyDescent="0.2"/>
    <row r="929" ht="14" x14ac:dyDescent="0.2"/>
    <row r="930" ht="14" x14ac:dyDescent="0.2"/>
    <row r="931" ht="14" x14ac:dyDescent="0.2"/>
    <row r="932" ht="14" x14ac:dyDescent="0.2"/>
    <row r="933" ht="14" x14ac:dyDescent="0.2"/>
    <row r="934" ht="14" x14ac:dyDescent="0.2"/>
    <row r="935" ht="14" x14ac:dyDescent="0.2"/>
    <row r="936" ht="14" x14ac:dyDescent="0.2"/>
    <row r="937" ht="14" x14ac:dyDescent="0.2"/>
    <row r="938" ht="14" x14ac:dyDescent="0.2"/>
    <row r="939" ht="14" x14ac:dyDescent="0.2"/>
    <row r="940" ht="14" x14ac:dyDescent="0.2"/>
    <row r="941" ht="14" x14ac:dyDescent="0.2"/>
    <row r="942" ht="14" x14ac:dyDescent="0.2"/>
    <row r="943" ht="14" x14ac:dyDescent="0.2"/>
    <row r="944" ht="14" x14ac:dyDescent="0.2"/>
    <row r="945" ht="14" x14ac:dyDescent="0.2"/>
    <row r="946" ht="14" x14ac:dyDescent="0.2"/>
    <row r="947" ht="14" x14ac:dyDescent="0.2"/>
    <row r="948" ht="14" x14ac:dyDescent="0.2"/>
    <row r="949" ht="14" x14ac:dyDescent="0.2"/>
    <row r="950" ht="14" x14ac:dyDescent="0.2"/>
    <row r="951" ht="14" x14ac:dyDescent="0.2"/>
    <row r="952" ht="14" x14ac:dyDescent="0.2"/>
    <row r="953" ht="14" x14ac:dyDescent="0.2"/>
    <row r="954" ht="14" x14ac:dyDescent="0.2"/>
    <row r="955" ht="14" x14ac:dyDescent="0.2"/>
    <row r="956" ht="14" x14ac:dyDescent="0.2"/>
    <row r="957" ht="14" x14ac:dyDescent="0.2"/>
    <row r="958" ht="14" x14ac:dyDescent="0.2"/>
    <row r="959" ht="14" x14ac:dyDescent="0.2"/>
    <row r="960" ht="14" x14ac:dyDescent="0.2"/>
    <row r="961" ht="14" x14ac:dyDescent="0.2"/>
    <row r="962" ht="14" x14ac:dyDescent="0.2"/>
    <row r="963" ht="14" x14ac:dyDescent="0.2"/>
    <row r="964" ht="14" x14ac:dyDescent="0.2"/>
    <row r="965" ht="14" x14ac:dyDescent="0.2"/>
    <row r="966" ht="14" x14ac:dyDescent="0.2"/>
    <row r="967" ht="14" x14ac:dyDescent="0.2"/>
    <row r="968" ht="14" x14ac:dyDescent="0.2"/>
    <row r="969" ht="14" x14ac:dyDescent="0.2"/>
    <row r="970" ht="14" x14ac:dyDescent="0.2"/>
    <row r="971" ht="14" x14ac:dyDescent="0.2"/>
    <row r="972" ht="14" x14ac:dyDescent="0.2"/>
    <row r="973" ht="14" x14ac:dyDescent="0.2"/>
    <row r="974" ht="14" x14ac:dyDescent="0.2"/>
    <row r="975" ht="14" x14ac:dyDescent="0.2"/>
    <row r="976" ht="14" x14ac:dyDescent="0.2"/>
    <row r="977" ht="14" x14ac:dyDescent="0.2"/>
    <row r="978" ht="14" x14ac:dyDescent="0.2"/>
    <row r="979" ht="14" x14ac:dyDescent="0.2"/>
    <row r="980" ht="14" x14ac:dyDescent="0.2"/>
    <row r="981" ht="14" x14ac:dyDescent="0.2"/>
    <row r="982" ht="14" x14ac:dyDescent="0.2"/>
    <row r="983" ht="14" x14ac:dyDescent="0.2"/>
    <row r="984" ht="14" x14ac:dyDescent="0.2"/>
    <row r="985" ht="14" x14ac:dyDescent="0.2"/>
    <row r="986" ht="14" x14ac:dyDescent="0.2"/>
    <row r="987" ht="14" x14ac:dyDescent="0.2"/>
    <row r="988" ht="14" x14ac:dyDescent="0.2"/>
    <row r="989" ht="14" x14ac:dyDescent="0.2"/>
    <row r="990" ht="14" x14ac:dyDescent="0.2"/>
  </sheetData>
  <autoFilter ref="A1:V990" xr:uid="{89076661-1739-5B4B-9620-597CE8556C53}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v2</vt:lpstr>
      <vt:lpstr>'v2'!_FilterDatabase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2026-05-29T12:04:31Z</dcterms:modified>
  <cp:category/>
  <cp:contentStatus/>
</cp:coreProperties>
</file>