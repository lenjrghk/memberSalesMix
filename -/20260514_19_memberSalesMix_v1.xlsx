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DE184B40-CF9C-B241-912E-041FC336ADE1}" xr6:coauthVersionLast="47" xr6:coauthVersionMax="47" xr10:uidLastSave="{00000000-0000-0000-0000-000000000000}"/>
  <bookViews>
    <workbookView xWindow="-3740" yWindow="-21600" windowWidth="38400" windowHeight="21600" xr2:uid="{63A21131-3F06-1942-BC00-E32921F037C9}"/>
  </bookViews>
  <sheets>
    <sheet name="v1" sheetId="2" r:id="rId1"/>
  </sheets>
  <definedNames>
    <definedName name="_xlnm._FilterDatabase" localSheetId="0" hidden="1">'v1'!$A$1:$O$990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8" i="2" l="1"/>
  <c r="L198" i="2"/>
  <c r="I198" i="2"/>
  <c r="E198" i="2"/>
  <c r="F198" i="2" s="1"/>
  <c r="O197" i="2"/>
  <c r="L197" i="2"/>
  <c r="I197" i="2"/>
  <c r="E197" i="2"/>
  <c r="F197" i="2" s="1"/>
  <c r="O196" i="2"/>
  <c r="L196" i="2"/>
  <c r="I196" i="2"/>
  <c r="E196" i="2"/>
  <c r="F196" i="2" s="1"/>
  <c r="O195" i="2"/>
  <c r="L195" i="2"/>
  <c r="I195" i="2"/>
  <c r="E195" i="2"/>
  <c r="F195" i="2" s="1"/>
  <c r="O194" i="2"/>
  <c r="L194" i="2"/>
  <c r="I194" i="2"/>
  <c r="E194" i="2"/>
  <c r="F194" i="2" s="1"/>
  <c r="O193" i="2"/>
  <c r="L193" i="2"/>
  <c r="I193" i="2"/>
  <c r="E193" i="2"/>
  <c r="F193" i="2" s="1"/>
  <c r="O192" i="2"/>
  <c r="L192" i="2"/>
  <c r="I192" i="2"/>
  <c r="E192" i="2"/>
  <c r="F192" i="2" s="1"/>
  <c r="O191" i="2"/>
  <c r="L191" i="2"/>
  <c r="I191" i="2"/>
  <c r="E191" i="2"/>
  <c r="F191" i="2" s="1"/>
  <c r="O190" i="2"/>
  <c r="L190" i="2"/>
  <c r="I190" i="2"/>
  <c r="E190" i="2"/>
  <c r="F190" i="2" s="1"/>
  <c r="O189" i="2"/>
  <c r="L189" i="2"/>
  <c r="I189" i="2"/>
  <c r="E189" i="2"/>
  <c r="F189" i="2" s="1"/>
  <c r="O188" i="2"/>
  <c r="L188" i="2"/>
  <c r="I188" i="2"/>
  <c r="E188" i="2"/>
  <c r="F188" i="2" s="1"/>
  <c r="O187" i="2"/>
  <c r="L187" i="2"/>
  <c r="I187" i="2"/>
  <c r="E187" i="2"/>
  <c r="F187" i="2" s="1"/>
  <c r="O186" i="2"/>
  <c r="L186" i="2"/>
  <c r="I186" i="2"/>
  <c r="E186" i="2"/>
  <c r="F186" i="2" s="1"/>
  <c r="O185" i="2"/>
  <c r="L185" i="2"/>
  <c r="I185" i="2"/>
  <c r="E185" i="2"/>
  <c r="F185" i="2" s="1"/>
  <c r="O184" i="2"/>
  <c r="L184" i="2"/>
  <c r="I184" i="2"/>
  <c r="E184" i="2"/>
  <c r="F184" i="2" s="1"/>
  <c r="O183" i="2"/>
  <c r="L183" i="2"/>
  <c r="I183" i="2"/>
  <c r="E183" i="2"/>
  <c r="F183" i="2" s="1"/>
  <c r="O182" i="2"/>
  <c r="L182" i="2"/>
  <c r="I182" i="2"/>
  <c r="E182" i="2"/>
  <c r="F182" i="2" s="1"/>
  <c r="O181" i="2"/>
  <c r="L181" i="2"/>
  <c r="I181" i="2"/>
  <c r="E181" i="2"/>
  <c r="F181" i="2" s="1"/>
  <c r="O180" i="2"/>
  <c r="L180" i="2"/>
  <c r="I180" i="2"/>
  <c r="E180" i="2"/>
  <c r="F180" i="2" s="1"/>
  <c r="O179" i="2"/>
  <c r="L179" i="2"/>
  <c r="I179" i="2"/>
  <c r="E179" i="2"/>
  <c r="F179" i="2" s="1"/>
  <c r="O178" i="2"/>
  <c r="L178" i="2"/>
  <c r="I178" i="2"/>
  <c r="E178" i="2"/>
  <c r="F178" i="2" s="1"/>
  <c r="O177" i="2"/>
  <c r="L177" i="2"/>
  <c r="I177" i="2"/>
  <c r="E177" i="2"/>
  <c r="F177" i="2" s="1"/>
  <c r="O176" i="2"/>
  <c r="L176" i="2"/>
  <c r="I176" i="2"/>
  <c r="E176" i="2"/>
  <c r="F176" i="2" s="1"/>
  <c r="O175" i="2"/>
  <c r="L175" i="2"/>
  <c r="I175" i="2"/>
  <c r="E175" i="2"/>
  <c r="F175" i="2" s="1"/>
  <c r="O174" i="2"/>
  <c r="L174" i="2"/>
  <c r="I174" i="2"/>
  <c r="E174" i="2"/>
  <c r="F174" i="2" s="1"/>
  <c r="O173" i="2"/>
  <c r="L173" i="2"/>
  <c r="I173" i="2"/>
  <c r="E173" i="2"/>
  <c r="F173" i="2" s="1"/>
  <c r="O172" i="2"/>
  <c r="L172" i="2"/>
  <c r="I172" i="2"/>
  <c r="E172" i="2"/>
  <c r="F172" i="2" s="1"/>
  <c r="O171" i="2"/>
  <c r="L171" i="2"/>
  <c r="I171" i="2"/>
  <c r="E171" i="2"/>
  <c r="F171" i="2" s="1"/>
  <c r="O170" i="2"/>
  <c r="L170" i="2"/>
  <c r="I170" i="2"/>
  <c r="E170" i="2"/>
  <c r="F170" i="2" s="1"/>
  <c r="O169" i="2"/>
  <c r="L169" i="2"/>
  <c r="I169" i="2"/>
  <c r="E169" i="2"/>
  <c r="F169" i="2" s="1"/>
  <c r="O168" i="2"/>
  <c r="L168" i="2"/>
  <c r="I168" i="2"/>
  <c r="E168" i="2"/>
  <c r="F168" i="2" s="1"/>
  <c r="O167" i="2"/>
  <c r="L167" i="2"/>
  <c r="I167" i="2"/>
  <c r="E167" i="2"/>
  <c r="F167" i="2" s="1"/>
  <c r="O166" i="2"/>
  <c r="L166" i="2"/>
  <c r="I166" i="2"/>
  <c r="E166" i="2"/>
  <c r="F166" i="2" s="1"/>
  <c r="O165" i="2"/>
  <c r="L165" i="2"/>
  <c r="I165" i="2"/>
  <c r="E165" i="2"/>
  <c r="F165" i="2" s="1"/>
  <c r="O164" i="2"/>
  <c r="L164" i="2"/>
  <c r="I164" i="2"/>
  <c r="E164" i="2"/>
  <c r="F164" i="2" s="1"/>
  <c r="O163" i="2"/>
  <c r="L163" i="2"/>
  <c r="I163" i="2"/>
  <c r="E163" i="2"/>
  <c r="F163" i="2" s="1"/>
  <c r="O162" i="2"/>
  <c r="L162" i="2"/>
  <c r="I162" i="2"/>
  <c r="E162" i="2"/>
  <c r="F162" i="2" s="1"/>
  <c r="O161" i="2"/>
  <c r="L161" i="2"/>
  <c r="I161" i="2"/>
  <c r="E161" i="2"/>
  <c r="F161" i="2" s="1"/>
  <c r="O160" i="2"/>
  <c r="L160" i="2"/>
  <c r="I160" i="2"/>
  <c r="E160" i="2"/>
  <c r="F160" i="2" s="1"/>
  <c r="O159" i="2"/>
  <c r="L159" i="2"/>
  <c r="I159" i="2"/>
  <c r="E159" i="2"/>
  <c r="F159" i="2" s="1"/>
  <c r="O158" i="2"/>
  <c r="L158" i="2"/>
  <c r="I158" i="2"/>
  <c r="E158" i="2"/>
  <c r="F158" i="2" s="1"/>
  <c r="O157" i="2"/>
  <c r="L157" i="2"/>
  <c r="I157" i="2"/>
  <c r="E157" i="2"/>
  <c r="F157" i="2" s="1"/>
  <c r="O156" i="2"/>
  <c r="L156" i="2"/>
  <c r="I156" i="2"/>
  <c r="E156" i="2"/>
  <c r="F156" i="2" s="1"/>
  <c r="O155" i="2"/>
  <c r="L155" i="2"/>
  <c r="I155" i="2"/>
  <c r="E155" i="2"/>
  <c r="F155" i="2" s="1"/>
  <c r="O154" i="2"/>
  <c r="L154" i="2"/>
  <c r="I154" i="2"/>
  <c r="E154" i="2"/>
  <c r="F154" i="2" s="1"/>
  <c r="O153" i="2"/>
  <c r="L153" i="2"/>
  <c r="I153" i="2"/>
  <c r="E153" i="2"/>
  <c r="F153" i="2" s="1"/>
  <c r="O152" i="2"/>
  <c r="L152" i="2"/>
  <c r="I152" i="2"/>
  <c r="E152" i="2"/>
  <c r="F152" i="2" s="1"/>
  <c r="O151" i="2"/>
  <c r="L151" i="2"/>
  <c r="I151" i="2"/>
  <c r="E151" i="2"/>
  <c r="F151" i="2" s="1"/>
  <c r="O150" i="2"/>
  <c r="L150" i="2"/>
  <c r="I150" i="2"/>
  <c r="E150" i="2"/>
  <c r="F150" i="2" s="1"/>
  <c r="O149" i="2"/>
  <c r="L149" i="2"/>
  <c r="I149" i="2"/>
  <c r="E149" i="2"/>
  <c r="F149" i="2" s="1"/>
  <c r="O148" i="2"/>
  <c r="L148" i="2"/>
  <c r="I148" i="2"/>
  <c r="E148" i="2"/>
  <c r="F148" i="2" s="1"/>
  <c r="O147" i="2"/>
  <c r="L147" i="2"/>
  <c r="I147" i="2"/>
  <c r="E147" i="2"/>
  <c r="F147" i="2" s="1"/>
  <c r="O146" i="2"/>
  <c r="L146" i="2"/>
  <c r="I146" i="2"/>
  <c r="E146" i="2"/>
  <c r="F146" i="2" s="1"/>
  <c r="O145" i="2"/>
  <c r="L145" i="2"/>
  <c r="I145" i="2"/>
  <c r="E145" i="2"/>
  <c r="F145" i="2" s="1"/>
  <c r="O144" i="2"/>
  <c r="L144" i="2"/>
  <c r="I144" i="2"/>
  <c r="E144" i="2"/>
  <c r="F144" i="2" s="1"/>
  <c r="O143" i="2"/>
  <c r="L143" i="2"/>
  <c r="I143" i="2"/>
  <c r="E143" i="2"/>
  <c r="F143" i="2" s="1"/>
  <c r="O142" i="2"/>
  <c r="L142" i="2"/>
  <c r="I142" i="2"/>
  <c r="E142" i="2"/>
  <c r="F142" i="2" s="1"/>
  <c r="O141" i="2"/>
  <c r="L141" i="2"/>
  <c r="I141" i="2"/>
  <c r="E141" i="2"/>
  <c r="F141" i="2" s="1"/>
  <c r="O140" i="2"/>
  <c r="L140" i="2"/>
  <c r="I140" i="2"/>
  <c r="E140" i="2"/>
  <c r="F140" i="2" s="1"/>
  <c r="O139" i="2"/>
  <c r="L139" i="2"/>
  <c r="I139" i="2"/>
  <c r="E139" i="2"/>
  <c r="F139" i="2" s="1"/>
  <c r="O138" i="2"/>
  <c r="L138" i="2"/>
  <c r="I138" i="2"/>
  <c r="E138" i="2"/>
  <c r="F138" i="2" s="1"/>
  <c r="O137" i="2"/>
  <c r="L137" i="2"/>
  <c r="I137" i="2"/>
  <c r="E137" i="2"/>
  <c r="F137" i="2" s="1"/>
  <c r="O136" i="2"/>
  <c r="L136" i="2"/>
  <c r="I136" i="2"/>
  <c r="E136" i="2"/>
  <c r="F136" i="2" s="1"/>
  <c r="O135" i="2"/>
  <c r="L135" i="2"/>
  <c r="I135" i="2"/>
  <c r="E135" i="2"/>
  <c r="F135" i="2" s="1"/>
  <c r="O134" i="2"/>
  <c r="L134" i="2"/>
  <c r="I134" i="2"/>
  <c r="E134" i="2"/>
  <c r="F134" i="2" s="1"/>
  <c r="O133" i="2"/>
  <c r="L133" i="2"/>
  <c r="I133" i="2"/>
  <c r="E133" i="2"/>
  <c r="F133" i="2" s="1"/>
  <c r="O132" i="2"/>
  <c r="L132" i="2"/>
  <c r="I132" i="2"/>
  <c r="E132" i="2"/>
  <c r="F132" i="2" s="1"/>
  <c r="O131" i="2"/>
  <c r="L131" i="2"/>
  <c r="I131" i="2"/>
  <c r="E131" i="2"/>
  <c r="F131" i="2" s="1"/>
  <c r="O130" i="2"/>
  <c r="L130" i="2"/>
  <c r="I130" i="2"/>
  <c r="E130" i="2"/>
  <c r="F130" i="2" s="1"/>
  <c r="O129" i="2"/>
  <c r="L129" i="2"/>
  <c r="I129" i="2"/>
  <c r="E129" i="2"/>
  <c r="F129" i="2" s="1"/>
  <c r="O128" i="2"/>
  <c r="L128" i="2"/>
  <c r="I128" i="2"/>
  <c r="E128" i="2"/>
  <c r="F128" i="2" s="1"/>
  <c r="O127" i="2"/>
  <c r="L127" i="2"/>
  <c r="I127" i="2"/>
  <c r="E127" i="2"/>
  <c r="F127" i="2" s="1"/>
  <c r="O126" i="2"/>
  <c r="L126" i="2"/>
  <c r="I126" i="2"/>
  <c r="E126" i="2"/>
  <c r="F126" i="2" s="1"/>
  <c r="O125" i="2"/>
  <c r="L125" i="2"/>
  <c r="I125" i="2"/>
  <c r="E125" i="2"/>
  <c r="F125" i="2" s="1"/>
  <c r="O124" i="2"/>
  <c r="L124" i="2"/>
  <c r="I124" i="2"/>
  <c r="E124" i="2"/>
  <c r="F124" i="2" s="1"/>
  <c r="O123" i="2"/>
  <c r="L123" i="2"/>
  <c r="I123" i="2"/>
  <c r="E123" i="2"/>
  <c r="F123" i="2" s="1"/>
  <c r="O122" i="2"/>
  <c r="L122" i="2"/>
  <c r="I122" i="2"/>
  <c r="E122" i="2"/>
  <c r="F122" i="2" s="1"/>
  <c r="O121" i="2"/>
  <c r="L121" i="2"/>
  <c r="I121" i="2"/>
  <c r="E121" i="2"/>
  <c r="F121" i="2" s="1"/>
  <c r="O120" i="2"/>
  <c r="L120" i="2"/>
  <c r="I120" i="2"/>
  <c r="E120" i="2"/>
  <c r="F120" i="2" s="1"/>
  <c r="O119" i="2"/>
  <c r="L119" i="2"/>
  <c r="I119" i="2"/>
  <c r="E119" i="2"/>
  <c r="F119" i="2" s="1"/>
  <c r="O118" i="2"/>
  <c r="L118" i="2"/>
  <c r="I118" i="2"/>
  <c r="E118" i="2"/>
  <c r="F118" i="2" s="1"/>
  <c r="O117" i="2"/>
  <c r="L117" i="2"/>
  <c r="I117" i="2"/>
  <c r="E117" i="2"/>
  <c r="F117" i="2" s="1"/>
  <c r="O116" i="2"/>
  <c r="L116" i="2"/>
  <c r="I116" i="2"/>
  <c r="E116" i="2"/>
  <c r="F116" i="2" s="1"/>
  <c r="O115" i="2"/>
  <c r="L115" i="2"/>
  <c r="I115" i="2"/>
  <c r="E115" i="2"/>
  <c r="F115" i="2" s="1"/>
  <c r="O114" i="2"/>
  <c r="L114" i="2"/>
  <c r="I114" i="2"/>
  <c r="E114" i="2"/>
  <c r="F114" i="2" s="1"/>
  <c r="O113" i="2"/>
  <c r="L113" i="2"/>
  <c r="I113" i="2"/>
  <c r="E113" i="2"/>
  <c r="F113" i="2" s="1"/>
  <c r="O112" i="2"/>
  <c r="L112" i="2"/>
  <c r="I112" i="2"/>
  <c r="E112" i="2"/>
  <c r="F112" i="2" s="1"/>
  <c r="O111" i="2"/>
  <c r="L111" i="2"/>
  <c r="I111" i="2"/>
  <c r="E111" i="2"/>
  <c r="F111" i="2" s="1"/>
  <c r="O110" i="2"/>
  <c r="L110" i="2"/>
  <c r="I110" i="2"/>
  <c r="E110" i="2"/>
  <c r="F110" i="2" s="1"/>
  <c r="O109" i="2"/>
  <c r="L109" i="2"/>
  <c r="I109" i="2"/>
  <c r="E109" i="2"/>
  <c r="F109" i="2" s="1"/>
  <c r="O108" i="2"/>
  <c r="L108" i="2"/>
  <c r="I108" i="2"/>
  <c r="E108" i="2"/>
  <c r="F108" i="2" s="1"/>
  <c r="O107" i="2"/>
  <c r="L107" i="2"/>
  <c r="I107" i="2"/>
  <c r="E107" i="2"/>
  <c r="F107" i="2" s="1"/>
  <c r="O106" i="2"/>
  <c r="L106" i="2"/>
  <c r="I106" i="2"/>
  <c r="E106" i="2"/>
  <c r="F106" i="2" s="1"/>
  <c r="O105" i="2"/>
  <c r="L105" i="2"/>
  <c r="I105" i="2"/>
  <c r="E105" i="2"/>
  <c r="F105" i="2" s="1"/>
  <c r="O104" i="2"/>
  <c r="L104" i="2"/>
  <c r="I104" i="2"/>
  <c r="E104" i="2"/>
  <c r="F104" i="2" s="1"/>
  <c r="O103" i="2"/>
  <c r="L103" i="2"/>
  <c r="I103" i="2"/>
  <c r="E103" i="2"/>
  <c r="F103" i="2" s="1"/>
  <c r="O102" i="2"/>
  <c r="L102" i="2"/>
  <c r="I102" i="2"/>
  <c r="E102" i="2"/>
  <c r="F102" i="2" s="1"/>
  <c r="O101" i="2"/>
  <c r="L101" i="2"/>
  <c r="I101" i="2"/>
  <c r="E101" i="2"/>
  <c r="F101" i="2" s="1"/>
  <c r="O100" i="2"/>
  <c r="L100" i="2"/>
  <c r="I100" i="2"/>
  <c r="E100" i="2"/>
  <c r="F100" i="2" s="1"/>
  <c r="O99" i="2"/>
  <c r="L99" i="2"/>
  <c r="I99" i="2"/>
  <c r="E99" i="2"/>
  <c r="F99" i="2" s="1"/>
  <c r="O98" i="2"/>
  <c r="L98" i="2"/>
  <c r="I98" i="2"/>
  <c r="E98" i="2"/>
  <c r="F98" i="2" s="1"/>
  <c r="O97" i="2"/>
  <c r="L97" i="2"/>
  <c r="I97" i="2"/>
  <c r="E97" i="2"/>
  <c r="F97" i="2" s="1"/>
  <c r="O96" i="2"/>
  <c r="L96" i="2"/>
  <c r="I96" i="2"/>
  <c r="E96" i="2"/>
  <c r="F96" i="2" s="1"/>
  <c r="O95" i="2"/>
  <c r="L95" i="2"/>
  <c r="I95" i="2"/>
  <c r="E95" i="2"/>
  <c r="F95" i="2" s="1"/>
  <c r="O94" i="2"/>
  <c r="L94" i="2"/>
  <c r="I94" i="2"/>
  <c r="E94" i="2"/>
  <c r="F94" i="2" s="1"/>
  <c r="O93" i="2"/>
  <c r="L93" i="2"/>
  <c r="I93" i="2"/>
  <c r="E93" i="2"/>
  <c r="F93" i="2" s="1"/>
  <c r="O92" i="2"/>
  <c r="L92" i="2"/>
  <c r="I92" i="2"/>
  <c r="E92" i="2"/>
  <c r="F92" i="2" s="1"/>
  <c r="O91" i="2"/>
  <c r="L91" i="2"/>
  <c r="I91" i="2"/>
  <c r="E91" i="2"/>
  <c r="F91" i="2" s="1"/>
  <c r="O90" i="2"/>
  <c r="L90" i="2"/>
  <c r="I90" i="2"/>
  <c r="E90" i="2"/>
  <c r="F90" i="2" s="1"/>
  <c r="O89" i="2"/>
  <c r="L89" i="2"/>
  <c r="I89" i="2"/>
  <c r="E89" i="2"/>
  <c r="F89" i="2" s="1"/>
  <c r="O88" i="2"/>
  <c r="L88" i="2"/>
  <c r="I88" i="2"/>
  <c r="E88" i="2"/>
  <c r="F88" i="2" s="1"/>
  <c r="O87" i="2"/>
  <c r="L87" i="2"/>
  <c r="I87" i="2"/>
  <c r="E87" i="2"/>
  <c r="F87" i="2" s="1"/>
  <c r="O86" i="2"/>
  <c r="L86" i="2"/>
  <c r="I86" i="2"/>
  <c r="E86" i="2"/>
  <c r="F86" i="2" s="1"/>
  <c r="O85" i="2"/>
  <c r="L85" i="2"/>
  <c r="I85" i="2"/>
  <c r="E85" i="2"/>
  <c r="F85" i="2" s="1"/>
  <c r="O84" i="2"/>
  <c r="L84" i="2"/>
  <c r="I84" i="2"/>
  <c r="E84" i="2"/>
  <c r="F84" i="2" s="1"/>
  <c r="O83" i="2"/>
  <c r="L83" i="2"/>
  <c r="I83" i="2"/>
  <c r="E83" i="2"/>
  <c r="F83" i="2" s="1"/>
  <c r="O82" i="2"/>
  <c r="L82" i="2"/>
  <c r="I82" i="2"/>
  <c r="E82" i="2"/>
  <c r="F82" i="2" s="1"/>
  <c r="O81" i="2"/>
  <c r="L81" i="2"/>
  <c r="I81" i="2"/>
  <c r="E81" i="2"/>
  <c r="F81" i="2" s="1"/>
  <c r="O80" i="2"/>
  <c r="L80" i="2"/>
  <c r="I80" i="2"/>
  <c r="E80" i="2"/>
  <c r="F80" i="2" s="1"/>
  <c r="O79" i="2"/>
  <c r="L79" i="2"/>
  <c r="I79" i="2"/>
  <c r="E79" i="2"/>
  <c r="F79" i="2" s="1"/>
  <c r="O78" i="2"/>
  <c r="L78" i="2"/>
  <c r="I78" i="2"/>
  <c r="E78" i="2"/>
  <c r="F78" i="2" s="1"/>
  <c r="O77" i="2"/>
  <c r="L77" i="2"/>
  <c r="I77" i="2"/>
  <c r="E77" i="2"/>
  <c r="F77" i="2" s="1"/>
  <c r="O76" i="2"/>
  <c r="L76" i="2"/>
  <c r="I76" i="2"/>
  <c r="E76" i="2"/>
  <c r="F76" i="2" s="1"/>
  <c r="O75" i="2"/>
  <c r="L75" i="2"/>
  <c r="I75" i="2"/>
  <c r="E75" i="2"/>
  <c r="F75" i="2" s="1"/>
  <c r="O74" i="2"/>
  <c r="L74" i="2"/>
  <c r="I74" i="2"/>
  <c r="E74" i="2"/>
  <c r="F74" i="2" s="1"/>
  <c r="O73" i="2"/>
  <c r="L73" i="2"/>
  <c r="I73" i="2"/>
  <c r="E73" i="2"/>
  <c r="F73" i="2" s="1"/>
  <c r="O72" i="2"/>
  <c r="L72" i="2"/>
  <c r="I72" i="2"/>
  <c r="E72" i="2"/>
  <c r="F72" i="2" s="1"/>
  <c r="O71" i="2"/>
  <c r="L71" i="2"/>
  <c r="I71" i="2"/>
  <c r="E71" i="2"/>
  <c r="F71" i="2" s="1"/>
  <c r="O70" i="2"/>
  <c r="L70" i="2"/>
  <c r="I70" i="2"/>
  <c r="E70" i="2"/>
  <c r="F70" i="2" s="1"/>
  <c r="O69" i="2"/>
  <c r="L69" i="2"/>
  <c r="I69" i="2"/>
  <c r="E69" i="2"/>
  <c r="F69" i="2" s="1"/>
  <c r="O68" i="2"/>
  <c r="L68" i="2"/>
  <c r="I68" i="2"/>
  <c r="E68" i="2"/>
  <c r="F68" i="2" s="1"/>
  <c r="O67" i="2"/>
  <c r="L67" i="2"/>
  <c r="I67" i="2"/>
  <c r="E67" i="2"/>
  <c r="F67" i="2" s="1"/>
  <c r="O66" i="2"/>
  <c r="L66" i="2"/>
  <c r="I66" i="2"/>
  <c r="E66" i="2"/>
  <c r="F66" i="2" s="1"/>
  <c r="O65" i="2"/>
  <c r="L65" i="2"/>
  <c r="I65" i="2"/>
  <c r="E65" i="2"/>
  <c r="F65" i="2" s="1"/>
  <c r="O64" i="2"/>
  <c r="L64" i="2"/>
  <c r="I64" i="2"/>
  <c r="E64" i="2"/>
  <c r="F64" i="2" s="1"/>
  <c r="O63" i="2"/>
  <c r="L63" i="2"/>
  <c r="I63" i="2"/>
  <c r="E63" i="2"/>
  <c r="F63" i="2" s="1"/>
  <c r="O62" i="2"/>
  <c r="L62" i="2"/>
  <c r="I62" i="2"/>
  <c r="E62" i="2"/>
  <c r="F62" i="2" s="1"/>
  <c r="O61" i="2"/>
  <c r="L61" i="2"/>
  <c r="I61" i="2"/>
  <c r="E61" i="2"/>
  <c r="F61" i="2" s="1"/>
  <c r="O60" i="2"/>
  <c r="L60" i="2"/>
  <c r="I60" i="2"/>
  <c r="E60" i="2"/>
  <c r="F60" i="2" s="1"/>
  <c r="O59" i="2"/>
  <c r="L59" i="2"/>
  <c r="I59" i="2"/>
  <c r="E59" i="2"/>
  <c r="F59" i="2" s="1"/>
  <c r="O58" i="2"/>
  <c r="L58" i="2"/>
  <c r="I58" i="2"/>
  <c r="E58" i="2"/>
  <c r="F58" i="2" s="1"/>
  <c r="O57" i="2"/>
  <c r="L57" i="2"/>
  <c r="I57" i="2"/>
  <c r="E57" i="2"/>
  <c r="F57" i="2" s="1"/>
  <c r="O56" i="2"/>
  <c r="L56" i="2"/>
  <c r="I56" i="2"/>
  <c r="E56" i="2"/>
  <c r="F56" i="2" s="1"/>
  <c r="O55" i="2"/>
  <c r="L55" i="2"/>
  <c r="I55" i="2"/>
  <c r="E55" i="2"/>
  <c r="F55" i="2" s="1"/>
  <c r="O54" i="2"/>
  <c r="L54" i="2"/>
  <c r="I54" i="2"/>
  <c r="E54" i="2"/>
  <c r="F54" i="2" s="1"/>
  <c r="O53" i="2"/>
  <c r="L53" i="2"/>
  <c r="I53" i="2"/>
  <c r="E53" i="2"/>
  <c r="F53" i="2" s="1"/>
  <c r="O52" i="2"/>
  <c r="L52" i="2"/>
  <c r="I52" i="2"/>
  <c r="E52" i="2"/>
  <c r="F52" i="2" s="1"/>
  <c r="O51" i="2"/>
  <c r="L51" i="2"/>
  <c r="I51" i="2"/>
  <c r="E51" i="2"/>
  <c r="F51" i="2" s="1"/>
  <c r="O50" i="2"/>
  <c r="L50" i="2"/>
  <c r="I50" i="2"/>
  <c r="E50" i="2"/>
  <c r="F50" i="2" s="1"/>
  <c r="O49" i="2"/>
  <c r="L49" i="2"/>
  <c r="I49" i="2"/>
  <c r="E49" i="2"/>
  <c r="F49" i="2" s="1"/>
  <c r="O48" i="2"/>
  <c r="L48" i="2"/>
  <c r="I48" i="2"/>
  <c r="E48" i="2"/>
  <c r="F48" i="2" s="1"/>
  <c r="O47" i="2"/>
  <c r="L47" i="2"/>
  <c r="I47" i="2"/>
  <c r="E47" i="2"/>
  <c r="F47" i="2" s="1"/>
  <c r="O46" i="2"/>
  <c r="L46" i="2"/>
  <c r="I46" i="2"/>
  <c r="E46" i="2"/>
  <c r="F46" i="2" s="1"/>
  <c r="O45" i="2"/>
  <c r="L45" i="2"/>
  <c r="I45" i="2"/>
  <c r="E45" i="2"/>
  <c r="F45" i="2" s="1"/>
  <c r="O44" i="2"/>
  <c r="L44" i="2"/>
  <c r="I44" i="2"/>
  <c r="E44" i="2"/>
  <c r="F44" i="2" s="1"/>
  <c r="O43" i="2"/>
  <c r="L43" i="2"/>
  <c r="I43" i="2"/>
  <c r="E43" i="2"/>
  <c r="F43" i="2" s="1"/>
  <c r="O42" i="2"/>
  <c r="L42" i="2"/>
  <c r="I42" i="2"/>
  <c r="E42" i="2"/>
  <c r="F42" i="2" s="1"/>
  <c r="O41" i="2"/>
  <c r="L41" i="2"/>
  <c r="I41" i="2"/>
  <c r="E41" i="2"/>
  <c r="F41" i="2" s="1"/>
  <c r="O40" i="2"/>
  <c r="L40" i="2"/>
  <c r="I40" i="2"/>
  <c r="E40" i="2"/>
  <c r="F40" i="2" s="1"/>
  <c r="O39" i="2"/>
  <c r="L39" i="2"/>
  <c r="I39" i="2"/>
  <c r="E39" i="2"/>
  <c r="F39" i="2" s="1"/>
  <c r="O38" i="2"/>
  <c r="L38" i="2"/>
  <c r="I38" i="2"/>
  <c r="E38" i="2"/>
  <c r="F38" i="2" s="1"/>
  <c r="O37" i="2"/>
  <c r="L37" i="2"/>
  <c r="I37" i="2"/>
  <c r="E37" i="2"/>
  <c r="F37" i="2" s="1"/>
  <c r="O36" i="2"/>
  <c r="L36" i="2"/>
  <c r="I36" i="2"/>
  <c r="E36" i="2"/>
  <c r="F36" i="2" s="1"/>
  <c r="O35" i="2"/>
  <c r="L35" i="2"/>
  <c r="I35" i="2"/>
  <c r="E35" i="2"/>
  <c r="F35" i="2" s="1"/>
  <c r="O34" i="2"/>
  <c r="L34" i="2"/>
  <c r="I34" i="2"/>
  <c r="E34" i="2"/>
  <c r="F34" i="2" s="1"/>
  <c r="O33" i="2"/>
  <c r="L33" i="2"/>
  <c r="I33" i="2"/>
  <c r="E33" i="2"/>
  <c r="F33" i="2" s="1"/>
  <c r="O32" i="2"/>
  <c r="L32" i="2"/>
  <c r="I32" i="2"/>
  <c r="E32" i="2"/>
  <c r="F32" i="2" s="1"/>
  <c r="O31" i="2"/>
  <c r="L31" i="2"/>
  <c r="I31" i="2"/>
  <c r="E31" i="2"/>
  <c r="F31" i="2" s="1"/>
  <c r="O30" i="2"/>
  <c r="L30" i="2"/>
  <c r="I30" i="2"/>
  <c r="E30" i="2"/>
  <c r="F30" i="2" s="1"/>
  <c r="O29" i="2"/>
  <c r="L29" i="2"/>
  <c r="I29" i="2"/>
  <c r="E29" i="2"/>
  <c r="F29" i="2" s="1"/>
  <c r="O28" i="2"/>
  <c r="L28" i="2"/>
  <c r="I28" i="2"/>
  <c r="E28" i="2"/>
  <c r="F28" i="2" s="1"/>
  <c r="O27" i="2"/>
  <c r="L27" i="2"/>
  <c r="I27" i="2"/>
  <c r="E27" i="2"/>
  <c r="F27" i="2" s="1"/>
  <c r="O26" i="2"/>
  <c r="L26" i="2"/>
  <c r="I26" i="2"/>
  <c r="E26" i="2"/>
  <c r="F26" i="2" s="1"/>
  <c r="O25" i="2"/>
  <c r="L25" i="2"/>
  <c r="I25" i="2"/>
  <c r="E25" i="2"/>
  <c r="F25" i="2" s="1"/>
  <c r="O24" i="2"/>
  <c r="L24" i="2"/>
  <c r="I24" i="2"/>
  <c r="E24" i="2"/>
  <c r="F24" i="2" s="1"/>
  <c r="O23" i="2"/>
  <c r="L23" i="2"/>
  <c r="I23" i="2"/>
  <c r="E23" i="2"/>
  <c r="F23" i="2" s="1"/>
  <c r="O22" i="2"/>
  <c r="L22" i="2"/>
  <c r="I22" i="2"/>
  <c r="E22" i="2"/>
  <c r="F22" i="2" s="1"/>
  <c r="O21" i="2"/>
  <c r="L21" i="2"/>
  <c r="I21" i="2"/>
  <c r="E21" i="2"/>
  <c r="F21" i="2" s="1"/>
  <c r="O20" i="2"/>
  <c r="L20" i="2"/>
  <c r="I20" i="2"/>
  <c r="E20" i="2"/>
  <c r="F20" i="2" s="1"/>
  <c r="O19" i="2"/>
  <c r="L19" i="2"/>
  <c r="I19" i="2"/>
  <c r="E19" i="2"/>
  <c r="F19" i="2" s="1"/>
  <c r="O18" i="2"/>
  <c r="L18" i="2"/>
  <c r="I18" i="2"/>
  <c r="E18" i="2"/>
  <c r="F18" i="2" s="1"/>
  <c r="O17" i="2"/>
  <c r="L17" i="2"/>
  <c r="I17" i="2"/>
  <c r="E17" i="2"/>
  <c r="F17" i="2" s="1"/>
  <c r="O16" i="2"/>
  <c r="L16" i="2"/>
  <c r="I16" i="2"/>
  <c r="E16" i="2"/>
  <c r="F16" i="2" s="1"/>
  <c r="O15" i="2"/>
  <c r="L15" i="2"/>
  <c r="I15" i="2"/>
  <c r="E15" i="2"/>
  <c r="F15" i="2" s="1"/>
  <c r="O14" i="2"/>
  <c r="L14" i="2"/>
  <c r="I14" i="2"/>
  <c r="E14" i="2"/>
  <c r="F14" i="2" s="1"/>
  <c r="O13" i="2"/>
  <c r="L13" i="2"/>
  <c r="I13" i="2"/>
  <c r="E13" i="2"/>
  <c r="F13" i="2" s="1"/>
  <c r="O12" i="2"/>
  <c r="L12" i="2"/>
  <c r="I12" i="2"/>
  <c r="E12" i="2"/>
  <c r="F12" i="2" s="1"/>
  <c r="O11" i="2"/>
  <c r="L11" i="2"/>
  <c r="I11" i="2"/>
  <c r="E11" i="2"/>
  <c r="F11" i="2" s="1"/>
  <c r="O10" i="2"/>
  <c r="L10" i="2"/>
  <c r="I10" i="2"/>
  <c r="E10" i="2"/>
  <c r="F10" i="2" s="1"/>
  <c r="O9" i="2"/>
  <c r="L9" i="2"/>
  <c r="I9" i="2"/>
  <c r="E9" i="2"/>
  <c r="F9" i="2" s="1"/>
  <c r="O8" i="2"/>
  <c r="L8" i="2"/>
  <c r="I8" i="2"/>
  <c r="E8" i="2"/>
  <c r="F8" i="2" s="1"/>
  <c r="O7" i="2"/>
  <c r="L7" i="2"/>
  <c r="I7" i="2"/>
  <c r="E7" i="2"/>
  <c r="F7" i="2" s="1"/>
  <c r="O6" i="2"/>
  <c r="L6" i="2"/>
  <c r="I6" i="2"/>
  <c r="E6" i="2"/>
  <c r="F6" i="2" s="1"/>
  <c r="O5" i="2"/>
  <c r="L5" i="2"/>
  <c r="I5" i="2"/>
  <c r="E5" i="2"/>
  <c r="F5" i="2" s="1"/>
  <c r="O4" i="2"/>
  <c r="L4" i="2"/>
  <c r="I4" i="2"/>
  <c r="E4" i="2"/>
  <c r="F4" i="2" s="1"/>
  <c r="O3" i="2"/>
  <c r="L3" i="2"/>
  <c r="I3" i="2"/>
  <c r="E3" i="2"/>
  <c r="F3" i="2" s="1"/>
  <c r="O2" i="2"/>
  <c r="L2" i="2"/>
  <c r="I2" i="2"/>
  <c r="E2" i="2"/>
  <c r="F2" i="2" s="1"/>
</calcChain>
</file>

<file path=xl/sharedStrings.xml><?xml version="1.0" encoding="utf-8"?>
<sst xmlns="http://schemas.openxmlformats.org/spreadsheetml/2006/main" count="409" uniqueCount="409">
  <si>
    <t>store_id</t>
  </si>
  <si>
    <t>TWI249</t>
  </si>
  <si>
    <t>TWI248</t>
  </si>
  <si>
    <t>TWI247</t>
  </si>
  <si>
    <t>TWI246</t>
  </si>
  <si>
    <t>TWI245</t>
  </si>
  <si>
    <t>TWI244</t>
  </si>
  <si>
    <t>TWI243</t>
  </si>
  <si>
    <t>TWI242</t>
  </si>
  <si>
    <t>TWI241</t>
  </si>
  <si>
    <t>TWI240</t>
  </si>
  <si>
    <t>TWI239</t>
  </si>
  <si>
    <t>TWI238</t>
  </si>
  <si>
    <t>TWI237</t>
  </si>
  <si>
    <t>TWI236</t>
  </si>
  <si>
    <t>TWI235</t>
  </si>
  <si>
    <t>TWI234</t>
  </si>
  <si>
    <t>TWI233</t>
  </si>
  <si>
    <t>TWI232</t>
  </si>
  <si>
    <t>TWI231</t>
  </si>
  <si>
    <t>TWI230</t>
  </si>
  <si>
    <t>TWI229</t>
  </si>
  <si>
    <t>TWI228</t>
  </si>
  <si>
    <t>TWI227</t>
  </si>
  <si>
    <t>TWI226</t>
  </si>
  <si>
    <t>TWI225</t>
  </si>
  <si>
    <t>TWI224</t>
  </si>
  <si>
    <t>TWI223</t>
  </si>
  <si>
    <t>TWI222</t>
  </si>
  <si>
    <t>TWI221</t>
  </si>
  <si>
    <t>TWI220</t>
  </si>
  <si>
    <t>TWI219</t>
  </si>
  <si>
    <t>TWI218</t>
  </si>
  <si>
    <t>TWI217</t>
  </si>
  <si>
    <t>TWI216</t>
  </si>
  <si>
    <t>TWI215</t>
  </si>
  <si>
    <t>TWI214</t>
  </si>
  <si>
    <t>TWI212</t>
  </si>
  <si>
    <t>TWI211</t>
  </si>
  <si>
    <t>TWI210</t>
  </si>
  <si>
    <t>TWI209</t>
  </si>
  <si>
    <t>TWI208</t>
  </si>
  <si>
    <t>TWI207</t>
  </si>
  <si>
    <t>TWI206</t>
  </si>
  <si>
    <t>TWI204</t>
  </si>
  <si>
    <t>TWI203</t>
  </si>
  <si>
    <t>TWI202</t>
  </si>
  <si>
    <t>TWI201</t>
  </si>
  <si>
    <t>TWI200</t>
  </si>
  <si>
    <t>TWI199</t>
  </si>
  <si>
    <t>TWI198</t>
  </si>
  <si>
    <t>TWI197</t>
  </si>
  <si>
    <t>TWI195</t>
  </si>
  <si>
    <t>TWI194</t>
  </si>
  <si>
    <t>TWI193</t>
  </si>
  <si>
    <t>TWI191</t>
  </si>
  <si>
    <t>TWI190</t>
  </si>
  <si>
    <t>TWI189</t>
  </si>
  <si>
    <t>TWI188</t>
  </si>
  <si>
    <t>TWI187</t>
  </si>
  <si>
    <t>TWI186</t>
  </si>
  <si>
    <t>TWI185</t>
  </si>
  <si>
    <t>TWI184</t>
  </si>
  <si>
    <t>TWI183</t>
  </si>
  <si>
    <t>TWI182</t>
  </si>
  <si>
    <t>TWI181</t>
  </si>
  <si>
    <t>TWI180</t>
  </si>
  <si>
    <t>TWI179</t>
  </si>
  <si>
    <t>TWI178</t>
  </si>
  <si>
    <t>TWI177</t>
  </si>
  <si>
    <t>TWI176</t>
  </si>
  <si>
    <t>TWI174</t>
  </si>
  <si>
    <t>TWI173</t>
  </si>
  <si>
    <t>TWI172</t>
  </si>
  <si>
    <t>TWI171</t>
  </si>
  <si>
    <t>TWI170</t>
  </si>
  <si>
    <t>TWI169</t>
  </si>
  <si>
    <t>TWI168</t>
  </si>
  <si>
    <t>TWI167</t>
  </si>
  <si>
    <t>TWI166</t>
  </si>
  <si>
    <t>TWI165</t>
  </si>
  <si>
    <t>TWI164</t>
  </si>
  <si>
    <t>TWI163</t>
  </si>
  <si>
    <t>TWI162</t>
  </si>
  <si>
    <t>TWI161</t>
  </si>
  <si>
    <t>TWI160</t>
  </si>
  <si>
    <t>TWI159</t>
  </si>
  <si>
    <t>TWI158</t>
  </si>
  <si>
    <t>TWI156</t>
  </si>
  <si>
    <t>TWI155</t>
  </si>
  <si>
    <t>TWI154</t>
  </si>
  <si>
    <t>TWI153</t>
  </si>
  <si>
    <t>TWI152</t>
  </si>
  <si>
    <t>TWI151</t>
  </si>
  <si>
    <t>TWI150</t>
  </si>
  <si>
    <t>TWI149</t>
  </si>
  <si>
    <t>TWI148</t>
  </si>
  <si>
    <t>TWI147</t>
  </si>
  <si>
    <t>TWI146</t>
  </si>
  <si>
    <t>TWI145</t>
  </si>
  <si>
    <t>TWI144</t>
  </si>
  <si>
    <t>TWI143</t>
  </si>
  <si>
    <t>TWI142</t>
  </si>
  <si>
    <t>TWI141</t>
  </si>
  <si>
    <t>TWI140</t>
  </si>
  <si>
    <t>TWI139</t>
  </si>
  <si>
    <t>TWI138</t>
  </si>
  <si>
    <t>TWI137</t>
  </si>
  <si>
    <t>TWI136</t>
  </si>
  <si>
    <t>TWI135</t>
  </si>
  <si>
    <t>TWI134</t>
  </si>
  <si>
    <t>TWI133</t>
  </si>
  <si>
    <t>TWI132</t>
  </si>
  <si>
    <t>TWI131</t>
  </si>
  <si>
    <t>TWI129</t>
  </si>
  <si>
    <t>TWI128</t>
  </si>
  <si>
    <t>TWI127</t>
  </si>
  <si>
    <t>TWI126</t>
  </si>
  <si>
    <t>TWI125</t>
  </si>
  <si>
    <t>TWI120</t>
  </si>
  <si>
    <t>TWI119</t>
  </si>
  <si>
    <t>TWI115</t>
  </si>
  <si>
    <t>TWI110</t>
  </si>
  <si>
    <t>TWI108</t>
  </si>
  <si>
    <t>TWI105</t>
  </si>
  <si>
    <t>TWI104</t>
  </si>
  <si>
    <t>TWI103</t>
  </si>
  <si>
    <t>TWI100</t>
  </si>
  <si>
    <t>TWI099</t>
  </si>
  <si>
    <t>TWI098</t>
  </si>
  <si>
    <t>TWI097</t>
  </si>
  <si>
    <t>TWI095</t>
  </si>
  <si>
    <t>TWI093</t>
  </si>
  <si>
    <t>TWI089</t>
  </si>
  <si>
    <t>TWI088</t>
  </si>
  <si>
    <t>TWI086</t>
  </si>
  <si>
    <t>TWI084</t>
  </si>
  <si>
    <t>TWI083</t>
  </si>
  <si>
    <t>TWI081</t>
  </si>
  <si>
    <t>TWI080</t>
  </si>
  <si>
    <t>TWI075</t>
  </si>
  <si>
    <t>TWI071</t>
  </si>
  <si>
    <t>TWI069</t>
  </si>
  <si>
    <t>TWI068</t>
  </si>
  <si>
    <t>TWI067</t>
  </si>
  <si>
    <t>TWI066</t>
  </si>
  <si>
    <t>TWI065</t>
  </si>
  <si>
    <t>TWI064</t>
  </si>
  <si>
    <t>TWI063</t>
  </si>
  <si>
    <t>TWI062</t>
  </si>
  <si>
    <t>TWI056</t>
  </si>
  <si>
    <t>TWI054</t>
  </si>
  <si>
    <t>TWI047</t>
  </si>
  <si>
    <t>TWI046</t>
  </si>
  <si>
    <t>TWI044</t>
  </si>
  <si>
    <t>TWI043</t>
  </si>
  <si>
    <t>TWI041</t>
  </si>
  <si>
    <t>TWI040</t>
  </si>
  <si>
    <t>TWI038</t>
  </si>
  <si>
    <t>TWI036</t>
  </si>
  <si>
    <t>TWI035</t>
  </si>
  <si>
    <t>TWI031</t>
  </si>
  <si>
    <t>TWI025</t>
  </si>
  <si>
    <t>TWI024</t>
  </si>
  <si>
    <t>TWI023</t>
  </si>
  <si>
    <t>TWI022</t>
  </si>
  <si>
    <t>TWI021</t>
  </si>
  <si>
    <t>TWI019</t>
  </si>
  <si>
    <t>TWI018</t>
  </si>
  <si>
    <t>TWI013</t>
  </si>
  <si>
    <t>TWI012</t>
  </si>
  <si>
    <t>TWI011</t>
  </si>
  <si>
    <t>TWI010</t>
  </si>
  <si>
    <t>TWI008</t>
  </si>
  <si>
    <t>TWI007</t>
  </si>
  <si>
    <t>TWB600</t>
  </si>
  <si>
    <t>TWB597</t>
  </si>
  <si>
    <t>TWB594</t>
  </si>
  <si>
    <t>TWB593</t>
  </si>
  <si>
    <t>TWB587</t>
  </si>
  <si>
    <t>TWB585</t>
  </si>
  <si>
    <t>TWB582</t>
  </si>
  <si>
    <t>TWB580</t>
  </si>
  <si>
    <t>TWB576</t>
  </si>
  <si>
    <t>TWB570</t>
  </si>
  <si>
    <t>TWB568</t>
  </si>
  <si>
    <t>TWB562</t>
  </si>
  <si>
    <t>TWB561</t>
  </si>
  <si>
    <t>TWB559</t>
  </si>
  <si>
    <t>TWB556</t>
  </si>
  <si>
    <t>TWB553</t>
  </si>
  <si>
    <t>TWB550</t>
  </si>
  <si>
    <t>TWB544</t>
  </si>
  <si>
    <t>TWB533</t>
  </si>
  <si>
    <t>TWB528</t>
  </si>
  <si>
    <t>TWB522</t>
  </si>
  <si>
    <t>TWB516</t>
  </si>
  <si>
    <t>TWB506</t>
  </si>
  <si>
    <t>GA4_Total_TC</t>
  </si>
  <si>
    <t>GA4_Total_Amt</t>
  </si>
  <si>
    <t>GA4_Total_Member_Amt(QRCodeScan)</t>
  </si>
  <si>
    <t>GA4_Total_Member_Amt(PhoneLogin)</t>
  </si>
  <si>
    <t>GA4_Total_Member_Amt(CouponScan)</t>
  </si>
  <si>
    <t>GA4_Total_MemberTC(PhoneLogin)</t>
  </si>
  <si>
    <t>GA4_Total_MemberTC(QRCodeScan)</t>
  </si>
  <si>
    <t>GA4_Total_MemberTC(CouponScan)</t>
  </si>
  <si>
    <t>GA4_Total_Member_Amt</t>
  </si>
  <si>
    <t>GA4_Total_Member_Amt_Mix</t>
  </si>
  <si>
    <t>GA4_Total_Member_Amt_Mix(PhoneLogin)</t>
  </si>
  <si>
    <t>GA4_Total_Member_Amt_Mix(QRCodeScan)</t>
  </si>
  <si>
    <t>GA4_Total_Member_Amt_Mix(CouponScan)</t>
  </si>
  <si>
    <t>台北市中山區民生西路9號</t>
  </si>
  <si>
    <t>台北市大同區承德路一段38號</t>
  </si>
  <si>
    <t>台北市中山區南京東路一段88號</t>
  </si>
  <si>
    <t>新北市淡水區中山北路一段151號</t>
  </si>
  <si>
    <t>新北市淡水區中山路24 26號</t>
  </si>
  <si>
    <t>新北市板橋區中山路二段249號</t>
  </si>
  <si>
    <t>新北市永和區中正路294號</t>
  </si>
  <si>
    <t>新北市中和區興南路一段79號</t>
  </si>
  <si>
    <t>新北市三重區重新路二段1-1號</t>
  </si>
  <si>
    <t>新北市三重區正義北路139,141號1樓</t>
  </si>
  <si>
    <t>新北市新莊區幸福路763之6號</t>
  </si>
  <si>
    <t>新北市新莊區中港路311-313號</t>
  </si>
  <si>
    <t>220新北市板橋區文化路一段421巷2號</t>
  </si>
  <si>
    <t>新北市板橋區雙十路二段170 , 170-1 , 170-2 , 170-3號</t>
  </si>
  <si>
    <t>台中市西區公益路163號1F~2F</t>
  </si>
  <si>
    <t>台中市北區五權路202號</t>
  </si>
  <si>
    <t>台中市大里區中興路二段478號</t>
  </si>
  <si>
    <t>台中市大里區國光路二段75號1-3樓</t>
  </si>
  <si>
    <t>高雄市苓雅區五福一路22號</t>
  </si>
  <si>
    <t>高雄市苓雅區三多二路193號</t>
  </si>
  <si>
    <t>台南市中西區中華西路二段38號</t>
  </si>
  <si>
    <t>台南市南區金華路二段238號</t>
  </si>
  <si>
    <t>屏東市逢甲路72號1-3樓</t>
  </si>
  <si>
    <t>高雄市三民區大順二路246號</t>
  </si>
  <si>
    <t>高雄市自由二路173號</t>
  </si>
  <si>
    <t>台東市新生路158號</t>
  </si>
  <si>
    <t>屏東市自由路496號</t>
  </si>
  <si>
    <t>高雄市鼓山區青海路151號</t>
  </si>
  <si>
    <t>屏東縣潮州鎮信義路111號</t>
  </si>
  <si>
    <t>新竹縣竹北市光明六路69號(DT店)</t>
  </si>
  <si>
    <t>新竹市民生路 306 號(DT店)</t>
  </si>
  <si>
    <t>新竹市忠孝路300號(大潤發)</t>
  </si>
  <si>
    <t>新竹市光復路一段536號</t>
  </si>
  <si>
    <t>新竹縣竹東鎮長春路3段130號(DT店)</t>
  </si>
  <si>
    <t>新竹縣新豐鄉新興路163-5號</t>
  </si>
  <si>
    <t>新竹縣竹北市自強南路95,97號</t>
  </si>
  <si>
    <t>新竹市東區光復路二段334號</t>
  </si>
  <si>
    <t>台中市西屯區永福路120號</t>
  </si>
  <si>
    <t>台中市西屯區台灣大道四段1086號</t>
  </si>
  <si>
    <t>台中市西屯區河南路二段363-7, 363-8號1+2樓</t>
  </si>
  <si>
    <t>台中市西屯區福星北路1號</t>
  </si>
  <si>
    <t>台南市新營區中正路6-1號</t>
  </si>
  <si>
    <t>嘉義市忠孝路489號</t>
  </si>
  <si>
    <t>嘉義市西區中興路396號</t>
  </si>
  <si>
    <t>台南市西門路四段155號</t>
  </si>
  <si>
    <t>台南市善化區光復路51號</t>
  </si>
  <si>
    <t>台南市安南區海佃路一段138、140號</t>
  </si>
  <si>
    <t>嘉義縣民雄鄉建國路一段239號</t>
  </si>
  <si>
    <t>嘉義市垂楊路460號</t>
  </si>
  <si>
    <t>台中市台灣大道一段38號</t>
  </si>
  <si>
    <t>南投縣埔里鎮中正路340號</t>
  </si>
  <si>
    <t>台中市太平區中山路四段26-6</t>
  </si>
  <si>
    <t>台中市烏日區九德村中山路一段450號</t>
  </si>
  <si>
    <t>南投縣草屯鎮太平路2段235號</t>
  </si>
  <si>
    <t>台中市東區復興路4段108號</t>
  </si>
  <si>
    <t>南投縣南投市南崗二路212號</t>
  </si>
  <si>
    <t>新北市新店區北新路2段61號1樓</t>
  </si>
  <si>
    <t>新北市新店區光明街1之1號</t>
  </si>
  <si>
    <t>台北市文山區興隆路三段9號</t>
  </si>
  <si>
    <t>台北市萬華區萬大路286號</t>
  </si>
  <si>
    <t>台北市文山區木柵路三段82號</t>
  </si>
  <si>
    <t>台北市中正區南昌路一段12號</t>
  </si>
  <si>
    <t>新北市新店區安康路二段60號</t>
  </si>
  <si>
    <t>台中市豐原區中正路46號</t>
  </si>
  <si>
    <t>台中市北屯區中清路二段915,917號</t>
  </si>
  <si>
    <t>苗栗縣頭份鎮中華路1243、1245號1樓(DT店)</t>
  </si>
  <si>
    <t>台中市文心路四段153號</t>
  </si>
  <si>
    <t>苗栗市中正路880號&amp;光復路1號</t>
  </si>
  <si>
    <t>苗栗縣竹南鎮博愛街320-1號</t>
  </si>
  <si>
    <t>台中市北屯區文心路四段520號</t>
  </si>
  <si>
    <t>台中市西屯區文心路3段119-1號</t>
  </si>
  <si>
    <t>台中市北屯區崇德路三段463號</t>
  </si>
  <si>
    <t>台北市中正區八德路一段64號</t>
  </si>
  <si>
    <t>桃園市桃園區大興西路二段159號(DT店)</t>
  </si>
  <si>
    <t>桃園市桃園區南平路330號1樓</t>
  </si>
  <si>
    <t>桃園市蘆竹區大竹路428-1號</t>
  </si>
  <si>
    <t>桃園市桃園區中山路444號</t>
  </si>
  <si>
    <t>新北市三峽區大學路150-3號</t>
  </si>
  <si>
    <t>242新北市新莊區中正路516-3號</t>
  </si>
  <si>
    <t>新北市樹林區中山路一段67號</t>
  </si>
  <si>
    <t>花蓮市中正路637-1號</t>
  </si>
  <si>
    <t>基隆市劉銘傳路1號</t>
  </si>
  <si>
    <t>新北市汐止區中興路169號1-2樓</t>
  </si>
  <si>
    <t>宜蘭縣羅東鎮興東路90號1、2樓</t>
  </si>
  <si>
    <t>宜蘭縣宜蘭市舊城南路2之3號</t>
  </si>
  <si>
    <t>新北市汐止區大同路二段383號</t>
  </si>
  <si>
    <t>宜蘭縣礁溪鄉礁溪路五段67號1樓</t>
  </si>
  <si>
    <t>高雄市鳳山區五甲三路211號</t>
  </si>
  <si>
    <t>高雄市前鎮區中華五路1111號</t>
  </si>
  <si>
    <t>高雄市鳳山區青年路二段313號</t>
  </si>
  <si>
    <t>高雄市岡山區岡山路271號1-3樓</t>
  </si>
  <si>
    <t>高雄市楠梓區建楠路150-152號</t>
  </si>
  <si>
    <t>高雄市小港區沿海一路145號</t>
  </si>
  <si>
    <t>高雄市三民區建國三路23號</t>
  </si>
  <si>
    <t>高雄市楠梓區後昌新路20號</t>
  </si>
  <si>
    <t>高雄市左營區崇德路311號</t>
  </si>
  <si>
    <t>台南市東區崇明路376號</t>
  </si>
  <si>
    <t>台南縣永康市中正北路126號(DT店)</t>
  </si>
  <si>
    <t>台南市永康區中華路145號</t>
  </si>
  <si>
    <t>台南市東區東門路二段369號</t>
  </si>
  <si>
    <t>台南市東區大學路20號</t>
  </si>
  <si>
    <t>中壢區中正路161號</t>
  </si>
  <si>
    <t>桃園市中壢區中和路106號</t>
  </si>
  <si>
    <t>桃園市中壢區民族路二段138號(DT店)</t>
  </si>
  <si>
    <t>中壢區環中東路249號(DT店)</t>
  </si>
  <si>
    <t>桃園市大園區中正東路142號</t>
  </si>
  <si>
    <t>桃園市八德區介壽路一段808號</t>
  </si>
  <si>
    <t>新北市泰山區明志路一段326號</t>
  </si>
  <si>
    <t>新北市五股區成泰路二段113號1-4樓</t>
  </si>
  <si>
    <t>桃園市龜山區復興一路110-112號(DT店)</t>
  </si>
  <si>
    <t>新北市林口區文化一路一段78號(DT店)</t>
  </si>
  <si>
    <t>桃園縣蘆竹區中正路8號</t>
  </si>
  <si>
    <t>桃園市桃園區桃鶯路263-1,265號</t>
  </si>
  <si>
    <t>桃園市龜山區萬壽路二段1185號</t>
  </si>
  <si>
    <t>新北市鶯歌區建國路153號</t>
  </si>
  <si>
    <t>桃園市楊梅區中山北路二段6-1號(DT店)</t>
  </si>
  <si>
    <t>桃園市龍潭區北龍路309號</t>
  </si>
  <si>
    <t>桃園市楊梅區大成路107號</t>
  </si>
  <si>
    <t>桃園市大溪區員林路一段199號</t>
  </si>
  <si>
    <t>台中市大雅區中清路三段1215號</t>
  </si>
  <si>
    <t>台中市沙鹿區沙田路127號</t>
  </si>
  <si>
    <t>台中市潭子區勝利路311號</t>
  </si>
  <si>
    <t>台中市南屯區五權西路二段931,933號</t>
  </si>
  <si>
    <t>新北市中和區中山路2段228-1號(大潤發)</t>
  </si>
  <si>
    <t>新北市土城區金城路二段269號</t>
  </si>
  <si>
    <t>新北市永和區中山路一段173,175號</t>
  </si>
  <si>
    <t>新北市土城區中央路二段174號1樓2樓</t>
  </si>
  <si>
    <t>新北市中和區員山路202號</t>
  </si>
  <si>
    <t>台北市內湖區內湖路一段230號</t>
  </si>
  <si>
    <t>台北市松山區南京東路五段164號</t>
  </si>
  <si>
    <t>台北市信義區莊敬路336號</t>
  </si>
  <si>
    <t>台北南港區三重路11號</t>
  </si>
  <si>
    <t>台北市信義區光復南路465號1F</t>
  </si>
  <si>
    <t>台北市內湖區瑞光路292號</t>
  </si>
  <si>
    <t>台北市內湖區東湖路138號</t>
  </si>
  <si>
    <t>彰化縣員林鎮民權街26、28號</t>
  </si>
  <si>
    <t>雲林縣北港鎮華南路36號</t>
  </si>
  <si>
    <t>雲林縣虎尾鎮中正路30號B1-4樓</t>
  </si>
  <si>
    <t>彰化市中山路二段126號</t>
  </si>
  <si>
    <t>彰化市金馬路二段425號</t>
  </si>
  <si>
    <t>彰化縣鹿港鎮民權路243號</t>
  </si>
  <si>
    <t>雲林縣斗六市民生南路169號</t>
  </si>
  <si>
    <t>彰化縣和美鎮彰美路四段438號</t>
  </si>
  <si>
    <t>彰化縣北斗鎮中山路二段40號</t>
  </si>
  <si>
    <t>新北市板橋區忠孝路21號</t>
  </si>
  <si>
    <t>台北市文林路88號</t>
  </si>
  <si>
    <t xml:space="preserve"> 新北市淡水區民權路41號</t>
  </si>
  <si>
    <t>台北市北投區光明路225號</t>
  </si>
  <si>
    <t>台北市士林區中山北路六段750號</t>
  </si>
  <si>
    <t>台北市士林區中正路351號</t>
  </si>
  <si>
    <t>台南市永康區大灣路843,845號</t>
  </si>
  <si>
    <t>台南市中西區民族路二段64號</t>
  </si>
  <si>
    <t>320桃園市中壢區環中東路二段150~154號1樓</t>
  </si>
  <si>
    <t>台中市清水區中華路445-1號1樓</t>
  </si>
  <si>
    <t>花蓮縣吉安鄉中華路二段1號</t>
  </si>
  <si>
    <t xml:space="preserve">彰化縣花壇鄉花壇村中山路一段385-1號 </t>
  </si>
  <si>
    <t>新竹市中正路36號</t>
  </si>
  <si>
    <t>814高雄市仁武區仁雄路86-43號</t>
  </si>
  <si>
    <t>105台北市大安區復興南路二段183號</t>
  </si>
  <si>
    <t>249新北市八里區中華路二段512號1樓</t>
  </si>
  <si>
    <t>台中市龍井區遊園南路185號1-2樓</t>
  </si>
  <si>
    <t>台北市內湖區金龍路8號</t>
  </si>
  <si>
    <t>730台南市新營區復興路636號</t>
  </si>
  <si>
    <t>台中市大甲區經國路 500 號 1 樓</t>
  </si>
  <si>
    <t>台北市北投區裕民一路6號</t>
  </si>
  <si>
    <t>台南市佳里區光復路319號</t>
  </si>
  <si>
    <t>928屏東縣東港鎮中山路147號</t>
  </si>
  <si>
    <t>高雄市前鎮區瑞隆路445號</t>
  </si>
  <si>
    <t>247新北市蘆洲區長榮路80號1樓</t>
  </si>
  <si>
    <t>327桃園市新屋區中山路240號1樓</t>
  </si>
  <si>
    <t>台中市霧峰區林森路342號</t>
  </si>
  <si>
    <t>台北市北投區中央北路四段525號</t>
  </si>
  <si>
    <t>新北市中和區景安路114號</t>
  </si>
  <si>
    <t>雲林縣斗六市民生路106號</t>
  </si>
  <si>
    <t>南投縣竹山鎮大明路716號</t>
  </si>
  <si>
    <t>宜蘭縣蘇澳鎮中山路一段90號</t>
  </si>
  <si>
    <t>基隆市信義區深溪路156號</t>
  </si>
  <si>
    <t>嘉義縣朴子市山通路210、212號1樓</t>
  </si>
  <si>
    <t>新竹縣竹北市中華路363號</t>
  </si>
  <si>
    <t>台北市大同區重慶北路三段251號</t>
  </si>
  <si>
    <t>台南市仁德區中山路250號</t>
  </si>
  <si>
    <t>台北市中山區民權東路二段124號</t>
  </si>
  <si>
    <t>高雄市橋頭區成功南路41-1號</t>
  </si>
  <si>
    <t>台南市安南區安和路五段243號</t>
  </si>
  <si>
    <t>桃園市中壢區民族路五段218號</t>
  </si>
  <si>
    <t>台南市新市區中正路106號</t>
  </si>
  <si>
    <t>台南市麻豆區興中路143號</t>
  </si>
  <si>
    <t>台北市信義區永吉路229號</t>
  </si>
  <si>
    <t>台中市北屯區北屯路390號</t>
  </si>
  <si>
    <t>台中市梧棲區文化路二段266號</t>
  </si>
  <si>
    <t>高雄市小港區中安路771號</t>
  </si>
  <si>
    <t>桃園市中壢區領航南路二段236號</t>
  </si>
  <si>
    <t xml:space="preserve"> 台中市南屯區五權西路二段136號</t>
  </si>
  <si>
    <t>新北市三重區三和路四段193-195號</t>
  </si>
  <si>
    <t>新北市板橋區中山路一段65號</t>
  </si>
  <si>
    <t>Address</t>
  </si>
  <si>
    <t>新竹湖口</t>
  </si>
  <si>
    <t xml:space="preserve">
桃園台茂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</si>
</sst>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BEB"/>
        <bgColor rgb="FFFFF2CC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D9EAD3"/>
      </patternFill>
    </fill>
    <fill>
      <patternFill patternType="solid">
        <fgColor rgb="FFEBEBEB"/>
        <bgColor rgb="FFF4CC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7">
    <xf numFmtId="0" fontId="0" fillId="0" borderId="0" xfId="0"/>
    <xf numFmtId="0" fontId="2" fillId="0" borderId="0" xfId="1" applyFont="1"/>
    <xf numFmtId="0" fontId="1" fillId="0" borderId="0" xfId="1"/>
    <xf numFmtId="1" fontId="2" fillId="2" borderId="0" xfId="1" applyNumberFormat="1" applyFont="1" applyFill="1"/>
    <xf numFmtId="3" fontId="2" fillId="2" borderId="0" xfId="1" applyNumberFormat="1" applyFont="1" applyFill="1"/>
    <xf numFmtId="3" fontId="2" fillId="3" borderId="0" xfId="1" applyNumberFormat="1" applyFont="1" applyFill="1"/>
    <xf numFmtId="0" fontId="1" fillId="2" borderId="0" xfId="1" applyFill="1"/>
    <xf numFmtId="1" fontId="2" fillId="4" borderId="0" xfId="1" applyNumberFormat="1" applyFont="1" applyFill="1"/>
    <xf numFmtId="3" fontId="2" fillId="5" borderId="0" xfId="1" applyNumberFormat="1" applyFont="1" applyFill="1"/>
    <xf numFmtId="3" fontId="2" fillId="4" borderId="0" xfId="1" applyNumberFormat="1" applyFont="1" applyFill="1"/>
    <xf numFmtId="0" fontId="1" fillId="4" borderId="0" xfId="1" applyFill="1"/>
    <xf numFmtId="0" fontId="1" fillId="0" borderId="0" xfId="1" applyAlignment="1">
      <alignment horizontal="left" vertical="center"/>
    </xf>
    <xf numFmtId="3" fontId="2" fillId="6" borderId="0" xfId="1" applyNumberFormat="1" applyFont="1" applyFill="1"/>
    <xf numFmtId="164" fontId="2" fillId="7" borderId="0" xfId="1" applyNumberFormat="1" applyFont="1" applyFill="1"/>
    <xf numFmtId="0" fontId="2" fillId="6" borderId="0" xfId="1" applyFont="1" applyFill="1"/>
    <xf numFmtId="1" fontId="2" fillId="6" borderId="0" xfId="1" applyNumberFormat="1" applyFont="1" applyFill="1"/>
    <xf numFmtId="0" fontId="1" fillId="7" borderId="0" xfId="1" applyFill="1"/>
    <xf numFmtId="164" fontId="2" fillId="2" borderId="0" xfId="1" applyNumberFormat="1" applyFont="1" applyFill="1"/>
    <xf numFmtId="164" fontId="2" fillId="4" borderId="0" xfId="1" applyNumberFormat="1" applyFont="1" applyFill="1"/>
    <xf numFmtId="3" fontId="2" fillId="10" borderId="0" xfId="1" applyNumberFormat="1" applyFont="1" applyFill="1"/>
    <xf numFmtId="3" fontId="2" fillId="9" borderId="0" xfId="1" applyNumberFormat="1" applyFont="1" applyFill="1"/>
    <xf numFmtId="3" fontId="2" fillId="8" borderId="0" xfId="1" applyNumberFormat="1" applyFont="1" applyFill="1"/>
    <xf numFmtId="1" fontId="2" fillId="8" borderId="0" xfId="1" applyNumberFormat="1" applyFont="1" applyFill="1"/>
    <xf numFmtId="0" fontId="1" fillId="9" borderId="0" xfId="1" applyFill="1"/>
    <xf numFmtId="164" fontId="2" fillId="11" borderId="0" xfId="1" applyNumberFormat="1" applyFont="1" applyFill="1"/>
    <xf numFmtId="3" fontId="2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/>
    </xf>
    <xf numFmtId="0" fontId="4" fillId="9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1" fontId="3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2" fillId="0" borderId="0" xfId="1" applyFont="1" applyFill="1"/>
    <xf numFmtId="0" fontId="2" fillId="0" borderId="0" xfId="1" applyFont="1" applyFill="1" applyAlignment="1">
      <alignment wrapText="1"/>
    </xf>
  </cellXfs>
  <cellStyles count="3">
    <cellStyle name="Normal" xfId="0" builtinId="0"/>
    <cellStyle name="Normal 2" xfId="1" xr:uid="{20A32071-8926-C649-B1DA-08EB0A5ED154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661-1739-5B4B-9620-597CE8556C53}">
  <sheetPr>
    <outlinePr summaryBelow="0" summaryRight="0"/>
  </sheetPr>
  <dimension ref="A1:O990"/>
  <sheetViews>
    <sheetView tabSelected="1" zoomScale="125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C1" sqref="C1"/>
    </sheetView>
  </sheetViews>
  <sheetFormatPr baseColWidth="10" defaultColWidth="12.6640625" defaultRowHeight="15.75" customHeight="1" x14ac:dyDescent="0.2"/>
  <cols>
    <col min="1" max="1" width="12.6640625" style="2"/>
    <col min="2" max="2" width="31.83203125" style="2" customWidth="1"/>
    <col min="3" max="3" width="15.83203125" style="2" customWidth="1"/>
    <col min="4" max="4" width="15.83203125" style="23" customWidth="1"/>
    <col min="5" max="5" width="17.83203125" style="23" bestFit="1" customWidth="1"/>
    <col min="6" max="6" width="15.83203125" style="23" customWidth="1"/>
    <col min="7" max="9" width="18.1640625" style="16" customWidth="1"/>
    <col min="10" max="12" width="18.1640625" style="6" customWidth="1"/>
    <col min="13" max="15" width="18.1640625" style="10" customWidth="1"/>
    <col min="16" max="16384" width="12.6640625" style="2"/>
  </cols>
  <sheetData>
    <row r="1" spans="1:15" s="11" customFormat="1" ht="46" customHeight="1" x14ac:dyDescent="0.2">
      <c r="A1" s="26" t="s">
        <v>0</v>
      </c>
      <c r="B1" s="26" t="s">
        <v>406</v>
      </c>
      <c r="C1" s="27" t="s">
        <v>198</v>
      </c>
      <c r="D1" s="28" t="s">
        <v>199</v>
      </c>
      <c r="E1" s="29" t="s">
        <v>206</v>
      </c>
      <c r="F1" s="30" t="s">
        <v>207</v>
      </c>
      <c r="G1" s="31" t="s">
        <v>203</v>
      </c>
      <c r="H1" s="32" t="s">
        <v>201</v>
      </c>
      <c r="I1" s="32" t="s">
        <v>208</v>
      </c>
      <c r="J1" s="33" t="s">
        <v>204</v>
      </c>
      <c r="K1" s="33" t="s">
        <v>200</v>
      </c>
      <c r="L1" s="33" t="s">
        <v>209</v>
      </c>
      <c r="M1" s="34" t="s">
        <v>205</v>
      </c>
      <c r="N1" s="34" t="s">
        <v>202</v>
      </c>
      <c r="O1" s="34" t="s">
        <v>210</v>
      </c>
    </row>
    <row r="2" spans="1:15" ht="15.75" customHeight="1" x14ac:dyDescent="0.2">
      <c r="A2" s="35" t="s">
        <v>1</v>
      </c>
      <c r="B2" s="35" t="s">
        <v>401</v>
      </c>
      <c r="C2" s="25">
        <v>393</v>
      </c>
      <c r="D2" s="19">
        <v>116232.000072</v>
      </c>
      <c r="E2" s="20">
        <f t="shared" ref="E2:E33" si="0">H2+K2+N2</f>
        <v>72840.999985999995</v>
      </c>
      <c r="F2" s="24">
        <f t="shared" ref="F2:F33" si="1">E2/D2</f>
        <v>0.62668628209854937</v>
      </c>
      <c r="G2" s="12">
        <v>200</v>
      </c>
      <c r="H2" s="12">
        <v>62744.999954999999</v>
      </c>
      <c r="I2" s="13">
        <f t="shared" ref="I2:I33" si="2">H2/D2</f>
        <v>0.53982552064949896</v>
      </c>
      <c r="J2" s="5">
        <v>29</v>
      </c>
      <c r="K2" s="5">
        <v>8563.0000280000004</v>
      </c>
      <c r="L2" s="17">
        <f t="shared" ref="L2:L33" si="3">K2/D2</f>
        <v>7.3671622467957568E-2</v>
      </c>
      <c r="M2" s="8">
        <v>5</v>
      </c>
      <c r="N2" s="8">
        <v>1533.0000030000001</v>
      </c>
      <c r="O2" s="18">
        <f t="shared" ref="O2:O33" si="4">N2/D2</f>
        <v>1.3189138981092833E-2</v>
      </c>
    </row>
    <row r="3" spans="1:15" ht="15.75" customHeight="1" x14ac:dyDescent="0.2">
      <c r="A3" s="1" t="s">
        <v>2</v>
      </c>
      <c r="B3" s="35" t="s">
        <v>402</v>
      </c>
      <c r="C3" s="25">
        <v>504</v>
      </c>
      <c r="D3" s="21">
        <v>145909.00046800001</v>
      </c>
      <c r="E3" s="20">
        <f t="shared" si="0"/>
        <v>90523.000496000008</v>
      </c>
      <c r="F3" s="24">
        <f t="shared" si="1"/>
        <v>0.62040724153855764</v>
      </c>
      <c r="G3" s="12">
        <v>248</v>
      </c>
      <c r="H3" s="12">
        <v>74150.000392000002</v>
      </c>
      <c r="I3" s="13">
        <f t="shared" si="2"/>
        <v>0.50819346410547295</v>
      </c>
      <c r="J3" s="4">
        <v>54</v>
      </c>
      <c r="K3" s="4">
        <v>15060.000120999999</v>
      </c>
      <c r="L3" s="17">
        <f t="shared" si="3"/>
        <v>0.10321501807767423</v>
      </c>
      <c r="M3" s="9">
        <v>4</v>
      </c>
      <c r="N3" s="9">
        <v>1312.9999829999999</v>
      </c>
      <c r="O3" s="18">
        <f t="shared" si="4"/>
        <v>8.9987593554104305E-3</v>
      </c>
    </row>
    <row r="4" spans="1:15" ht="15.75" customHeight="1" x14ac:dyDescent="0.2">
      <c r="A4" s="1" t="s">
        <v>3</v>
      </c>
      <c r="B4" s="35" t="s">
        <v>400</v>
      </c>
      <c r="C4" s="25">
        <v>557</v>
      </c>
      <c r="D4" s="21">
        <v>147537.00050600001</v>
      </c>
      <c r="E4" s="20">
        <f t="shared" si="0"/>
        <v>77264.000389000008</v>
      </c>
      <c r="F4" s="24">
        <f t="shared" si="1"/>
        <v>0.52369236275654019</v>
      </c>
      <c r="G4" s="12">
        <v>244</v>
      </c>
      <c r="H4" s="12">
        <v>64232.000350000002</v>
      </c>
      <c r="I4" s="13">
        <f t="shared" si="2"/>
        <v>0.43536197787474895</v>
      </c>
      <c r="J4" s="4">
        <v>39</v>
      </c>
      <c r="K4" s="4">
        <v>11806.000022</v>
      </c>
      <c r="L4" s="17">
        <f t="shared" si="3"/>
        <v>8.0020604875452081E-2</v>
      </c>
      <c r="M4" s="9">
        <v>7</v>
      </c>
      <c r="N4" s="9">
        <v>1226.0000170000001</v>
      </c>
      <c r="O4" s="18">
        <f t="shared" si="4"/>
        <v>8.3097800063390969E-3</v>
      </c>
    </row>
    <row r="5" spans="1:15" ht="15.75" customHeight="1" x14ac:dyDescent="0.2">
      <c r="A5" s="1" t="s">
        <v>4</v>
      </c>
      <c r="B5" s="35" t="s">
        <v>399</v>
      </c>
      <c r="C5" s="25">
        <v>580</v>
      </c>
      <c r="D5" s="21">
        <v>142756.00042699999</v>
      </c>
      <c r="E5" s="20">
        <f t="shared" si="0"/>
        <v>82216.000327999995</v>
      </c>
      <c r="F5" s="24">
        <f t="shared" si="1"/>
        <v>0.57591975175882115</v>
      </c>
      <c r="G5" s="12">
        <v>249</v>
      </c>
      <c r="H5" s="12">
        <v>63677.000389000001</v>
      </c>
      <c r="I5" s="13">
        <f t="shared" si="2"/>
        <v>0.4460548081939435</v>
      </c>
      <c r="J5" s="4">
        <v>56</v>
      </c>
      <c r="K5" s="4">
        <v>16339.999926</v>
      </c>
      <c r="L5" s="17">
        <f t="shared" si="3"/>
        <v>0.11446103755446453</v>
      </c>
      <c r="M5" s="9">
        <v>8</v>
      </c>
      <c r="N5" s="9">
        <v>2199.0000129999999</v>
      </c>
      <c r="O5" s="18">
        <f t="shared" si="4"/>
        <v>1.5403906010413098E-2</v>
      </c>
    </row>
    <row r="6" spans="1:15" ht="15.75" customHeight="1" x14ac:dyDescent="0.2">
      <c r="A6" s="1" t="s">
        <v>5</v>
      </c>
      <c r="B6" s="35" t="s">
        <v>397</v>
      </c>
      <c r="C6" s="25">
        <v>466</v>
      </c>
      <c r="D6" s="21">
        <v>131340.000554</v>
      </c>
      <c r="E6" s="20">
        <f t="shared" si="0"/>
        <v>64993.000267000003</v>
      </c>
      <c r="F6" s="24">
        <f t="shared" si="1"/>
        <v>0.49484543926340513</v>
      </c>
      <c r="G6" s="12">
        <v>189</v>
      </c>
      <c r="H6" s="12">
        <v>54585.000267000003</v>
      </c>
      <c r="I6" s="13">
        <f t="shared" si="2"/>
        <v>0.41560073120722701</v>
      </c>
      <c r="J6" s="4">
        <v>27</v>
      </c>
      <c r="K6" s="4">
        <v>8331.0000080000009</v>
      </c>
      <c r="L6" s="17">
        <f t="shared" si="3"/>
        <v>6.3430790108568169E-2</v>
      </c>
      <c r="M6" s="9">
        <v>4</v>
      </c>
      <c r="N6" s="9">
        <v>2076.999992</v>
      </c>
      <c r="O6" s="18">
        <f t="shared" si="4"/>
        <v>1.5813917947609939E-2</v>
      </c>
    </row>
    <row r="7" spans="1:15" ht="15.75" customHeight="1" x14ac:dyDescent="0.2">
      <c r="A7" s="1" t="s">
        <v>6</v>
      </c>
      <c r="B7" s="35" t="s">
        <v>398</v>
      </c>
      <c r="C7" s="25">
        <v>788</v>
      </c>
      <c r="D7" s="21">
        <v>188887.00043300001</v>
      </c>
      <c r="E7" s="20">
        <f t="shared" si="0"/>
        <v>104122.00068499999</v>
      </c>
      <c r="F7" s="24">
        <f t="shared" si="1"/>
        <v>0.55123963240621765</v>
      </c>
      <c r="G7" s="12">
        <v>350</v>
      </c>
      <c r="H7" s="12">
        <v>84300.000509999998</v>
      </c>
      <c r="I7" s="13">
        <f t="shared" si="2"/>
        <v>0.44629858230980801</v>
      </c>
      <c r="J7" s="4">
        <v>71</v>
      </c>
      <c r="K7" s="4">
        <v>17892.000185000001</v>
      </c>
      <c r="L7" s="17">
        <f t="shared" si="3"/>
        <v>9.4723300936458366E-2</v>
      </c>
      <c r="M7" s="9">
        <v>9</v>
      </c>
      <c r="N7" s="9">
        <v>1929.99999</v>
      </c>
      <c r="O7" s="18">
        <f t="shared" si="4"/>
        <v>1.0217749159951264E-2</v>
      </c>
    </row>
    <row r="8" spans="1:15" ht="15.75" customHeight="1" x14ac:dyDescent="0.2">
      <c r="A8" s="1" t="s">
        <v>7</v>
      </c>
      <c r="B8" s="35" t="s">
        <v>396</v>
      </c>
      <c r="C8" s="25">
        <v>586</v>
      </c>
      <c r="D8" s="21">
        <v>164208.00040399999</v>
      </c>
      <c r="E8" s="20">
        <f t="shared" si="0"/>
        <v>80209.000191999992</v>
      </c>
      <c r="F8" s="24">
        <f t="shared" si="1"/>
        <v>0.48845975832275074</v>
      </c>
      <c r="G8" s="12">
        <v>235</v>
      </c>
      <c r="H8" s="12">
        <v>66286.000182999996</v>
      </c>
      <c r="I8" s="13">
        <f t="shared" si="2"/>
        <v>0.40367095403340236</v>
      </c>
      <c r="J8" s="4">
        <v>36</v>
      </c>
      <c r="K8" s="4">
        <v>11846.999980000001</v>
      </c>
      <c r="L8" s="17">
        <f t="shared" si="3"/>
        <v>7.2146301951505981E-2</v>
      </c>
      <c r="M8" s="9">
        <v>6</v>
      </c>
      <c r="N8" s="9">
        <v>2076.0000289999998</v>
      </c>
      <c r="O8" s="18">
        <f t="shared" si="4"/>
        <v>1.2642502337842426E-2</v>
      </c>
    </row>
    <row r="9" spans="1:15" ht="15.75" customHeight="1" x14ac:dyDescent="0.2">
      <c r="A9" s="1" t="s">
        <v>8</v>
      </c>
      <c r="B9" s="35" t="s">
        <v>395</v>
      </c>
      <c r="C9" s="25">
        <v>499</v>
      </c>
      <c r="D9" s="21">
        <v>133041.000459</v>
      </c>
      <c r="E9" s="20">
        <f t="shared" si="0"/>
        <v>57037.999925999997</v>
      </c>
      <c r="F9" s="24">
        <f t="shared" si="1"/>
        <v>0.42872497748224403</v>
      </c>
      <c r="G9" s="12">
        <v>194</v>
      </c>
      <c r="H9" s="12">
        <v>47423</v>
      </c>
      <c r="I9" s="13">
        <f t="shared" si="2"/>
        <v>0.35645402422101158</v>
      </c>
      <c r="J9" s="4">
        <v>30</v>
      </c>
      <c r="K9" s="4">
        <v>7660.9999550000002</v>
      </c>
      <c r="L9" s="17">
        <f t="shared" si="3"/>
        <v>5.7583751840177527E-2</v>
      </c>
      <c r="M9" s="9">
        <v>5</v>
      </c>
      <c r="N9" s="9">
        <v>1953.999971</v>
      </c>
      <c r="O9" s="18">
        <f t="shared" si="4"/>
        <v>1.4687201421054971E-2</v>
      </c>
    </row>
    <row r="10" spans="1:15" ht="15.75" customHeight="1" x14ac:dyDescent="0.2">
      <c r="A10" s="1" t="s">
        <v>9</v>
      </c>
      <c r="B10" s="35" t="s">
        <v>394</v>
      </c>
      <c r="C10" s="25">
        <v>441</v>
      </c>
      <c r="D10" s="21">
        <v>111958.000424</v>
      </c>
      <c r="E10" s="20">
        <f t="shared" si="0"/>
        <v>53982.000128000007</v>
      </c>
      <c r="F10" s="24">
        <f t="shared" si="1"/>
        <v>0.4821629532821497</v>
      </c>
      <c r="G10" s="12">
        <v>167</v>
      </c>
      <c r="H10" s="12">
        <v>43383.000047000001</v>
      </c>
      <c r="I10" s="13">
        <f t="shared" si="2"/>
        <v>0.38749352330965853</v>
      </c>
      <c r="J10" s="4">
        <v>35</v>
      </c>
      <c r="K10" s="4">
        <v>10033.000072000001</v>
      </c>
      <c r="L10" s="17">
        <f t="shared" si="3"/>
        <v>8.9613962682467366E-2</v>
      </c>
      <c r="M10" s="9">
        <v>2</v>
      </c>
      <c r="N10" s="9">
        <v>566.00000899999998</v>
      </c>
      <c r="O10" s="18">
        <f t="shared" si="4"/>
        <v>5.0554672900237751E-3</v>
      </c>
    </row>
    <row r="11" spans="1:15" ht="15.75" customHeight="1" x14ac:dyDescent="0.2">
      <c r="A11" s="1" t="s">
        <v>10</v>
      </c>
      <c r="B11" s="35" t="s">
        <v>392</v>
      </c>
      <c r="C11" s="25">
        <v>808</v>
      </c>
      <c r="D11" s="21">
        <v>184831.00070599999</v>
      </c>
      <c r="E11" s="20">
        <f t="shared" si="0"/>
        <v>94310.000402999998</v>
      </c>
      <c r="F11" s="24">
        <f t="shared" si="1"/>
        <v>0.51024990419769178</v>
      </c>
      <c r="G11" s="12">
        <v>353</v>
      </c>
      <c r="H11" s="12">
        <v>80882.000354999996</v>
      </c>
      <c r="I11" s="13">
        <f t="shared" si="2"/>
        <v>0.43759975353731018</v>
      </c>
      <c r="J11" s="4">
        <v>53</v>
      </c>
      <c r="K11" s="4">
        <v>11903.000040000001</v>
      </c>
      <c r="L11" s="17">
        <f t="shared" si="3"/>
        <v>6.4399370205939735E-2</v>
      </c>
      <c r="M11" s="9">
        <v>8</v>
      </c>
      <c r="N11" s="9">
        <v>1525.000008</v>
      </c>
      <c r="O11" s="18">
        <f t="shared" si="4"/>
        <v>8.2507804544418896E-3</v>
      </c>
    </row>
    <row r="12" spans="1:15" ht="15.75" customHeight="1" x14ac:dyDescent="0.2">
      <c r="A12" s="1" t="s">
        <v>11</v>
      </c>
      <c r="B12" s="35" t="s">
        <v>391</v>
      </c>
      <c r="C12" s="25">
        <v>510</v>
      </c>
      <c r="D12" s="21">
        <v>150406.00090700001</v>
      </c>
      <c r="E12" s="20">
        <f t="shared" si="0"/>
        <v>87670.000424000013</v>
      </c>
      <c r="F12" s="24">
        <f t="shared" si="1"/>
        <v>0.58288897979681464</v>
      </c>
      <c r="G12" s="12">
        <v>222</v>
      </c>
      <c r="H12" s="12">
        <v>67052.000367000001</v>
      </c>
      <c r="I12" s="13">
        <f t="shared" si="2"/>
        <v>0.44580668299571385</v>
      </c>
      <c r="J12" s="4">
        <v>44</v>
      </c>
      <c r="K12" s="4">
        <v>16095.000024000001</v>
      </c>
      <c r="L12" s="17">
        <f t="shared" si="3"/>
        <v>0.10701035814356877</v>
      </c>
      <c r="M12" s="9">
        <v>14</v>
      </c>
      <c r="N12" s="9">
        <v>4523.0000330000003</v>
      </c>
      <c r="O12" s="18">
        <f t="shared" si="4"/>
        <v>3.0071938657531959E-2</v>
      </c>
    </row>
    <row r="13" spans="1:15" ht="15.75" customHeight="1" x14ac:dyDescent="0.2">
      <c r="A13" s="1" t="s">
        <v>12</v>
      </c>
      <c r="B13" s="35" t="s">
        <v>393</v>
      </c>
      <c r="C13" s="25">
        <v>418</v>
      </c>
      <c r="D13" s="21">
        <v>112997.000273</v>
      </c>
      <c r="E13" s="20">
        <f t="shared" si="0"/>
        <v>59931.000139999996</v>
      </c>
      <c r="F13" s="24">
        <f t="shared" si="1"/>
        <v>0.5303769126189819</v>
      </c>
      <c r="G13" s="12">
        <v>181</v>
      </c>
      <c r="H13" s="12">
        <v>49339.000037999998</v>
      </c>
      <c r="I13" s="13">
        <f t="shared" si="2"/>
        <v>0.43663991007546488</v>
      </c>
      <c r="J13" s="4">
        <v>37</v>
      </c>
      <c r="K13" s="4">
        <v>9809.0000779999991</v>
      </c>
      <c r="L13" s="17">
        <f t="shared" si="3"/>
        <v>8.6807614842000405E-2</v>
      </c>
      <c r="M13" s="9">
        <v>4</v>
      </c>
      <c r="N13" s="9">
        <v>783.00002400000005</v>
      </c>
      <c r="O13" s="18">
        <f t="shared" si="4"/>
        <v>6.9293877015166525E-3</v>
      </c>
    </row>
    <row r="14" spans="1:15" ht="15.75" customHeight="1" x14ac:dyDescent="0.2">
      <c r="A14" s="1" t="s">
        <v>13</v>
      </c>
      <c r="B14" s="35" t="s">
        <v>390</v>
      </c>
      <c r="C14" s="25">
        <v>439</v>
      </c>
      <c r="D14" s="21">
        <v>104045.000849</v>
      </c>
      <c r="E14" s="20">
        <f t="shared" si="0"/>
        <v>54193.000401999998</v>
      </c>
      <c r="F14" s="24">
        <f t="shared" si="1"/>
        <v>0.52086116545522487</v>
      </c>
      <c r="G14" s="12">
        <v>181</v>
      </c>
      <c r="H14" s="12">
        <v>46016.000340999999</v>
      </c>
      <c r="I14" s="13">
        <f t="shared" si="2"/>
        <v>0.44227017122891654</v>
      </c>
      <c r="J14" s="4">
        <v>31</v>
      </c>
      <c r="K14" s="4">
        <v>7306.0000680000003</v>
      </c>
      <c r="L14" s="17">
        <f t="shared" si="3"/>
        <v>7.0219616592662265E-2</v>
      </c>
      <c r="M14" s="9">
        <v>3</v>
      </c>
      <c r="N14" s="9">
        <v>870.99999300000002</v>
      </c>
      <c r="O14" s="18">
        <f t="shared" si="4"/>
        <v>8.3713776336460221E-3</v>
      </c>
    </row>
    <row r="15" spans="1:15" ht="15.75" customHeight="1" x14ac:dyDescent="0.2">
      <c r="A15" s="1" t="s">
        <v>14</v>
      </c>
      <c r="B15" s="35" t="s">
        <v>388</v>
      </c>
      <c r="C15" s="25">
        <v>447</v>
      </c>
      <c r="D15" s="21">
        <v>140380.00077899999</v>
      </c>
      <c r="E15" s="20">
        <f t="shared" si="0"/>
        <v>64246.000287999996</v>
      </c>
      <c r="F15" s="24">
        <f t="shared" si="1"/>
        <v>0.45765778552133196</v>
      </c>
      <c r="G15" s="12">
        <v>182</v>
      </c>
      <c r="H15" s="12">
        <v>55254.000187999998</v>
      </c>
      <c r="I15" s="13">
        <f t="shared" si="2"/>
        <v>0.39360307651647813</v>
      </c>
      <c r="J15" s="4">
        <v>27</v>
      </c>
      <c r="K15" s="4">
        <v>8352.0000789999995</v>
      </c>
      <c r="L15" s="17">
        <f t="shared" si="3"/>
        <v>5.9495654884263317E-2</v>
      </c>
      <c r="M15" s="9">
        <v>4</v>
      </c>
      <c r="N15" s="9">
        <v>640.00002099999995</v>
      </c>
      <c r="O15" s="18">
        <f t="shared" si="4"/>
        <v>4.5590541205905175E-3</v>
      </c>
    </row>
    <row r="16" spans="1:15" ht="15.75" customHeight="1" x14ac:dyDescent="0.2">
      <c r="A16" s="1" t="s">
        <v>15</v>
      </c>
      <c r="B16" s="35" t="s">
        <v>389</v>
      </c>
      <c r="C16" s="25">
        <v>495</v>
      </c>
      <c r="D16" s="21">
        <v>136914.00034100001</v>
      </c>
      <c r="E16" s="20">
        <f t="shared" si="0"/>
        <v>61636.000005000002</v>
      </c>
      <c r="F16" s="24">
        <f t="shared" si="1"/>
        <v>0.4501804041331674</v>
      </c>
      <c r="G16" s="12">
        <v>188</v>
      </c>
      <c r="H16" s="12">
        <v>51072.999966000003</v>
      </c>
      <c r="I16" s="13">
        <f t="shared" si="2"/>
        <v>0.3730297839431822</v>
      </c>
      <c r="J16" s="4">
        <v>32</v>
      </c>
      <c r="K16" s="4">
        <v>9150.0000299999992</v>
      </c>
      <c r="L16" s="17">
        <f t="shared" si="3"/>
        <v>6.6830273070766139E-2</v>
      </c>
      <c r="M16" s="9">
        <v>5</v>
      </c>
      <c r="N16" s="9">
        <v>1413.0000090000001</v>
      </c>
      <c r="O16" s="18">
        <f t="shared" si="4"/>
        <v>1.0320347119219083E-2</v>
      </c>
    </row>
    <row r="17" spans="1:15" ht="15.75" customHeight="1" x14ac:dyDescent="0.2">
      <c r="A17" s="1" t="s">
        <v>16</v>
      </c>
      <c r="B17" s="35" t="s">
        <v>387</v>
      </c>
      <c r="C17" s="25">
        <v>474</v>
      </c>
      <c r="D17" s="21">
        <v>117540.00058399999</v>
      </c>
      <c r="E17" s="20">
        <f t="shared" si="0"/>
        <v>67049.000283999994</v>
      </c>
      <c r="F17" s="24">
        <f t="shared" si="1"/>
        <v>0.57043559597469462</v>
      </c>
      <c r="G17" s="12">
        <v>209</v>
      </c>
      <c r="H17" s="12">
        <v>53525.000226999997</v>
      </c>
      <c r="I17" s="13">
        <f t="shared" si="2"/>
        <v>0.4553768926413127</v>
      </c>
      <c r="J17" s="4">
        <v>46</v>
      </c>
      <c r="K17" s="4">
        <v>11532.000043</v>
      </c>
      <c r="L17" s="17">
        <f t="shared" si="3"/>
        <v>9.8111281144316928E-2</v>
      </c>
      <c r="M17" s="9">
        <v>6</v>
      </c>
      <c r="N17" s="9">
        <v>1992.000014</v>
      </c>
      <c r="O17" s="18">
        <f t="shared" si="4"/>
        <v>1.6947422189065045E-2</v>
      </c>
    </row>
    <row r="18" spans="1:15" ht="15.75" customHeight="1" x14ac:dyDescent="0.2">
      <c r="A18" s="1" t="s">
        <v>17</v>
      </c>
      <c r="B18" s="35" t="s">
        <v>386</v>
      </c>
      <c r="C18" s="25">
        <v>268</v>
      </c>
      <c r="D18" s="21">
        <v>79132.000260000001</v>
      </c>
      <c r="E18" s="20">
        <f t="shared" si="0"/>
        <v>38304.000031000003</v>
      </c>
      <c r="F18" s="24">
        <f t="shared" si="1"/>
        <v>0.48405196260863487</v>
      </c>
      <c r="G18" s="12">
        <v>117</v>
      </c>
      <c r="H18" s="12">
        <v>32958.000022</v>
      </c>
      <c r="I18" s="13">
        <f t="shared" si="2"/>
        <v>0.41649395836970593</v>
      </c>
      <c r="J18" s="4">
        <v>12</v>
      </c>
      <c r="K18" s="4">
        <v>4825.0000209999998</v>
      </c>
      <c r="L18" s="17">
        <f t="shared" si="3"/>
        <v>6.0974068709835995E-2</v>
      </c>
      <c r="M18" s="9">
        <v>2</v>
      </c>
      <c r="N18" s="9">
        <v>520.99998800000003</v>
      </c>
      <c r="O18" s="18">
        <f t="shared" si="4"/>
        <v>6.5839355290928676E-3</v>
      </c>
    </row>
    <row r="19" spans="1:15" ht="15.75" customHeight="1" x14ac:dyDescent="0.2">
      <c r="A19" s="1" t="s">
        <v>18</v>
      </c>
      <c r="B19" s="35" t="s">
        <v>384</v>
      </c>
      <c r="C19" s="25">
        <v>594</v>
      </c>
      <c r="D19" s="21">
        <v>170405.00076</v>
      </c>
      <c r="E19" s="20">
        <f t="shared" si="0"/>
        <v>66795.000279</v>
      </c>
      <c r="F19" s="24">
        <f t="shared" si="1"/>
        <v>0.39197793480881882</v>
      </c>
      <c r="G19" s="12">
        <v>202</v>
      </c>
      <c r="H19" s="12">
        <v>56190.000285000002</v>
      </c>
      <c r="I19" s="13">
        <f t="shared" si="2"/>
        <v>0.32974384574627902</v>
      </c>
      <c r="J19" s="4">
        <v>30</v>
      </c>
      <c r="K19" s="4">
        <v>8772.9999609999995</v>
      </c>
      <c r="L19" s="17">
        <f t="shared" si="3"/>
        <v>5.1483230667367416E-2</v>
      </c>
      <c r="M19" s="9">
        <v>6</v>
      </c>
      <c r="N19" s="9">
        <v>1832.000033</v>
      </c>
      <c r="O19" s="18">
        <f t="shared" si="4"/>
        <v>1.0750858395172369E-2</v>
      </c>
    </row>
    <row r="20" spans="1:15" ht="15.75" customHeight="1" x14ac:dyDescent="0.2">
      <c r="A20" s="1" t="s">
        <v>19</v>
      </c>
      <c r="B20" s="35" t="s">
        <v>385</v>
      </c>
      <c r="C20" s="25">
        <v>324</v>
      </c>
      <c r="D20" s="21">
        <v>91595.000543999995</v>
      </c>
      <c r="E20" s="20">
        <f t="shared" si="0"/>
        <v>44775.000305999994</v>
      </c>
      <c r="F20" s="24">
        <f t="shared" si="1"/>
        <v>0.48883672733307293</v>
      </c>
      <c r="G20" s="12">
        <v>139</v>
      </c>
      <c r="H20" s="12">
        <v>40286.000252999998</v>
      </c>
      <c r="I20" s="13">
        <f t="shared" si="2"/>
        <v>0.43982750165111456</v>
      </c>
      <c r="J20" s="4">
        <v>9</v>
      </c>
      <c r="K20" s="4">
        <v>2886.0000540000001</v>
      </c>
      <c r="L20" s="17">
        <f t="shared" si="3"/>
        <v>3.1508270504498073E-2</v>
      </c>
      <c r="M20" s="9">
        <v>8</v>
      </c>
      <c r="N20" s="9">
        <v>1602.9999989999999</v>
      </c>
      <c r="O20" s="18">
        <f t="shared" si="4"/>
        <v>1.7500955177460347E-2</v>
      </c>
    </row>
    <row r="21" spans="1:15" ht="15.75" customHeight="1" x14ac:dyDescent="0.2">
      <c r="A21" s="1" t="s">
        <v>20</v>
      </c>
      <c r="B21" s="35" t="s">
        <v>383</v>
      </c>
      <c r="C21" s="25">
        <v>219</v>
      </c>
      <c r="D21" s="21">
        <v>51231.000171</v>
      </c>
      <c r="E21" s="20">
        <f t="shared" si="0"/>
        <v>26154.999995000002</v>
      </c>
      <c r="F21" s="24">
        <f t="shared" si="1"/>
        <v>0.5105307315433868</v>
      </c>
      <c r="G21" s="12">
        <v>83</v>
      </c>
      <c r="H21" s="12">
        <v>19869.999983000002</v>
      </c>
      <c r="I21" s="13">
        <f t="shared" si="2"/>
        <v>0.38785110414939122</v>
      </c>
      <c r="J21" s="4">
        <v>17</v>
      </c>
      <c r="K21" s="4">
        <v>4863.9999829999997</v>
      </c>
      <c r="L21" s="17">
        <f t="shared" si="3"/>
        <v>9.4942514625223587E-2</v>
      </c>
      <c r="M21" s="9">
        <v>5</v>
      </c>
      <c r="N21" s="9">
        <v>1421.000029</v>
      </c>
      <c r="O21" s="18">
        <f t="shared" si="4"/>
        <v>2.7737112768771912E-2</v>
      </c>
    </row>
    <row r="22" spans="1:15" ht="15.75" customHeight="1" x14ac:dyDescent="0.2">
      <c r="A22" s="1" t="s">
        <v>21</v>
      </c>
      <c r="B22" s="35" t="s">
        <v>382</v>
      </c>
      <c r="C22" s="25">
        <v>265</v>
      </c>
      <c r="D22" s="21">
        <v>60951.999761999999</v>
      </c>
      <c r="E22" s="20">
        <f t="shared" si="0"/>
        <v>31921.000012</v>
      </c>
      <c r="F22" s="24">
        <f t="shared" si="1"/>
        <v>0.52370718166167329</v>
      </c>
      <c r="G22" s="12">
        <v>100</v>
      </c>
      <c r="H22" s="12">
        <v>25016.999975999999</v>
      </c>
      <c r="I22" s="13">
        <f t="shared" si="2"/>
        <v>0.4104377226946479</v>
      </c>
      <c r="J22" s="4">
        <v>29</v>
      </c>
      <c r="K22" s="4">
        <v>6745.0000440000003</v>
      </c>
      <c r="L22" s="17">
        <f t="shared" si="3"/>
        <v>0.1106608490342775</v>
      </c>
      <c r="M22" s="9">
        <v>1</v>
      </c>
      <c r="N22" s="9">
        <v>158.99999199999999</v>
      </c>
      <c r="O22" s="18">
        <f t="shared" si="4"/>
        <v>2.6086099327478863E-3</v>
      </c>
    </row>
    <row r="23" spans="1:15" ht="15.75" customHeight="1" x14ac:dyDescent="0.2">
      <c r="A23" s="1" t="s">
        <v>22</v>
      </c>
      <c r="B23" s="35" t="s">
        <v>381</v>
      </c>
      <c r="C23" s="25">
        <v>600</v>
      </c>
      <c r="D23" s="21">
        <v>171445.001101</v>
      </c>
      <c r="E23" s="20">
        <f t="shared" si="0"/>
        <v>102164.00052500001</v>
      </c>
      <c r="F23" s="24">
        <f t="shared" si="1"/>
        <v>0.59589955886094426</v>
      </c>
      <c r="G23" s="12">
        <v>271</v>
      </c>
      <c r="H23" s="12">
        <v>78352.000427999999</v>
      </c>
      <c r="I23" s="13">
        <f t="shared" si="2"/>
        <v>0.45700953614764211</v>
      </c>
      <c r="J23" s="4">
        <v>80</v>
      </c>
      <c r="K23" s="4">
        <v>21810.000126999999</v>
      </c>
      <c r="L23" s="17">
        <f t="shared" si="3"/>
        <v>0.12721280869630899</v>
      </c>
      <c r="M23" s="9">
        <v>7</v>
      </c>
      <c r="N23" s="9">
        <v>2001.9999700000001</v>
      </c>
      <c r="O23" s="18">
        <f t="shared" si="4"/>
        <v>1.1677214016993131E-2</v>
      </c>
    </row>
    <row r="24" spans="1:15" ht="15.75" customHeight="1" x14ac:dyDescent="0.2">
      <c r="A24" s="1" t="s">
        <v>23</v>
      </c>
      <c r="B24" s="35" t="s">
        <v>380</v>
      </c>
      <c r="C24" s="25">
        <v>510</v>
      </c>
      <c r="D24" s="21">
        <v>194699.00084600001</v>
      </c>
      <c r="E24" s="20">
        <f t="shared" si="0"/>
        <v>102826.000375</v>
      </c>
      <c r="F24" s="24">
        <f t="shared" si="1"/>
        <v>0.52812803315992218</v>
      </c>
      <c r="G24" s="12">
        <v>212</v>
      </c>
      <c r="H24" s="12">
        <v>97631.000373000003</v>
      </c>
      <c r="I24" s="13">
        <f t="shared" si="2"/>
        <v>0.50144582123573733</v>
      </c>
      <c r="J24" s="4">
        <v>14</v>
      </c>
      <c r="K24" s="4">
        <v>3264.9999929999999</v>
      </c>
      <c r="L24" s="17">
        <f t="shared" si="3"/>
        <v>1.6769474824282735E-2</v>
      </c>
      <c r="M24" s="9">
        <v>10</v>
      </c>
      <c r="N24" s="9">
        <v>1930.0000090000001</v>
      </c>
      <c r="O24" s="18">
        <f t="shared" si="4"/>
        <v>9.9127370999020255E-3</v>
      </c>
    </row>
    <row r="25" spans="1:15" ht="15.75" customHeight="1" x14ac:dyDescent="0.2">
      <c r="A25" s="1" t="s">
        <v>24</v>
      </c>
      <c r="B25" s="35" t="s">
        <v>379</v>
      </c>
      <c r="C25" s="25">
        <v>803</v>
      </c>
      <c r="D25" s="21">
        <v>211774.00043499999</v>
      </c>
      <c r="E25" s="20">
        <f t="shared" si="0"/>
        <v>122996.00026300001</v>
      </c>
      <c r="F25" s="24">
        <f t="shared" si="1"/>
        <v>0.58078895431146793</v>
      </c>
      <c r="G25" s="12">
        <v>383</v>
      </c>
      <c r="H25" s="12">
        <v>103557.00012700001</v>
      </c>
      <c r="I25" s="13">
        <f t="shared" si="2"/>
        <v>0.48899770469597781</v>
      </c>
      <c r="J25" s="4">
        <v>61</v>
      </c>
      <c r="K25" s="4">
        <v>17017.000125999999</v>
      </c>
      <c r="L25" s="17">
        <f t="shared" si="3"/>
        <v>8.0354529314485154E-2</v>
      </c>
      <c r="M25" s="9">
        <v>13</v>
      </c>
      <c r="N25" s="9">
        <v>2422.0000100000002</v>
      </c>
      <c r="O25" s="18">
        <f t="shared" si="4"/>
        <v>1.1436720301004972E-2</v>
      </c>
    </row>
    <row r="26" spans="1:15" ht="15.75" customHeight="1" x14ac:dyDescent="0.2">
      <c r="A26" s="1" t="s">
        <v>25</v>
      </c>
      <c r="B26" s="35" t="s">
        <v>376</v>
      </c>
      <c r="C26" s="25">
        <v>350</v>
      </c>
      <c r="D26" s="21">
        <v>91894.000518000001</v>
      </c>
      <c r="E26" s="20">
        <f t="shared" si="0"/>
        <v>48878.000255999999</v>
      </c>
      <c r="F26" s="24">
        <f t="shared" si="1"/>
        <v>0.53189544453912285</v>
      </c>
      <c r="G26" s="12">
        <v>157</v>
      </c>
      <c r="H26" s="12">
        <v>39110.000189999999</v>
      </c>
      <c r="I26" s="13">
        <f t="shared" si="2"/>
        <v>0.4255990594548032</v>
      </c>
      <c r="J26" s="4">
        <v>31</v>
      </c>
      <c r="K26" s="4">
        <v>9213.0000839999993</v>
      </c>
      <c r="L26" s="17">
        <f t="shared" si="3"/>
        <v>0.10025681798666906</v>
      </c>
      <c r="M26" s="9">
        <v>2</v>
      </c>
      <c r="N26" s="9">
        <v>554.99998200000005</v>
      </c>
      <c r="O26" s="18">
        <f t="shared" si="4"/>
        <v>6.0395670976506003E-3</v>
      </c>
    </row>
    <row r="27" spans="1:15" ht="15.75" customHeight="1" x14ac:dyDescent="0.2">
      <c r="A27" s="1" t="s">
        <v>26</v>
      </c>
      <c r="B27" s="35" t="s">
        <v>378</v>
      </c>
      <c r="C27" s="25">
        <v>420</v>
      </c>
      <c r="D27" s="21">
        <v>98274.000241999995</v>
      </c>
      <c r="E27" s="20">
        <f t="shared" si="0"/>
        <v>55634.000257</v>
      </c>
      <c r="F27" s="24">
        <f t="shared" si="1"/>
        <v>0.566111078413427</v>
      </c>
      <c r="G27" s="12">
        <v>199</v>
      </c>
      <c r="H27" s="12">
        <v>46382.000285000002</v>
      </c>
      <c r="I27" s="13">
        <f t="shared" si="2"/>
        <v>0.47196613723654474</v>
      </c>
      <c r="J27" s="4">
        <v>31</v>
      </c>
      <c r="K27" s="4">
        <v>7018.9999690000004</v>
      </c>
      <c r="L27" s="17">
        <f t="shared" si="3"/>
        <v>7.1422756290735023E-2</v>
      </c>
      <c r="M27" s="9">
        <v>10</v>
      </c>
      <c r="N27" s="9">
        <v>2233.0000030000001</v>
      </c>
      <c r="O27" s="18">
        <f t="shared" si="4"/>
        <v>2.2722184886147214E-2</v>
      </c>
    </row>
    <row r="28" spans="1:15" ht="15.75" customHeight="1" x14ac:dyDescent="0.2">
      <c r="A28" s="1" t="s">
        <v>27</v>
      </c>
      <c r="B28" s="35" t="s">
        <v>375</v>
      </c>
      <c r="C28" s="25">
        <v>794</v>
      </c>
      <c r="D28" s="21">
        <v>173838.00021299999</v>
      </c>
      <c r="E28" s="20">
        <f t="shared" si="0"/>
        <v>151673.00016499998</v>
      </c>
      <c r="F28" s="24">
        <f t="shared" si="1"/>
        <v>0.87249623200426996</v>
      </c>
      <c r="G28" s="12">
        <v>657</v>
      </c>
      <c r="H28" s="12">
        <v>138326.00013299999</v>
      </c>
      <c r="I28" s="13">
        <f t="shared" si="2"/>
        <v>0.79571785204335121</v>
      </c>
      <c r="J28" s="4">
        <v>54</v>
      </c>
      <c r="K28" s="4">
        <v>12460.000040999999</v>
      </c>
      <c r="L28" s="17">
        <f t="shared" si="3"/>
        <v>7.1675928311031117E-2</v>
      </c>
      <c r="M28" s="9">
        <v>5</v>
      </c>
      <c r="N28" s="9">
        <v>886.99999100000002</v>
      </c>
      <c r="O28" s="18">
        <f t="shared" si="4"/>
        <v>5.1024516498876992E-3</v>
      </c>
    </row>
    <row r="29" spans="1:15" ht="15.75" customHeight="1" x14ac:dyDescent="0.2">
      <c r="A29" s="1" t="s">
        <v>28</v>
      </c>
      <c r="B29" s="35" t="s">
        <v>374</v>
      </c>
      <c r="C29" s="25">
        <v>502</v>
      </c>
      <c r="D29" s="21">
        <v>144454.000157</v>
      </c>
      <c r="E29" s="20">
        <f t="shared" si="0"/>
        <v>76305.999905000004</v>
      </c>
      <c r="F29" s="24">
        <f t="shared" si="1"/>
        <v>0.52823736152731482</v>
      </c>
      <c r="G29" s="12">
        <v>234</v>
      </c>
      <c r="H29" s="12">
        <v>68980.999953000006</v>
      </c>
      <c r="I29" s="13">
        <f t="shared" si="2"/>
        <v>0.47752917799457212</v>
      </c>
      <c r="J29" s="4">
        <v>20</v>
      </c>
      <c r="K29" s="4">
        <v>5260.9999950000001</v>
      </c>
      <c r="L29" s="17">
        <f t="shared" si="3"/>
        <v>3.6419898301757486E-2</v>
      </c>
      <c r="M29" s="9">
        <v>7</v>
      </c>
      <c r="N29" s="9">
        <v>2063.999957</v>
      </c>
      <c r="O29" s="18">
        <f t="shared" si="4"/>
        <v>1.4288285230985222E-2</v>
      </c>
    </row>
    <row r="30" spans="1:15" ht="15.75" customHeight="1" x14ac:dyDescent="0.2">
      <c r="A30" s="1" t="s">
        <v>29</v>
      </c>
      <c r="B30" s="35" t="s">
        <v>373</v>
      </c>
      <c r="C30" s="25">
        <v>492</v>
      </c>
      <c r="D30" s="21">
        <v>139542.00050600001</v>
      </c>
      <c r="E30" s="20">
        <f t="shared" si="0"/>
        <v>77694.000251000005</v>
      </c>
      <c r="F30" s="24">
        <f t="shared" si="1"/>
        <v>0.55677860407096091</v>
      </c>
      <c r="G30" s="12">
        <v>236</v>
      </c>
      <c r="H30" s="12">
        <v>68439.000188000005</v>
      </c>
      <c r="I30" s="13">
        <f t="shared" si="2"/>
        <v>0.49045448638997602</v>
      </c>
      <c r="J30" s="4">
        <v>34</v>
      </c>
      <c r="K30" s="4">
        <v>8847.0000749999999</v>
      </c>
      <c r="L30" s="17">
        <f t="shared" si="3"/>
        <v>6.3400266893977902E-2</v>
      </c>
      <c r="M30" s="9">
        <v>3</v>
      </c>
      <c r="N30" s="9">
        <v>407.99998799999997</v>
      </c>
      <c r="O30" s="18">
        <f t="shared" si="4"/>
        <v>2.9238507870070047E-3</v>
      </c>
    </row>
    <row r="31" spans="1:15" ht="15.75" customHeight="1" x14ac:dyDescent="0.2">
      <c r="A31" s="1" t="s">
        <v>30</v>
      </c>
      <c r="B31" s="35" t="s">
        <v>372</v>
      </c>
      <c r="C31" s="25">
        <v>759</v>
      </c>
      <c r="D31" s="21">
        <v>185583.000719</v>
      </c>
      <c r="E31" s="20">
        <f t="shared" si="0"/>
        <v>94306.00063000001</v>
      </c>
      <c r="F31" s="24">
        <f t="shared" si="1"/>
        <v>0.50816077046190877</v>
      </c>
      <c r="G31" s="12">
        <v>293</v>
      </c>
      <c r="H31" s="12">
        <v>72837.000486000004</v>
      </c>
      <c r="I31" s="13">
        <f t="shared" si="2"/>
        <v>0.39247668269081365</v>
      </c>
      <c r="J31" s="4">
        <v>63</v>
      </c>
      <c r="K31" s="4">
        <v>15179.000062999999</v>
      </c>
      <c r="L31" s="17">
        <f t="shared" si="3"/>
        <v>8.1790896818094025E-2</v>
      </c>
      <c r="M31" s="9">
        <v>26</v>
      </c>
      <c r="N31" s="9">
        <v>6290.0000810000001</v>
      </c>
      <c r="O31" s="18">
        <f t="shared" si="4"/>
        <v>3.3893190953001057E-2</v>
      </c>
    </row>
    <row r="32" spans="1:15" ht="15.75" customHeight="1" x14ac:dyDescent="0.2">
      <c r="A32" s="1" t="s">
        <v>31</v>
      </c>
      <c r="B32" s="35" t="s">
        <v>371</v>
      </c>
      <c r="C32" s="25">
        <v>598</v>
      </c>
      <c r="D32" s="21">
        <v>153508.00064899999</v>
      </c>
      <c r="E32" s="20">
        <f t="shared" si="0"/>
        <v>75936.000262000001</v>
      </c>
      <c r="F32" s="24">
        <f t="shared" si="1"/>
        <v>0.49467128710528663</v>
      </c>
      <c r="G32" s="12">
        <v>255</v>
      </c>
      <c r="H32" s="12">
        <v>66307.000188000005</v>
      </c>
      <c r="I32" s="13">
        <f t="shared" si="2"/>
        <v>0.4319449143215191</v>
      </c>
      <c r="J32" s="4">
        <v>32</v>
      </c>
      <c r="K32" s="4">
        <v>8198.0000889999992</v>
      </c>
      <c r="L32" s="17">
        <f t="shared" si="3"/>
        <v>5.3404383187459645E-2</v>
      </c>
      <c r="M32" s="9">
        <v>8</v>
      </c>
      <c r="N32" s="9">
        <v>1430.9999849999999</v>
      </c>
      <c r="O32" s="18">
        <f t="shared" si="4"/>
        <v>9.3219895963078721E-3</v>
      </c>
    </row>
    <row r="33" spans="1:15" ht="15.75" customHeight="1" x14ac:dyDescent="0.2">
      <c r="A33" s="1" t="s">
        <v>32</v>
      </c>
      <c r="B33" s="35" t="s">
        <v>370</v>
      </c>
      <c r="C33" s="25">
        <v>345</v>
      </c>
      <c r="D33" s="21">
        <v>100798.000246</v>
      </c>
      <c r="E33" s="20">
        <f t="shared" si="0"/>
        <v>54093.000146999992</v>
      </c>
      <c r="F33" s="24">
        <f t="shared" si="1"/>
        <v>0.53664755267946485</v>
      </c>
      <c r="G33" s="12">
        <v>158</v>
      </c>
      <c r="H33" s="12">
        <v>46565.000163999997</v>
      </c>
      <c r="I33" s="13">
        <f t="shared" si="2"/>
        <v>0.46196353152202396</v>
      </c>
      <c r="J33" s="4">
        <v>16</v>
      </c>
      <c r="K33" s="4">
        <v>6634.9999710000002</v>
      </c>
      <c r="L33" s="17">
        <f t="shared" si="3"/>
        <v>6.5824718296068577E-2</v>
      </c>
      <c r="M33" s="9">
        <v>2</v>
      </c>
      <c r="N33" s="9">
        <v>893.00001199999997</v>
      </c>
      <c r="O33" s="18">
        <f t="shared" si="4"/>
        <v>8.8593028613723635E-3</v>
      </c>
    </row>
    <row r="34" spans="1:15" ht="15.75" customHeight="1" x14ac:dyDescent="0.2">
      <c r="A34" s="1" t="s">
        <v>33</v>
      </c>
      <c r="B34" s="35" t="s">
        <v>369</v>
      </c>
      <c r="C34" s="25">
        <v>583</v>
      </c>
      <c r="D34" s="21">
        <v>128197.00073499999</v>
      </c>
      <c r="E34" s="20">
        <f t="shared" ref="E34:E65" si="5">H34+K34+N34</f>
        <v>50078.000465999998</v>
      </c>
      <c r="F34" s="24">
        <f t="shared" ref="F34:F65" si="6">E34/D34</f>
        <v>0.39063316753812199</v>
      </c>
      <c r="G34" s="12">
        <v>196</v>
      </c>
      <c r="H34" s="12">
        <v>40268.000318999999</v>
      </c>
      <c r="I34" s="13">
        <f t="shared" ref="I34:I65" si="7">H34/D34</f>
        <v>0.31411031528139438</v>
      </c>
      <c r="J34" s="4">
        <v>30</v>
      </c>
      <c r="K34" s="4">
        <v>6245.0000659999996</v>
      </c>
      <c r="L34" s="17">
        <f t="shared" ref="L34:L65" si="8">K34/D34</f>
        <v>4.8714088708746266E-2</v>
      </c>
      <c r="M34" s="9">
        <v>15</v>
      </c>
      <c r="N34" s="9">
        <v>3565.0000810000001</v>
      </c>
      <c r="O34" s="18">
        <f t="shared" ref="O34:O65" si="9">N34/D34</f>
        <v>2.7808763547981303E-2</v>
      </c>
    </row>
    <row r="35" spans="1:15" ht="15.75" customHeight="1" x14ac:dyDescent="0.2">
      <c r="A35" s="1" t="s">
        <v>34</v>
      </c>
      <c r="B35" s="35" t="s">
        <v>377</v>
      </c>
      <c r="C35" s="25">
        <v>304</v>
      </c>
      <c r="D35" s="21">
        <v>86660.000411999994</v>
      </c>
      <c r="E35" s="20">
        <f t="shared" si="5"/>
        <v>39336.000091999995</v>
      </c>
      <c r="F35" s="24">
        <f t="shared" si="6"/>
        <v>0.45391183827588644</v>
      </c>
      <c r="G35" s="12">
        <v>124</v>
      </c>
      <c r="H35" s="12">
        <v>33208.000036999998</v>
      </c>
      <c r="I35" s="13">
        <f t="shared" si="7"/>
        <v>0.38319870619803986</v>
      </c>
      <c r="J35" s="4">
        <v>14</v>
      </c>
      <c r="K35" s="4">
        <v>5435.0000309999996</v>
      </c>
      <c r="L35" s="17">
        <f t="shared" si="8"/>
        <v>6.2716362856691188E-2</v>
      </c>
      <c r="M35" s="9">
        <v>4</v>
      </c>
      <c r="N35" s="9">
        <v>693.00002400000005</v>
      </c>
      <c r="O35" s="18">
        <f t="shared" si="9"/>
        <v>7.9967692211554489E-3</v>
      </c>
    </row>
    <row r="36" spans="1:15" ht="15.75" customHeight="1" x14ac:dyDescent="0.2">
      <c r="A36" s="1" t="s">
        <v>35</v>
      </c>
      <c r="B36" s="35" t="s">
        <v>368</v>
      </c>
      <c r="C36" s="25">
        <v>440</v>
      </c>
      <c r="D36" s="21">
        <v>114054.000007</v>
      </c>
      <c r="E36" s="20">
        <f t="shared" si="5"/>
        <v>59995.000201000003</v>
      </c>
      <c r="F36" s="24">
        <f t="shared" si="6"/>
        <v>0.52602276287826688</v>
      </c>
      <c r="G36" s="12">
        <v>203</v>
      </c>
      <c r="H36" s="12">
        <v>52823.000168999999</v>
      </c>
      <c r="I36" s="13">
        <f t="shared" si="7"/>
        <v>0.46314026834445104</v>
      </c>
      <c r="J36" s="4">
        <v>25</v>
      </c>
      <c r="K36" s="4">
        <v>5421.0000030000001</v>
      </c>
      <c r="L36" s="17">
        <f t="shared" si="8"/>
        <v>4.7530117336238006E-2</v>
      </c>
      <c r="M36" s="9">
        <v>11</v>
      </c>
      <c r="N36" s="9">
        <v>1751.000029</v>
      </c>
      <c r="O36" s="18">
        <f t="shared" si="9"/>
        <v>1.5352377197577757E-2</v>
      </c>
    </row>
    <row r="37" spans="1:15" ht="15.75" customHeight="1" x14ac:dyDescent="0.2">
      <c r="A37" s="1" t="s">
        <v>36</v>
      </c>
      <c r="B37" s="35" t="s">
        <v>367</v>
      </c>
      <c r="C37" s="25">
        <v>1985</v>
      </c>
      <c r="D37" s="21">
        <v>529958.00212700001</v>
      </c>
      <c r="E37" s="20">
        <f t="shared" si="5"/>
        <v>240281.00071399999</v>
      </c>
      <c r="F37" s="24">
        <f t="shared" si="6"/>
        <v>0.45339630640470763</v>
      </c>
      <c r="G37" s="12">
        <v>944</v>
      </c>
      <c r="H37" s="12">
        <v>222060.00059099999</v>
      </c>
      <c r="I37" s="13">
        <f t="shared" si="7"/>
        <v>0.41901433641865299</v>
      </c>
      <c r="J37" s="4">
        <v>71</v>
      </c>
      <c r="K37" s="4">
        <v>16449.000097</v>
      </c>
      <c r="L37" s="17">
        <f t="shared" si="8"/>
        <v>3.1038308754621154E-2</v>
      </c>
      <c r="M37" s="9">
        <v>8</v>
      </c>
      <c r="N37" s="9">
        <v>1772.0000259999999</v>
      </c>
      <c r="O37" s="18">
        <f t="shared" si="9"/>
        <v>3.3436612314334956E-3</v>
      </c>
    </row>
    <row r="38" spans="1:15" ht="15.75" customHeight="1" x14ac:dyDescent="0.2">
      <c r="A38" s="1" t="s">
        <v>37</v>
      </c>
      <c r="B38" s="35" t="s">
        <v>366</v>
      </c>
      <c r="C38" s="25">
        <v>334</v>
      </c>
      <c r="D38" s="21">
        <v>95508.000541000001</v>
      </c>
      <c r="E38" s="20">
        <f t="shared" si="5"/>
        <v>46611.000054000004</v>
      </c>
      <c r="F38" s="24">
        <f t="shared" si="6"/>
        <v>0.48803241393364394</v>
      </c>
      <c r="G38" s="12">
        <v>134</v>
      </c>
      <c r="H38" s="12">
        <v>37556.000007000002</v>
      </c>
      <c r="I38" s="13">
        <f t="shared" si="7"/>
        <v>0.39322360215129659</v>
      </c>
      <c r="J38" s="4">
        <v>28</v>
      </c>
      <c r="K38" s="4">
        <v>7728.0000689999997</v>
      </c>
      <c r="L38" s="17">
        <f t="shared" si="8"/>
        <v>8.0914688038961693E-2</v>
      </c>
      <c r="M38" s="9">
        <v>3</v>
      </c>
      <c r="N38" s="9">
        <v>1326.9999780000001</v>
      </c>
      <c r="O38" s="18">
        <f t="shared" si="9"/>
        <v>1.3894123743385675E-2</v>
      </c>
    </row>
    <row r="39" spans="1:15" ht="15.75" customHeight="1" x14ac:dyDescent="0.2">
      <c r="A39" s="1" t="s">
        <v>38</v>
      </c>
      <c r="B39" s="35" t="s">
        <v>365</v>
      </c>
      <c r="C39" s="25">
        <v>377</v>
      </c>
      <c r="D39" s="21">
        <v>108404.000631</v>
      </c>
      <c r="E39" s="20">
        <f t="shared" si="5"/>
        <v>50872.000306000002</v>
      </c>
      <c r="F39" s="24">
        <f t="shared" si="6"/>
        <v>0.46928157641676804</v>
      </c>
      <c r="G39" s="12">
        <v>158</v>
      </c>
      <c r="H39" s="12">
        <v>44736.000266000003</v>
      </c>
      <c r="I39" s="13">
        <f t="shared" si="7"/>
        <v>0.41267849900003567</v>
      </c>
      <c r="J39" s="4">
        <v>14</v>
      </c>
      <c r="K39" s="4">
        <v>4787.9999980000002</v>
      </c>
      <c r="L39" s="17">
        <f t="shared" si="8"/>
        <v>4.4168111602246429E-2</v>
      </c>
      <c r="M39" s="9">
        <v>6</v>
      </c>
      <c r="N39" s="9">
        <v>1348.0000419999999</v>
      </c>
      <c r="O39" s="18">
        <f t="shared" si="9"/>
        <v>1.2434965814485964E-2</v>
      </c>
    </row>
    <row r="40" spans="1:15" ht="15.75" customHeight="1" x14ac:dyDescent="0.2">
      <c r="A40" s="1" t="s">
        <v>39</v>
      </c>
      <c r="B40" s="35" t="s">
        <v>364</v>
      </c>
      <c r="C40" s="25">
        <v>542</v>
      </c>
      <c r="D40" s="21">
        <v>145092.00103099999</v>
      </c>
      <c r="E40" s="20">
        <f t="shared" si="5"/>
        <v>83100.000560999993</v>
      </c>
      <c r="F40" s="24">
        <f t="shared" si="6"/>
        <v>0.57274005438277098</v>
      </c>
      <c r="G40" s="12">
        <v>261</v>
      </c>
      <c r="H40" s="12">
        <v>71034.000434999994</v>
      </c>
      <c r="I40" s="13">
        <f t="shared" si="7"/>
        <v>0.48957902524084046</v>
      </c>
      <c r="J40" s="4">
        <v>41</v>
      </c>
      <c r="K40" s="4">
        <v>10869.00009</v>
      </c>
      <c r="L40" s="17">
        <f t="shared" si="8"/>
        <v>7.4911090982043571E-2</v>
      </c>
      <c r="M40" s="9">
        <v>7</v>
      </c>
      <c r="N40" s="9">
        <v>1197.0000359999999</v>
      </c>
      <c r="O40" s="18">
        <f t="shared" si="9"/>
        <v>8.2499381598869249E-3</v>
      </c>
    </row>
    <row r="41" spans="1:15" ht="15.75" customHeight="1" x14ac:dyDescent="0.2">
      <c r="A41" s="1" t="s">
        <v>40</v>
      </c>
      <c r="B41" s="35" t="s">
        <v>363</v>
      </c>
      <c r="C41" s="25">
        <v>743</v>
      </c>
      <c r="D41" s="21">
        <v>194663.000421</v>
      </c>
      <c r="E41" s="20">
        <f t="shared" si="5"/>
        <v>107624.000384</v>
      </c>
      <c r="F41" s="24">
        <f t="shared" si="6"/>
        <v>0.55287342818738172</v>
      </c>
      <c r="G41" s="12">
        <v>337</v>
      </c>
      <c r="H41" s="12">
        <v>89249.000182999996</v>
      </c>
      <c r="I41" s="13">
        <f t="shared" si="7"/>
        <v>0.4584795261039854</v>
      </c>
      <c r="J41" s="4">
        <v>51</v>
      </c>
      <c r="K41" s="4">
        <v>16016.000124</v>
      </c>
      <c r="L41" s="17">
        <f t="shared" si="8"/>
        <v>8.2275522771980317E-2</v>
      </c>
      <c r="M41" s="9">
        <v>10</v>
      </c>
      <c r="N41" s="9">
        <v>2359.0000770000001</v>
      </c>
      <c r="O41" s="18">
        <f t="shared" si="9"/>
        <v>1.2118379311415947E-2</v>
      </c>
    </row>
    <row r="42" spans="1:15" ht="15.75" customHeight="1" x14ac:dyDescent="0.2">
      <c r="A42" s="1" t="s">
        <v>41</v>
      </c>
      <c r="B42" s="35" t="s">
        <v>362</v>
      </c>
      <c r="C42" s="25">
        <v>614</v>
      </c>
      <c r="D42" s="21">
        <v>156696.00055900001</v>
      </c>
      <c r="E42" s="20">
        <f t="shared" si="5"/>
        <v>48104.000104999999</v>
      </c>
      <c r="F42" s="24">
        <f t="shared" si="6"/>
        <v>0.30698932923235411</v>
      </c>
      <c r="G42" s="12">
        <v>176</v>
      </c>
      <c r="H42" s="12">
        <v>42396.000116000003</v>
      </c>
      <c r="I42" s="13">
        <f t="shared" si="7"/>
        <v>0.27056210729537311</v>
      </c>
      <c r="J42" s="4">
        <v>22</v>
      </c>
      <c r="K42" s="4">
        <v>4265.9999980000002</v>
      </c>
      <c r="L42" s="17">
        <f t="shared" si="8"/>
        <v>2.7224689735420166E-2</v>
      </c>
      <c r="M42" s="9">
        <v>6</v>
      </c>
      <c r="N42" s="9">
        <v>1441.9999909999999</v>
      </c>
      <c r="O42" s="18">
        <f t="shared" si="9"/>
        <v>9.2025322015608837E-3</v>
      </c>
    </row>
    <row r="43" spans="1:15" ht="15.75" customHeight="1" x14ac:dyDescent="0.2">
      <c r="A43" s="1" t="s">
        <v>42</v>
      </c>
      <c r="B43" s="35" t="s">
        <v>361</v>
      </c>
      <c r="C43" s="25">
        <v>533</v>
      </c>
      <c r="D43" s="21">
        <v>141247.00042500001</v>
      </c>
      <c r="E43" s="20">
        <f t="shared" si="5"/>
        <v>69429.000142999983</v>
      </c>
      <c r="F43" s="24">
        <f t="shared" si="6"/>
        <v>0.49154318275145048</v>
      </c>
      <c r="G43" s="12">
        <v>230</v>
      </c>
      <c r="H43" s="12">
        <v>60909.000056999997</v>
      </c>
      <c r="I43" s="13">
        <f t="shared" si="7"/>
        <v>0.43122331712340856</v>
      </c>
      <c r="J43" s="4">
        <v>29</v>
      </c>
      <c r="K43" s="4">
        <v>6435.0000639999998</v>
      </c>
      <c r="L43" s="17">
        <f t="shared" si="8"/>
        <v>4.5558490053860548E-2</v>
      </c>
      <c r="M43" s="9">
        <v>8</v>
      </c>
      <c r="N43" s="9">
        <v>2085.0000220000002</v>
      </c>
      <c r="O43" s="18">
        <f t="shared" si="9"/>
        <v>1.4761375574181508E-2</v>
      </c>
    </row>
    <row r="44" spans="1:15" ht="15.75" customHeight="1" x14ac:dyDescent="0.2">
      <c r="A44" s="1" t="s">
        <v>43</v>
      </c>
      <c r="B44" s="35" t="s">
        <v>275</v>
      </c>
      <c r="C44" s="25">
        <v>503</v>
      </c>
      <c r="D44" s="21">
        <v>115439.000272</v>
      </c>
      <c r="E44" s="20">
        <f t="shared" si="5"/>
        <v>65878.000083999999</v>
      </c>
      <c r="F44" s="24">
        <f t="shared" si="6"/>
        <v>0.57067368851754396</v>
      </c>
      <c r="G44" s="12">
        <v>233</v>
      </c>
      <c r="H44" s="12">
        <v>53385.000109000001</v>
      </c>
      <c r="I44" s="13">
        <f t="shared" si="7"/>
        <v>0.4624520307973306</v>
      </c>
      <c r="J44" s="4">
        <v>53</v>
      </c>
      <c r="K44" s="4">
        <v>11098.999986999999</v>
      </c>
      <c r="L44" s="17">
        <f t="shared" si="8"/>
        <v>9.6146016171729506E-2</v>
      </c>
      <c r="M44" s="9">
        <v>4</v>
      </c>
      <c r="N44" s="9">
        <v>1393.999988</v>
      </c>
      <c r="O44" s="18">
        <f t="shared" si="9"/>
        <v>1.2075641548483835E-2</v>
      </c>
    </row>
    <row r="45" spans="1:15" ht="15.75" customHeight="1" x14ac:dyDescent="0.2">
      <c r="A45" s="1" t="s">
        <v>44</v>
      </c>
      <c r="B45" s="35" t="s">
        <v>347</v>
      </c>
      <c r="C45" s="25">
        <v>385</v>
      </c>
      <c r="D45" s="21">
        <v>117517.000917</v>
      </c>
      <c r="E45" s="20">
        <f t="shared" si="5"/>
        <v>61747.000268999996</v>
      </c>
      <c r="F45" s="24">
        <f t="shared" si="6"/>
        <v>0.52543036145562216</v>
      </c>
      <c r="G45" s="12">
        <v>166</v>
      </c>
      <c r="H45" s="12">
        <v>52494.000206999997</v>
      </c>
      <c r="I45" s="13">
        <f t="shared" si="7"/>
        <v>0.4466928171871532</v>
      </c>
      <c r="J45" s="4">
        <v>24</v>
      </c>
      <c r="K45" s="4">
        <v>9145.0000710000004</v>
      </c>
      <c r="L45" s="17">
        <f t="shared" si="8"/>
        <v>7.7818528380067656E-2</v>
      </c>
      <c r="M45" s="9">
        <v>1</v>
      </c>
      <c r="N45" s="9">
        <v>107.99999099999999</v>
      </c>
      <c r="O45" s="18">
        <f t="shared" si="9"/>
        <v>9.1901588840135836E-4</v>
      </c>
    </row>
    <row r="46" spans="1:15" ht="15.75" customHeight="1" x14ac:dyDescent="0.2">
      <c r="A46" s="1" t="s">
        <v>45</v>
      </c>
      <c r="B46" s="35" t="s">
        <v>407</v>
      </c>
      <c r="C46" s="25">
        <v>454</v>
      </c>
      <c r="D46" s="21">
        <v>115183.00026</v>
      </c>
      <c r="E46" s="20">
        <f t="shared" si="5"/>
        <v>58128.000137000003</v>
      </c>
      <c r="F46" s="24">
        <f t="shared" si="6"/>
        <v>0.50465780545557049</v>
      </c>
      <c r="G46" s="12">
        <v>237</v>
      </c>
      <c r="H46" s="12">
        <v>56489.000135000002</v>
      </c>
      <c r="I46" s="13">
        <f t="shared" si="7"/>
        <v>0.4904282750708755</v>
      </c>
      <c r="J46" s="4">
        <v>0</v>
      </c>
      <c r="K46" s="4">
        <v>0</v>
      </c>
      <c r="L46" s="17">
        <f t="shared" si="8"/>
        <v>0</v>
      </c>
      <c r="M46" s="9">
        <v>7</v>
      </c>
      <c r="N46" s="9">
        <v>1639.000002</v>
      </c>
      <c r="O46" s="18">
        <f t="shared" si="9"/>
        <v>1.4229530384694981E-2</v>
      </c>
    </row>
    <row r="47" spans="1:15" ht="15.75" customHeight="1" x14ac:dyDescent="0.2">
      <c r="A47" s="1" t="s">
        <v>46</v>
      </c>
      <c r="B47" s="35" t="s">
        <v>355</v>
      </c>
      <c r="C47" s="25">
        <v>492</v>
      </c>
      <c r="D47" s="21">
        <v>122644.000182</v>
      </c>
      <c r="E47" s="20">
        <f t="shared" si="5"/>
        <v>70340.999987000003</v>
      </c>
      <c r="F47" s="24">
        <f t="shared" si="6"/>
        <v>0.57353804411643516</v>
      </c>
      <c r="G47" s="12">
        <v>234</v>
      </c>
      <c r="H47" s="12">
        <v>56933.999965000003</v>
      </c>
      <c r="I47" s="13">
        <f t="shared" si="7"/>
        <v>0.46422164867838345</v>
      </c>
      <c r="J47" s="4">
        <v>39</v>
      </c>
      <c r="K47" s="4">
        <v>11490.000019999999</v>
      </c>
      <c r="L47" s="17">
        <f t="shared" si="8"/>
        <v>9.3685789789546864E-2</v>
      </c>
      <c r="M47" s="9">
        <v>6</v>
      </c>
      <c r="N47" s="9">
        <v>1917.000002</v>
      </c>
      <c r="O47" s="18">
        <f t="shared" si="9"/>
        <v>1.5630605648504856E-2</v>
      </c>
    </row>
    <row r="48" spans="1:15" ht="15.75" customHeight="1" x14ac:dyDescent="0.2">
      <c r="A48" s="1" t="s">
        <v>47</v>
      </c>
      <c r="B48" s="36" t="s">
        <v>408</v>
      </c>
      <c r="C48" s="25">
        <v>679</v>
      </c>
      <c r="D48" s="21">
        <v>176515.000761</v>
      </c>
      <c r="E48" s="20">
        <f t="shared" si="5"/>
        <v>89951.000354999996</v>
      </c>
      <c r="F48" s="24">
        <f t="shared" si="6"/>
        <v>0.50959408530265926</v>
      </c>
      <c r="G48" s="12">
        <v>343</v>
      </c>
      <c r="H48" s="12">
        <v>89108.000323999993</v>
      </c>
      <c r="I48" s="13">
        <f t="shared" si="7"/>
        <v>0.50481828705681264</v>
      </c>
      <c r="J48" s="4">
        <v>0</v>
      </c>
      <c r="K48" s="4">
        <v>0</v>
      </c>
      <c r="L48" s="17">
        <f t="shared" si="8"/>
        <v>0</v>
      </c>
      <c r="M48" s="9">
        <v>3</v>
      </c>
      <c r="N48" s="9">
        <v>843.00003100000004</v>
      </c>
      <c r="O48" s="18">
        <f t="shared" si="9"/>
        <v>4.7757982458466281E-3</v>
      </c>
    </row>
    <row r="49" spans="1:15" ht="15.75" customHeight="1" x14ac:dyDescent="0.2">
      <c r="A49" s="1" t="s">
        <v>48</v>
      </c>
      <c r="B49" s="35" t="s">
        <v>282</v>
      </c>
      <c r="C49" s="25">
        <v>315</v>
      </c>
      <c r="D49" s="21">
        <v>78777.000408000007</v>
      </c>
      <c r="E49" s="20">
        <f t="shared" si="5"/>
        <v>47593.000311999996</v>
      </c>
      <c r="F49" s="24">
        <f t="shared" si="6"/>
        <v>0.60414841978632638</v>
      </c>
      <c r="G49" s="12">
        <v>161</v>
      </c>
      <c r="H49" s="12">
        <v>41991.000269999997</v>
      </c>
      <c r="I49" s="13">
        <f t="shared" si="7"/>
        <v>0.53303629298553112</v>
      </c>
      <c r="J49" s="4">
        <v>23</v>
      </c>
      <c r="K49" s="4">
        <v>5194.0000229999996</v>
      </c>
      <c r="L49" s="17">
        <f t="shared" si="8"/>
        <v>6.5932949923192749E-2</v>
      </c>
      <c r="M49" s="9">
        <v>2</v>
      </c>
      <c r="N49" s="9">
        <v>408.00001900000001</v>
      </c>
      <c r="O49" s="18">
        <f t="shared" si="9"/>
        <v>5.1791768776025468E-3</v>
      </c>
    </row>
    <row r="50" spans="1:15" ht="15.75" customHeight="1" x14ac:dyDescent="0.2">
      <c r="A50" s="1" t="s">
        <v>49</v>
      </c>
      <c r="B50" s="35" t="s">
        <v>297</v>
      </c>
      <c r="C50" s="25">
        <v>306</v>
      </c>
      <c r="D50" s="21">
        <v>80985.000020000007</v>
      </c>
      <c r="E50" s="20">
        <f t="shared" si="5"/>
        <v>43043.999866000006</v>
      </c>
      <c r="F50" s="24">
        <f t="shared" si="6"/>
        <v>0.53150583262789264</v>
      </c>
      <c r="G50" s="12">
        <v>131</v>
      </c>
      <c r="H50" s="12">
        <v>35200.999849</v>
      </c>
      <c r="I50" s="13">
        <f t="shared" si="7"/>
        <v>0.4346607376712574</v>
      </c>
      <c r="J50" s="4">
        <v>23</v>
      </c>
      <c r="K50" s="4">
        <v>6568.0000120000004</v>
      </c>
      <c r="L50" s="17">
        <f t="shared" si="8"/>
        <v>8.110143866614769E-2</v>
      </c>
      <c r="M50" s="9">
        <v>4</v>
      </c>
      <c r="N50" s="9">
        <v>1275.0000050000001</v>
      </c>
      <c r="O50" s="18">
        <f t="shared" si="9"/>
        <v>1.5743656290487459E-2</v>
      </c>
    </row>
    <row r="51" spans="1:15" ht="15.75" customHeight="1" x14ac:dyDescent="0.2">
      <c r="A51" s="1" t="s">
        <v>50</v>
      </c>
      <c r="B51" s="35" t="s">
        <v>345</v>
      </c>
      <c r="C51" s="25">
        <v>388</v>
      </c>
      <c r="D51" s="21">
        <v>95199.000448999999</v>
      </c>
      <c r="E51" s="20">
        <f t="shared" si="5"/>
        <v>49709.000400999998</v>
      </c>
      <c r="F51" s="24">
        <f t="shared" si="6"/>
        <v>0.52215884795586798</v>
      </c>
      <c r="G51" s="12">
        <v>181</v>
      </c>
      <c r="H51" s="12">
        <v>45513.000365</v>
      </c>
      <c r="I51" s="13">
        <f t="shared" si="7"/>
        <v>0.47808275454932136</v>
      </c>
      <c r="J51" s="4">
        <v>15</v>
      </c>
      <c r="K51" s="4">
        <v>2842.0000209999998</v>
      </c>
      <c r="L51" s="17">
        <f t="shared" si="8"/>
        <v>2.9853254840869006E-2</v>
      </c>
      <c r="M51" s="9">
        <v>3</v>
      </c>
      <c r="N51" s="9">
        <v>1354.0000150000001</v>
      </c>
      <c r="O51" s="18">
        <f t="shared" si="9"/>
        <v>1.422283856567764E-2</v>
      </c>
    </row>
    <row r="52" spans="1:15" ht="14" x14ac:dyDescent="0.2">
      <c r="A52" s="1" t="s">
        <v>51</v>
      </c>
      <c r="B52" s="35" t="s">
        <v>338</v>
      </c>
      <c r="C52" s="25">
        <v>722</v>
      </c>
      <c r="D52" s="21">
        <v>170557.000439</v>
      </c>
      <c r="E52" s="20">
        <f t="shared" si="5"/>
        <v>91775.000226000004</v>
      </c>
      <c r="F52" s="24">
        <f t="shared" si="6"/>
        <v>0.53808990536758117</v>
      </c>
      <c r="G52" s="12">
        <v>320</v>
      </c>
      <c r="H52" s="12">
        <v>78398.000123000005</v>
      </c>
      <c r="I52" s="13">
        <f t="shared" si="7"/>
        <v>0.45965864738011258</v>
      </c>
      <c r="J52" s="4">
        <v>49</v>
      </c>
      <c r="K52" s="4">
        <v>11571.000144</v>
      </c>
      <c r="L52" s="17">
        <f t="shared" si="8"/>
        <v>6.7842422851112388E-2</v>
      </c>
      <c r="M52" s="9">
        <v>8</v>
      </c>
      <c r="N52" s="9">
        <v>1805.999959</v>
      </c>
      <c r="O52" s="18">
        <f t="shared" si="9"/>
        <v>1.0588835136356183E-2</v>
      </c>
    </row>
    <row r="53" spans="1:15" ht="14" x14ac:dyDescent="0.2">
      <c r="A53" s="1" t="s">
        <v>52</v>
      </c>
      <c r="B53" s="35" t="s">
        <v>354</v>
      </c>
      <c r="C53" s="25">
        <v>491</v>
      </c>
      <c r="D53" s="21">
        <v>147966.00064899999</v>
      </c>
      <c r="E53" s="20">
        <f t="shared" si="5"/>
        <v>77329.000297000006</v>
      </c>
      <c r="F53" s="24">
        <f t="shared" si="6"/>
        <v>0.52261330277106888</v>
      </c>
      <c r="G53" s="12">
        <v>216</v>
      </c>
      <c r="H53" s="12">
        <v>64082.000296999999</v>
      </c>
      <c r="I53" s="13">
        <f t="shared" si="7"/>
        <v>0.43308597931908144</v>
      </c>
      <c r="J53" s="4">
        <v>43</v>
      </c>
      <c r="K53" s="4">
        <v>11242.999991999999</v>
      </c>
      <c r="L53" s="17">
        <f t="shared" si="8"/>
        <v>7.5983671537289632E-2</v>
      </c>
      <c r="M53" s="9">
        <v>4</v>
      </c>
      <c r="N53" s="9">
        <v>2004.000008</v>
      </c>
      <c r="O53" s="18">
        <f t="shared" si="9"/>
        <v>1.3543651914697767E-2</v>
      </c>
    </row>
    <row r="54" spans="1:15" ht="14" x14ac:dyDescent="0.2">
      <c r="A54" s="1" t="s">
        <v>53</v>
      </c>
      <c r="B54" s="35" t="s">
        <v>273</v>
      </c>
      <c r="C54" s="25">
        <v>490</v>
      </c>
      <c r="D54" s="21">
        <v>132099.00030399999</v>
      </c>
      <c r="E54" s="20">
        <f t="shared" si="5"/>
        <v>74126.000218999994</v>
      </c>
      <c r="F54" s="24">
        <f t="shared" si="6"/>
        <v>0.56113975161366492</v>
      </c>
      <c r="G54" s="12">
        <v>234</v>
      </c>
      <c r="H54" s="12">
        <v>65527.000207999998</v>
      </c>
      <c r="I54" s="13">
        <f t="shared" si="7"/>
        <v>0.49604463362479984</v>
      </c>
      <c r="J54" s="4">
        <v>29</v>
      </c>
      <c r="K54" s="4">
        <v>7611.9999879999996</v>
      </c>
      <c r="L54" s="17">
        <f t="shared" si="8"/>
        <v>5.7623448856406724E-2</v>
      </c>
      <c r="M54" s="9">
        <v>4</v>
      </c>
      <c r="N54" s="9">
        <v>987.00002300000006</v>
      </c>
      <c r="O54" s="18">
        <f t="shared" si="9"/>
        <v>7.4716691324583284E-3</v>
      </c>
    </row>
    <row r="55" spans="1:15" ht="14" x14ac:dyDescent="0.2">
      <c r="A55" s="1" t="s">
        <v>54</v>
      </c>
      <c r="B55" s="35" t="s">
        <v>325</v>
      </c>
      <c r="C55" s="25">
        <v>400</v>
      </c>
      <c r="D55" s="21">
        <v>100264.000527</v>
      </c>
      <c r="E55" s="20">
        <f t="shared" si="5"/>
        <v>48560.000314999997</v>
      </c>
      <c r="F55" s="24">
        <f t="shared" si="6"/>
        <v>0.48432139212242303</v>
      </c>
      <c r="G55" s="12">
        <v>166</v>
      </c>
      <c r="H55" s="12">
        <v>41393.000198000002</v>
      </c>
      <c r="I55" s="13">
        <f t="shared" si="7"/>
        <v>0.41284010193522369</v>
      </c>
      <c r="J55" s="4">
        <v>24</v>
      </c>
      <c r="K55" s="4">
        <v>5746.0000819999996</v>
      </c>
      <c r="L55" s="17">
        <f t="shared" si="8"/>
        <v>5.7308705535369743E-2</v>
      </c>
      <c r="M55" s="9">
        <v>6</v>
      </c>
      <c r="N55" s="9">
        <v>1421.000035</v>
      </c>
      <c r="O55" s="18">
        <f t="shared" si="9"/>
        <v>1.417258465182965E-2</v>
      </c>
    </row>
    <row r="56" spans="1:15" ht="14" x14ac:dyDescent="0.2">
      <c r="A56" s="1" t="s">
        <v>55</v>
      </c>
      <c r="B56" s="35" t="s">
        <v>225</v>
      </c>
      <c r="C56" s="25">
        <v>760</v>
      </c>
      <c r="D56" s="21">
        <v>167748.000226</v>
      </c>
      <c r="E56" s="20">
        <f t="shared" si="5"/>
        <v>92075.000140000004</v>
      </c>
      <c r="F56" s="24">
        <f t="shared" si="6"/>
        <v>0.54888880949967289</v>
      </c>
      <c r="G56" s="12">
        <v>342</v>
      </c>
      <c r="H56" s="12">
        <v>74759.000167999999</v>
      </c>
      <c r="I56" s="13">
        <f t="shared" si="7"/>
        <v>0.44566254183227377</v>
      </c>
      <c r="J56" s="4">
        <v>61</v>
      </c>
      <c r="K56" s="4">
        <v>15380.999952</v>
      </c>
      <c r="L56" s="17">
        <f t="shared" si="8"/>
        <v>9.1691107681032322E-2</v>
      </c>
      <c r="M56" s="9">
        <v>9</v>
      </c>
      <c r="N56" s="9">
        <v>1935.0000199999999</v>
      </c>
      <c r="O56" s="18">
        <f t="shared" si="9"/>
        <v>1.1535159986366774E-2</v>
      </c>
    </row>
    <row r="57" spans="1:15" ht="14" x14ac:dyDescent="0.2">
      <c r="A57" s="1" t="s">
        <v>56</v>
      </c>
      <c r="B57" s="35" t="s">
        <v>329</v>
      </c>
      <c r="C57" s="25">
        <v>512</v>
      </c>
      <c r="D57" s="21">
        <v>154463.000497</v>
      </c>
      <c r="E57" s="20">
        <f t="shared" si="5"/>
        <v>88825.000299000007</v>
      </c>
      <c r="F57" s="24">
        <f t="shared" si="6"/>
        <v>0.57505680980685847</v>
      </c>
      <c r="G57" s="12">
        <v>249</v>
      </c>
      <c r="H57" s="12">
        <v>77369.000310000003</v>
      </c>
      <c r="I57" s="13">
        <f t="shared" si="7"/>
        <v>0.50089018121529161</v>
      </c>
      <c r="J57" s="4">
        <v>23</v>
      </c>
      <c r="K57" s="4">
        <v>8836.9999910000006</v>
      </c>
      <c r="L57" s="17">
        <f t="shared" si="8"/>
        <v>5.721111180390176E-2</v>
      </c>
      <c r="M57" s="9">
        <v>7</v>
      </c>
      <c r="N57" s="9">
        <v>2618.9999979999998</v>
      </c>
      <c r="O57" s="18">
        <f t="shared" si="9"/>
        <v>1.6955516787665059E-2</v>
      </c>
    </row>
    <row r="58" spans="1:15" ht="14" x14ac:dyDescent="0.2">
      <c r="A58" s="1" t="s">
        <v>57</v>
      </c>
      <c r="B58" s="35" t="s">
        <v>258</v>
      </c>
      <c r="C58" s="25">
        <v>891</v>
      </c>
      <c r="D58" s="21">
        <v>230385.000225</v>
      </c>
      <c r="E58" s="20">
        <f t="shared" si="5"/>
        <v>127788.99988600001</v>
      </c>
      <c r="F58" s="24">
        <f t="shared" si="6"/>
        <v>0.5546758676181085</v>
      </c>
      <c r="G58" s="12">
        <v>404</v>
      </c>
      <c r="H58" s="12">
        <v>102506.99996299999</v>
      </c>
      <c r="I58" s="13">
        <f t="shared" si="7"/>
        <v>0.44493782087761352</v>
      </c>
      <c r="J58" s="4">
        <v>74</v>
      </c>
      <c r="K58" s="4">
        <v>20903.999991000001</v>
      </c>
      <c r="L58" s="17">
        <f t="shared" si="8"/>
        <v>9.0735073770360955E-2</v>
      </c>
      <c r="M58" s="9">
        <v>17</v>
      </c>
      <c r="N58" s="9">
        <v>4377.9999319999997</v>
      </c>
      <c r="O58" s="18">
        <f t="shared" si="9"/>
        <v>1.9002972970134039E-2</v>
      </c>
    </row>
    <row r="59" spans="1:15" ht="14" x14ac:dyDescent="0.2">
      <c r="A59" s="1" t="s">
        <v>58</v>
      </c>
      <c r="B59" s="35" t="s">
        <v>344</v>
      </c>
      <c r="C59" s="25">
        <v>790</v>
      </c>
      <c r="D59" s="21">
        <v>167010.00002000001</v>
      </c>
      <c r="E59" s="20">
        <f t="shared" si="5"/>
        <v>91972.000041999985</v>
      </c>
      <c r="F59" s="24">
        <f t="shared" si="6"/>
        <v>0.55069756320571239</v>
      </c>
      <c r="G59" s="12">
        <v>362</v>
      </c>
      <c r="H59" s="12">
        <v>73422.000008999996</v>
      </c>
      <c r="I59" s="13">
        <f t="shared" si="7"/>
        <v>0.43962636967970459</v>
      </c>
      <c r="J59" s="4">
        <v>79</v>
      </c>
      <c r="K59" s="4">
        <v>17064.000005000002</v>
      </c>
      <c r="L59" s="17">
        <f t="shared" si="8"/>
        <v>0.10217352256126298</v>
      </c>
      <c r="M59" s="9">
        <v>6</v>
      </c>
      <c r="N59" s="9">
        <v>1486.0000279999999</v>
      </c>
      <c r="O59" s="18">
        <f t="shared" si="9"/>
        <v>8.8976709647449036E-3</v>
      </c>
    </row>
    <row r="60" spans="1:15" ht="14" x14ac:dyDescent="0.2">
      <c r="A60" s="1" t="s">
        <v>59</v>
      </c>
      <c r="B60" s="35" t="s">
        <v>337</v>
      </c>
      <c r="C60" s="25">
        <v>616</v>
      </c>
      <c r="D60" s="21">
        <v>154407.00055</v>
      </c>
      <c r="E60" s="20">
        <f t="shared" si="5"/>
        <v>77429.000224000003</v>
      </c>
      <c r="F60" s="24">
        <f t="shared" si="6"/>
        <v>0.50146042568145721</v>
      </c>
      <c r="G60" s="12">
        <v>261</v>
      </c>
      <c r="H60" s="12">
        <v>67197.000157999995</v>
      </c>
      <c r="I60" s="13">
        <f t="shared" si="7"/>
        <v>0.43519399974511064</v>
      </c>
      <c r="J60" s="4">
        <v>33</v>
      </c>
      <c r="K60" s="4">
        <v>8714.0000729999992</v>
      </c>
      <c r="L60" s="17">
        <f t="shared" si="8"/>
        <v>5.6435265512318762E-2</v>
      </c>
      <c r="M60" s="9">
        <v>7</v>
      </c>
      <c r="N60" s="9">
        <v>1517.9999929999999</v>
      </c>
      <c r="O60" s="18">
        <f t="shared" si="9"/>
        <v>9.8311604240278079E-3</v>
      </c>
    </row>
    <row r="61" spans="1:15" ht="14" x14ac:dyDescent="0.2">
      <c r="A61" s="1" t="s">
        <v>60</v>
      </c>
      <c r="B61" s="35" t="s">
        <v>239</v>
      </c>
      <c r="C61" s="25">
        <v>1045</v>
      </c>
      <c r="D61" s="21">
        <v>314796.00047700002</v>
      </c>
      <c r="E61" s="20">
        <f t="shared" si="5"/>
        <v>166321.000168</v>
      </c>
      <c r="F61" s="24">
        <f t="shared" si="6"/>
        <v>0.52834534084289275</v>
      </c>
      <c r="G61" s="12">
        <v>461</v>
      </c>
      <c r="H61" s="12">
        <v>143632.00015199999</v>
      </c>
      <c r="I61" s="13">
        <f t="shared" si="7"/>
        <v>0.45627009216876691</v>
      </c>
      <c r="J61" s="4">
        <v>66</v>
      </c>
      <c r="K61" s="4">
        <v>19722.000006999999</v>
      </c>
      <c r="L61" s="17">
        <f t="shared" si="8"/>
        <v>6.2650097133114466E-2</v>
      </c>
      <c r="M61" s="9">
        <v>8</v>
      </c>
      <c r="N61" s="9">
        <v>2967.0000089999999</v>
      </c>
      <c r="O61" s="18">
        <f t="shared" si="9"/>
        <v>9.4251515410113292E-3</v>
      </c>
    </row>
    <row r="62" spans="1:15" ht="14" x14ac:dyDescent="0.2">
      <c r="A62" s="1" t="s">
        <v>61</v>
      </c>
      <c r="B62" s="35" t="s">
        <v>281</v>
      </c>
      <c r="C62" s="25">
        <v>421</v>
      </c>
      <c r="D62" s="21">
        <v>112229.00044600001</v>
      </c>
      <c r="E62" s="20">
        <f t="shared" si="5"/>
        <v>62344.000470000006</v>
      </c>
      <c r="F62" s="24">
        <f t="shared" si="6"/>
        <v>0.55550704561426956</v>
      </c>
      <c r="G62" s="12">
        <v>179</v>
      </c>
      <c r="H62" s="12">
        <v>48544.000332000003</v>
      </c>
      <c r="I62" s="13">
        <f t="shared" si="7"/>
        <v>0.43254417431399461</v>
      </c>
      <c r="J62" s="4">
        <v>39</v>
      </c>
      <c r="K62" s="4">
        <v>12989.000139</v>
      </c>
      <c r="L62" s="17">
        <f t="shared" si="8"/>
        <v>0.11573657510430893</v>
      </c>
      <c r="M62" s="9">
        <v>4</v>
      </c>
      <c r="N62" s="9">
        <v>810.999999</v>
      </c>
      <c r="O62" s="18">
        <f t="shared" si="9"/>
        <v>7.2262961959660326E-3</v>
      </c>
    </row>
    <row r="63" spans="1:15" ht="14" x14ac:dyDescent="0.2">
      <c r="A63" s="1" t="s">
        <v>62</v>
      </c>
      <c r="B63" s="35" t="s">
        <v>280</v>
      </c>
      <c r="C63" s="25">
        <v>388</v>
      </c>
      <c r="D63" s="21">
        <v>85893.000243000002</v>
      </c>
      <c r="E63" s="20">
        <f t="shared" si="5"/>
        <v>47768.000114000002</v>
      </c>
      <c r="F63" s="24">
        <f t="shared" si="6"/>
        <v>0.55613379412594144</v>
      </c>
      <c r="G63" s="12">
        <v>172</v>
      </c>
      <c r="H63" s="12">
        <v>40222.000106</v>
      </c>
      <c r="I63" s="13">
        <f t="shared" si="7"/>
        <v>0.4682803021457847</v>
      </c>
      <c r="J63" s="4">
        <v>40</v>
      </c>
      <c r="K63" s="4">
        <v>7322.0000019999998</v>
      </c>
      <c r="L63" s="17">
        <f t="shared" si="8"/>
        <v>8.5245596047236902E-2</v>
      </c>
      <c r="M63" s="9">
        <v>2</v>
      </c>
      <c r="N63" s="9">
        <v>224.00000600000001</v>
      </c>
      <c r="O63" s="18">
        <f t="shared" si="9"/>
        <v>2.6078959329198107E-3</v>
      </c>
    </row>
    <row r="64" spans="1:15" ht="14" x14ac:dyDescent="0.2">
      <c r="A64" s="1" t="s">
        <v>63</v>
      </c>
      <c r="B64" s="35" t="s">
        <v>287</v>
      </c>
      <c r="C64" s="25">
        <v>839</v>
      </c>
      <c r="D64" s="21">
        <v>216193.000658</v>
      </c>
      <c r="E64" s="20">
        <f t="shared" si="5"/>
        <v>129356.000634</v>
      </c>
      <c r="F64" s="24">
        <f t="shared" si="6"/>
        <v>0.59833574741224305</v>
      </c>
      <c r="G64" s="12">
        <v>374</v>
      </c>
      <c r="H64" s="12">
        <v>101227.00034899999</v>
      </c>
      <c r="I64" s="13">
        <f t="shared" si="7"/>
        <v>0.4682251508647729</v>
      </c>
      <c r="J64" s="4">
        <v>84</v>
      </c>
      <c r="K64" s="4">
        <v>22950.000167999999</v>
      </c>
      <c r="L64" s="17">
        <f t="shared" si="8"/>
        <v>0.10615514886305251</v>
      </c>
      <c r="M64" s="9">
        <v>23</v>
      </c>
      <c r="N64" s="9">
        <v>5179.0001169999996</v>
      </c>
      <c r="O64" s="18">
        <f t="shared" si="9"/>
        <v>2.3955447684417697E-2</v>
      </c>
    </row>
    <row r="65" spans="1:15" ht="14" x14ac:dyDescent="0.2">
      <c r="A65" s="1" t="s">
        <v>64</v>
      </c>
      <c r="B65" s="35" t="s">
        <v>324</v>
      </c>
      <c r="C65" s="25">
        <v>763</v>
      </c>
      <c r="D65" s="21">
        <v>198217.000424</v>
      </c>
      <c r="E65" s="20">
        <f t="shared" si="5"/>
        <v>100075.000208</v>
      </c>
      <c r="F65" s="24">
        <f t="shared" si="6"/>
        <v>0.50487596923539646</v>
      </c>
      <c r="G65" s="12">
        <v>295</v>
      </c>
      <c r="H65" s="12">
        <v>78519.000159000003</v>
      </c>
      <c r="I65" s="13">
        <f t="shared" si="7"/>
        <v>0.3961264674121916</v>
      </c>
      <c r="J65" s="4">
        <v>66</v>
      </c>
      <c r="K65" s="4">
        <v>17935.000060999999</v>
      </c>
      <c r="L65" s="17">
        <f t="shared" si="8"/>
        <v>9.0481643969164013E-2</v>
      </c>
      <c r="M65" s="9">
        <v>11</v>
      </c>
      <c r="N65" s="9">
        <v>3620.999988</v>
      </c>
      <c r="O65" s="18">
        <f t="shared" si="9"/>
        <v>1.8267857854040916E-2</v>
      </c>
    </row>
    <row r="66" spans="1:15" ht="14" x14ac:dyDescent="0.2">
      <c r="A66" s="1" t="s">
        <v>65</v>
      </c>
      <c r="B66" s="35" t="s">
        <v>224</v>
      </c>
      <c r="C66" s="25">
        <v>968</v>
      </c>
      <c r="D66" s="21">
        <v>205178.000894</v>
      </c>
      <c r="E66" s="20">
        <f t="shared" ref="E66:E97" si="10">H66+K66+N66</f>
        <v>120781.000327</v>
      </c>
      <c r="F66" s="24">
        <f t="shared" ref="F66:F97" si="11">E66/D66</f>
        <v>0.58866447572709535</v>
      </c>
      <c r="G66" s="12">
        <v>467</v>
      </c>
      <c r="H66" s="12">
        <v>105363.000338</v>
      </c>
      <c r="I66" s="13">
        <f t="shared" ref="I66:I97" si="12">H66/D66</f>
        <v>0.51351996743760608</v>
      </c>
      <c r="J66" s="4">
        <v>72</v>
      </c>
      <c r="K66" s="4">
        <v>13273.000034000001</v>
      </c>
      <c r="L66" s="17">
        <f t="shared" ref="L66:L97" si="13">K66/D66</f>
        <v>6.4690171344720132E-2</v>
      </c>
      <c r="M66" s="9">
        <v>11</v>
      </c>
      <c r="N66" s="9">
        <v>2144.9999550000002</v>
      </c>
      <c r="O66" s="18">
        <f t="shared" ref="O66:O97" si="14">N66/D66</f>
        <v>1.0454336944769044E-2</v>
      </c>
    </row>
    <row r="67" spans="1:15" ht="14" x14ac:dyDescent="0.2">
      <c r="A67" s="1" t="s">
        <v>66</v>
      </c>
      <c r="B67" s="35" t="s">
        <v>306</v>
      </c>
      <c r="C67" s="25">
        <v>548</v>
      </c>
      <c r="D67" s="21">
        <v>134837.00039199999</v>
      </c>
      <c r="E67" s="20">
        <f t="shared" si="10"/>
        <v>80401.000251000005</v>
      </c>
      <c r="F67" s="24">
        <f t="shared" si="11"/>
        <v>0.5962829195047139</v>
      </c>
      <c r="G67" s="12">
        <v>270</v>
      </c>
      <c r="H67" s="12">
        <v>67762.000279999993</v>
      </c>
      <c r="I67" s="13">
        <f t="shared" si="12"/>
        <v>0.50254752095494093</v>
      </c>
      <c r="J67" s="4">
        <v>41</v>
      </c>
      <c r="K67" s="4">
        <v>11196.999995</v>
      </c>
      <c r="L67" s="17">
        <f t="shared" si="13"/>
        <v>8.3041004786875469E-2</v>
      </c>
      <c r="M67" s="9">
        <v>7</v>
      </c>
      <c r="N67" s="9">
        <v>1441.9999760000001</v>
      </c>
      <c r="O67" s="18">
        <f t="shared" si="14"/>
        <v>1.0694393762897408E-2</v>
      </c>
    </row>
    <row r="68" spans="1:15" ht="14" x14ac:dyDescent="0.2">
      <c r="A68" s="1" t="s">
        <v>67</v>
      </c>
      <c r="B68" s="35" t="s">
        <v>286</v>
      </c>
      <c r="C68" s="25">
        <v>496</v>
      </c>
      <c r="D68" s="21">
        <v>131458.000523</v>
      </c>
      <c r="E68" s="20">
        <f t="shared" si="10"/>
        <v>73617.000299000007</v>
      </c>
      <c r="F68" s="24">
        <f t="shared" si="11"/>
        <v>0.56000395568255978</v>
      </c>
      <c r="G68" s="12">
        <v>209</v>
      </c>
      <c r="H68" s="12">
        <v>57805.000311000003</v>
      </c>
      <c r="I68" s="13">
        <f t="shared" si="12"/>
        <v>0.439722193255833</v>
      </c>
      <c r="J68" s="4">
        <v>44</v>
      </c>
      <c r="K68" s="4">
        <v>14223.999968</v>
      </c>
      <c r="L68" s="17">
        <f t="shared" si="13"/>
        <v>0.1082018584750295</v>
      </c>
      <c r="M68" s="9">
        <v>7</v>
      </c>
      <c r="N68" s="9">
        <v>1588.0000199999999</v>
      </c>
      <c r="O68" s="18">
        <f t="shared" si="14"/>
        <v>1.2079903951697198E-2</v>
      </c>
    </row>
    <row r="69" spans="1:15" ht="14" x14ac:dyDescent="0.2">
      <c r="A69" s="1" t="s">
        <v>68</v>
      </c>
      <c r="B69" s="35" t="s">
        <v>343</v>
      </c>
      <c r="C69" s="25">
        <v>647</v>
      </c>
      <c r="D69" s="21">
        <v>150349.00089900001</v>
      </c>
      <c r="E69" s="20">
        <f t="shared" si="10"/>
        <v>69971.000406000006</v>
      </c>
      <c r="F69" s="24">
        <f t="shared" si="11"/>
        <v>0.46539052463012009</v>
      </c>
      <c r="G69" s="12">
        <v>263</v>
      </c>
      <c r="H69" s="12">
        <v>60799.000386</v>
      </c>
      <c r="I69" s="13">
        <f t="shared" si="12"/>
        <v>0.40438579586466933</v>
      </c>
      <c r="J69" s="4">
        <v>36</v>
      </c>
      <c r="K69" s="4">
        <v>7777.0000600000003</v>
      </c>
      <c r="L69" s="17">
        <f t="shared" si="13"/>
        <v>5.1726316859427343E-2</v>
      </c>
      <c r="M69" s="9">
        <v>9</v>
      </c>
      <c r="N69" s="9">
        <v>1394.9999600000001</v>
      </c>
      <c r="O69" s="18">
        <f t="shared" si="14"/>
        <v>9.2784119060233712E-3</v>
      </c>
    </row>
    <row r="70" spans="1:15" ht="14" x14ac:dyDescent="0.2">
      <c r="A70" s="1" t="s">
        <v>69</v>
      </c>
      <c r="B70" s="35" t="s">
        <v>238</v>
      </c>
      <c r="C70" s="25">
        <v>783</v>
      </c>
      <c r="D70" s="21">
        <v>190916.00014600001</v>
      </c>
      <c r="E70" s="20">
        <f t="shared" si="10"/>
        <v>116224.000069</v>
      </c>
      <c r="F70" s="24">
        <f t="shared" si="11"/>
        <v>0.60877034915941841</v>
      </c>
      <c r="G70" s="12">
        <v>387</v>
      </c>
      <c r="H70" s="12">
        <v>100319.999973</v>
      </c>
      <c r="I70" s="13">
        <f t="shared" si="12"/>
        <v>0.5254666968524474</v>
      </c>
      <c r="J70" s="4">
        <v>50</v>
      </c>
      <c r="K70" s="4">
        <v>14150.000077999999</v>
      </c>
      <c r="L70" s="17">
        <f t="shared" si="13"/>
        <v>7.411636566437077E-2</v>
      </c>
      <c r="M70" s="9">
        <v>7</v>
      </c>
      <c r="N70" s="9">
        <v>1754.000018</v>
      </c>
      <c r="O70" s="18">
        <f t="shared" si="14"/>
        <v>9.1872866426001808E-3</v>
      </c>
    </row>
    <row r="71" spans="1:15" ht="14" x14ac:dyDescent="0.2">
      <c r="A71" s="1" t="s">
        <v>70</v>
      </c>
      <c r="B71" s="35" t="s">
        <v>251</v>
      </c>
      <c r="C71" s="25">
        <v>636</v>
      </c>
      <c r="D71" s="21">
        <v>144066.000505</v>
      </c>
      <c r="E71" s="20">
        <f t="shared" si="10"/>
        <v>67888.000279</v>
      </c>
      <c r="F71" s="24">
        <f t="shared" si="11"/>
        <v>0.47122846501623994</v>
      </c>
      <c r="G71" s="12">
        <v>238</v>
      </c>
      <c r="H71" s="12">
        <v>53427.000206999997</v>
      </c>
      <c r="I71" s="13">
        <f t="shared" si="12"/>
        <v>0.37085086015937357</v>
      </c>
      <c r="J71" s="4">
        <v>61</v>
      </c>
      <c r="K71" s="4">
        <v>14113.000054</v>
      </c>
      <c r="L71" s="17">
        <f t="shared" si="13"/>
        <v>9.7962045205177956E-2</v>
      </c>
      <c r="M71" s="9">
        <v>2</v>
      </c>
      <c r="N71" s="9">
        <v>348.00001800000001</v>
      </c>
      <c r="O71" s="18">
        <f t="shared" si="14"/>
        <v>2.4155596516884092E-3</v>
      </c>
    </row>
    <row r="72" spans="1:15" ht="14" x14ac:dyDescent="0.2">
      <c r="A72" s="1" t="s">
        <v>71</v>
      </c>
      <c r="B72" s="35" t="s">
        <v>213</v>
      </c>
      <c r="C72" s="25">
        <v>729</v>
      </c>
      <c r="D72" s="21">
        <v>158133.00050299999</v>
      </c>
      <c r="E72" s="20">
        <f t="shared" si="10"/>
        <v>81921.000266000003</v>
      </c>
      <c r="F72" s="24">
        <f t="shared" si="11"/>
        <v>0.51805126068195906</v>
      </c>
      <c r="G72" s="12">
        <v>322</v>
      </c>
      <c r="H72" s="12">
        <v>67958.000125999999</v>
      </c>
      <c r="I72" s="13">
        <f t="shared" si="12"/>
        <v>0.42975217007098243</v>
      </c>
      <c r="J72" s="4">
        <v>51</v>
      </c>
      <c r="K72" s="4">
        <v>13097.000126000001</v>
      </c>
      <c r="L72" s="17">
        <f t="shared" si="13"/>
        <v>8.2822687764983846E-2</v>
      </c>
      <c r="M72" s="9">
        <v>9</v>
      </c>
      <c r="N72" s="9">
        <v>866.00001399999996</v>
      </c>
      <c r="O72" s="18">
        <f t="shared" si="14"/>
        <v>5.4764028459927368E-3</v>
      </c>
    </row>
    <row r="73" spans="1:15" ht="14" x14ac:dyDescent="0.2">
      <c r="A73" s="1" t="s">
        <v>72</v>
      </c>
      <c r="B73" s="35" t="s">
        <v>279</v>
      </c>
      <c r="C73" s="25">
        <v>716</v>
      </c>
      <c r="D73" s="21">
        <v>203705.00086900001</v>
      </c>
      <c r="E73" s="20">
        <f t="shared" si="10"/>
        <v>98075.000613000011</v>
      </c>
      <c r="F73" s="24">
        <f t="shared" si="11"/>
        <v>0.48145602805338461</v>
      </c>
      <c r="G73" s="12">
        <v>303</v>
      </c>
      <c r="H73" s="12">
        <v>82715.000492000006</v>
      </c>
      <c r="I73" s="13">
        <f t="shared" si="12"/>
        <v>0.40605287125568867</v>
      </c>
      <c r="J73" s="4">
        <v>43</v>
      </c>
      <c r="K73" s="4">
        <v>12427.000102</v>
      </c>
      <c r="L73" s="17">
        <f t="shared" si="13"/>
        <v>6.1004884754850171E-2</v>
      </c>
      <c r="M73" s="9">
        <v>11</v>
      </c>
      <c r="N73" s="9">
        <v>2933.0000190000001</v>
      </c>
      <c r="O73" s="18">
        <f t="shared" si="14"/>
        <v>1.439827204284579E-2</v>
      </c>
    </row>
    <row r="74" spans="1:15" ht="14" x14ac:dyDescent="0.2">
      <c r="A74" s="1" t="s">
        <v>73</v>
      </c>
      <c r="B74" s="35" t="s">
        <v>333</v>
      </c>
      <c r="C74" s="25">
        <v>530</v>
      </c>
      <c r="D74" s="21">
        <v>141289.00015000001</v>
      </c>
      <c r="E74" s="20">
        <f t="shared" si="10"/>
        <v>80711.000060999999</v>
      </c>
      <c r="F74" s="24">
        <f t="shared" si="11"/>
        <v>0.57124758456293734</v>
      </c>
      <c r="G74" s="12">
        <v>247</v>
      </c>
      <c r="H74" s="12">
        <v>64346.000049000002</v>
      </c>
      <c r="I74" s="13">
        <f t="shared" si="12"/>
        <v>0.4554211579152434</v>
      </c>
      <c r="J74" s="4">
        <v>48</v>
      </c>
      <c r="K74" s="4">
        <v>14466.000001</v>
      </c>
      <c r="L74" s="17">
        <f t="shared" si="13"/>
        <v>0.1023858898119607</v>
      </c>
      <c r="M74" s="9">
        <v>7</v>
      </c>
      <c r="N74" s="9">
        <v>1899.0000110000001</v>
      </c>
      <c r="O74" s="18">
        <f t="shared" si="14"/>
        <v>1.3440536835733281E-2</v>
      </c>
    </row>
    <row r="75" spans="1:15" ht="14" x14ac:dyDescent="0.2">
      <c r="A75" s="1" t="s">
        <v>74</v>
      </c>
      <c r="B75" s="35" t="s">
        <v>250</v>
      </c>
      <c r="C75" s="25">
        <v>852</v>
      </c>
      <c r="D75" s="21">
        <v>198543.000829</v>
      </c>
      <c r="E75" s="20">
        <f t="shared" si="10"/>
        <v>127044.000379</v>
      </c>
      <c r="F75" s="24">
        <f t="shared" si="11"/>
        <v>0.63988153623415689</v>
      </c>
      <c r="G75" s="12">
        <v>431</v>
      </c>
      <c r="H75" s="12">
        <v>99676.000216999993</v>
      </c>
      <c r="I75" s="13">
        <f t="shared" si="12"/>
        <v>0.50203734103348407</v>
      </c>
      <c r="J75" s="4">
        <v>81</v>
      </c>
      <c r="K75" s="4">
        <v>22759.000100000001</v>
      </c>
      <c r="L75" s="17">
        <f t="shared" si="13"/>
        <v>0.11463008015881529</v>
      </c>
      <c r="M75" s="9">
        <v>18</v>
      </c>
      <c r="N75" s="9">
        <v>4609.0000620000001</v>
      </c>
      <c r="O75" s="18">
        <f t="shared" si="14"/>
        <v>2.3214115041857424E-2</v>
      </c>
    </row>
    <row r="76" spans="1:15" ht="14" x14ac:dyDescent="0.2">
      <c r="A76" s="1" t="s">
        <v>75</v>
      </c>
      <c r="B76" s="35" t="s">
        <v>353</v>
      </c>
      <c r="C76" s="25">
        <v>366</v>
      </c>
      <c r="D76" s="21">
        <v>107161.00023799999</v>
      </c>
      <c r="E76" s="20">
        <f t="shared" si="10"/>
        <v>50051.000072000003</v>
      </c>
      <c r="F76" s="24">
        <f t="shared" si="11"/>
        <v>0.46706357686881306</v>
      </c>
      <c r="G76" s="12">
        <v>161</v>
      </c>
      <c r="H76" s="12">
        <v>45121.000039999999</v>
      </c>
      <c r="I76" s="13">
        <f t="shared" si="12"/>
        <v>0.42105803361099831</v>
      </c>
      <c r="J76" s="4">
        <v>14</v>
      </c>
      <c r="K76" s="4">
        <v>4031.0000220000002</v>
      </c>
      <c r="L76" s="17">
        <f t="shared" si="13"/>
        <v>3.7616297095466836E-2</v>
      </c>
      <c r="M76" s="9">
        <v>3</v>
      </c>
      <c r="N76" s="9">
        <v>899.00000999999997</v>
      </c>
      <c r="O76" s="18">
        <f t="shared" si="14"/>
        <v>8.3892461623478638E-3</v>
      </c>
    </row>
    <row r="77" spans="1:15" ht="14" x14ac:dyDescent="0.2">
      <c r="A77" s="1" t="s">
        <v>76</v>
      </c>
      <c r="B77" s="35" t="s">
        <v>215</v>
      </c>
      <c r="C77" s="25">
        <v>1191</v>
      </c>
      <c r="D77" s="21">
        <v>283924.00043100002</v>
      </c>
      <c r="E77" s="20">
        <f t="shared" si="10"/>
        <v>117595.000132</v>
      </c>
      <c r="F77" s="24">
        <f t="shared" si="11"/>
        <v>0.41417773754064252</v>
      </c>
      <c r="G77" s="12">
        <v>467</v>
      </c>
      <c r="H77" s="12">
        <v>100671.000228</v>
      </c>
      <c r="I77" s="13">
        <f t="shared" si="12"/>
        <v>0.35457023737049431</v>
      </c>
      <c r="J77" s="4">
        <v>69</v>
      </c>
      <c r="K77" s="4">
        <v>15418.999871</v>
      </c>
      <c r="L77" s="17">
        <f t="shared" si="13"/>
        <v>5.4306785786315259E-2</v>
      </c>
      <c r="M77" s="9">
        <v>12</v>
      </c>
      <c r="N77" s="9">
        <v>1505.000033</v>
      </c>
      <c r="O77" s="18">
        <f t="shared" si="14"/>
        <v>5.3007143838329695E-3</v>
      </c>
    </row>
    <row r="78" spans="1:15" ht="14" x14ac:dyDescent="0.2">
      <c r="A78" s="1" t="s">
        <v>77</v>
      </c>
      <c r="B78" s="35" t="s">
        <v>300</v>
      </c>
      <c r="C78" s="25">
        <v>1036</v>
      </c>
      <c r="D78" s="21">
        <v>274779.00135099998</v>
      </c>
      <c r="E78" s="20">
        <f t="shared" si="10"/>
        <v>254656.00111299998</v>
      </c>
      <c r="F78" s="24">
        <f t="shared" si="11"/>
        <v>0.92676660101732056</v>
      </c>
      <c r="G78" s="12">
        <v>861</v>
      </c>
      <c r="H78" s="12">
        <v>226945.00099299999</v>
      </c>
      <c r="I78" s="13">
        <f t="shared" si="12"/>
        <v>0.82591828297353298</v>
      </c>
      <c r="J78" s="4">
        <v>86</v>
      </c>
      <c r="K78" s="4">
        <v>23627.000158999999</v>
      </c>
      <c r="L78" s="17">
        <f t="shared" si="13"/>
        <v>8.5985464838410644E-2</v>
      </c>
      <c r="M78" s="9">
        <v>22</v>
      </c>
      <c r="N78" s="9">
        <v>4083.999961</v>
      </c>
      <c r="O78" s="18">
        <f t="shared" si="14"/>
        <v>1.4862853205376995E-2</v>
      </c>
    </row>
    <row r="79" spans="1:15" ht="14" x14ac:dyDescent="0.2">
      <c r="A79" s="1" t="s">
        <v>78</v>
      </c>
      <c r="B79" s="35" t="s">
        <v>317</v>
      </c>
      <c r="C79" s="25">
        <v>749</v>
      </c>
      <c r="D79" s="21">
        <v>194303.00064099999</v>
      </c>
      <c r="E79" s="20">
        <f t="shared" si="10"/>
        <v>110833.000207</v>
      </c>
      <c r="F79" s="24">
        <f t="shared" si="11"/>
        <v>0.57041321977203197</v>
      </c>
      <c r="G79" s="12">
        <v>335</v>
      </c>
      <c r="H79" s="12">
        <v>91479.000142000004</v>
      </c>
      <c r="I79" s="13">
        <f t="shared" si="12"/>
        <v>0.47080590541686657</v>
      </c>
      <c r="J79" s="4">
        <v>59</v>
      </c>
      <c r="K79" s="4">
        <v>15968.000058</v>
      </c>
      <c r="L79" s="17">
        <f t="shared" si="13"/>
        <v>8.2180923636392789E-2</v>
      </c>
      <c r="M79" s="9">
        <v>15</v>
      </c>
      <c r="N79" s="9">
        <v>3386.0000070000001</v>
      </c>
      <c r="O79" s="18">
        <f t="shared" si="14"/>
        <v>1.7426390718772659E-2</v>
      </c>
    </row>
    <row r="80" spans="1:15" ht="14" x14ac:dyDescent="0.2">
      <c r="A80" s="1" t="s">
        <v>79</v>
      </c>
      <c r="B80" s="35" t="s">
        <v>272</v>
      </c>
      <c r="C80" s="25">
        <v>1069</v>
      </c>
      <c r="D80" s="21">
        <v>218413.000696</v>
      </c>
      <c r="E80" s="20">
        <f t="shared" si="10"/>
        <v>100918.00019100001</v>
      </c>
      <c r="F80" s="24">
        <f t="shared" si="11"/>
        <v>0.46205125093017513</v>
      </c>
      <c r="G80" s="12">
        <v>372</v>
      </c>
      <c r="H80" s="12">
        <v>76405.000385000007</v>
      </c>
      <c r="I80" s="13">
        <f t="shared" si="12"/>
        <v>0.34981892168289452</v>
      </c>
      <c r="J80" s="4">
        <v>108</v>
      </c>
      <c r="K80" s="4">
        <v>23504.999838</v>
      </c>
      <c r="L80" s="17">
        <f t="shared" si="13"/>
        <v>0.10761721950203704</v>
      </c>
      <c r="M80" s="9">
        <v>9</v>
      </c>
      <c r="N80" s="9">
        <v>1007.999968</v>
      </c>
      <c r="O80" s="18">
        <f t="shared" si="14"/>
        <v>4.6151097452435683E-3</v>
      </c>
    </row>
    <row r="81" spans="1:15" ht="14" x14ac:dyDescent="0.2">
      <c r="A81" s="1" t="s">
        <v>80</v>
      </c>
      <c r="B81" s="35" t="s">
        <v>285</v>
      </c>
      <c r="C81" s="25">
        <v>722</v>
      </c>
      <c r="D81" s="21">
        <v>169614.000333</v>
      </c>
      <c r="E81" s="20">
        <f t="shared" si="10"/>
        <v>91912.00016499999</v>
      </c>
      <c r="F81" s="24">
        <f t="shared" si="11"/>
        <v>0.54188923075070972</v>
      </c>
      <c r="G81" s="12">
        <v>300</v>
      </c>
      <c r="H81" s="12">
        <v>70041.000065999993</v>
      </c>
      <c r="I81" s="13">
        <f t="shared" si="12"/>
        <v>0.4129435066002205</v>
      </c>
      <c r="J81" s="4">
        <v>74</v>
      </c>
      <c r="K81" s="4">
        <v>18833.000083999999</v>
      </c>
      <c r="L81" s="17">
        <f t="shared" si="13"/>
        <v>0.11103446677176131</v>
      </c>
      <c r="M81" s="9">
        <v>10</v>
      </c>
      <c r="N81" s="9">
        <v>3038.0000150000001</v>
      </c>
      <c r="O81" s="18">
        <f t="shared" si="14"/>
        <v>1.7911257378727882E-2</v>
      </c>
    </row>
    <row r="82" spans="1:15" ht="14" x14ac:dyDescent="0.2">
      <c r="A82" s="1" t="s">
        <v>81</v>
      </c>
      <c r="B82" s="35" t="s">
        <v>319</v>
      </c>
      <c r="C82" s="25">
        <v>604</v>
      </c>
      <c r="D82" s="21">
        <v>146082.000749</v>
      </c>
      <c r="E82" s="20">
        <f t="shared" si="10"/>
        <v>71463.000448000006</v>
      </c>
      <c r="F82" s="24">
        <f t="shared" si="11"/>
        <v>0.48919784834264879</v>
      </c>
      <c r="G82" s="12">
        <v>249</v>
      </c>
      <c r="H82" s="12">
        <v>56842.000417000003</v>
      </c>
      <c r="I82" s="13">
        <f t="shared" si="12"/>
        <v>0.38911022662310513</v>
      </c>
      <c r="J82" s="4">
        <v>41</v>
      </c>
      <c r="K82" s="4">
        <v>11809.000033</v>
      </c>
      <c r="L82" s="17">
        <f t="shared" si="13"/>
        <v>8.0838159201354162E-2</v>
      </c>
      <c r="M82" s="9">
        <v>10</v>
      </c>
      <c r="N82" s="9">
        <v>2811.9999979999998</v>
      </c>
      <c r="O82" s="18">
        <f t="shared" si="14"/>
        <v>1.9249462518189459E-2</v>
      </c>
    </row>
    <row r="83" spans="1:15" ht="14" x14ac:dyDescent="0.2">
      <c r="A83" s="1" t="s">
        <v>82</v>
      </c>
      <c r="B83" s="35" t="s">
        <v>249</v>
      </c>
      <c r="C83" s="25">
        <v>770</v>
      </c>
      <c r="D83" s="21">
        <v>170598.00068</v>
      </c>
      <c r="E83" s="20">
        <f t="shared" si="10"/>
        <v>96022.000503000003</v>
      </c>
      <c r="F83" s="24">
        <f t="shared" si="11"/>
        <v>0.56285536829422589</v>
      </c>
      <c r="G83" s="12">
        <v>340</v>
      </c>
      <c r="H83" s="12">
        <v>77453.000503000003</v>
      </c>
      <c r="I83" s="13">
        <f t="shared" si="12"/>
        <v>0.45400884063279751</v>
      </c>
      <c r="J83" s="4">
        <v>73</v>
      </c>
      <c r="K83" s="4">
        <v>17364.999949000001</v>
      </c>
      <c r="L83" s="17">
        <f t="shared" si="13"/>
        <v>0.10178900033871137</v>
      </c>
      <c r="M83" s="9">
        <v>6</v>
      </c>
      <c r="N83" s="9">
        <v>1204.000051</v>
      </c>
      <c r="O83" s="18">
        <f t="shared" si="14"/>
        <v>7.0575273227170389E-3</v>
      </c>
    </row>
    <row r="84" spans="1:15" ht="14" x14ac:dyDescent="0.2">
      <c r="A84" s="1" t="s">
        <v>83</v>
      </c>
      <c r="B84" s="35" t="s">
        <v>220</v>
      </c>
      <c r="C84" s="25">
        <v>873</v>
      </c>
      <c r="D84" s="21">
        <v>200782.00020099999</v>
      </c>
      <c r="E84" s="20">
        <f t="shared" si="10"/>
        <v>120495.000268</v>
      </c>
      <c r="F84" s="24">
        <f t="shared" si="11"/>
        <v>0.60012849830848469</v>
      </c>
      <c r="G84" s="12">
        <v>409</v>
      </c>
      <c r="H84" s="12">
        <v>97812.000247000004</v>
      </c>
      <c r="I84" s="13">
        <f t="shared" si="12"/>
        <v>0.48715522382027177</v>
      </c>
      <c r="J84" s="4">
        <v>72</v>
      </c>
      <c r="K84" s="4">
        <v>19742.999979</v>
      </c>
      <c r="L84" s="17">
        <f t="shared" si="13"/>
        <v>9.8330527433911227E-2</v>
      </c>
      <c r="M84" s="9">
        <v>12</v>
      </c>
      <c r="N84" s="9">
        <v>2940.0000420000001</v>
      </c>
      <c r="O84" s="18">
        <f t="shared" si="14"/>
        <v>1.464274705430172E-2</v>
      </c>
    </row>
    <row r="85" spans="1:15" ht="14" x14ac:dyDescent="0.2">
      <c r="A85" s="1" t="s">
        <v>84</v>
      </c>
      <c r="B85" s="35" t="s">
        <v>328</v>
      </c>
      <c r="C85" s="25">
        <v>636</v>
      </c>
      <c r="D85" s="21">
        <v>159041.00062199999</v>
      </c>
      <c r="E85" s="20">
        <f t="shared" si="10"/>
        <v>80075.000096000003</v>
      </c>
      <c r="F85" s="24">
        <f t="shared" si="11"/>
        <v>0.50348652097780688</v>
      </c>
      <c r="G85" s="12">
        <v>263</v>
      </c>
      <c r="H85" s="12">
        <v>70254.000090000001</v>
      </c>
      <c r="I85" s="13">
        <f t="shared" si="12"/>
        <v>0.44173514889393767</v>
      </c>
      <c r="J85" s="4">
        <v>32</v>
      </c>
      <c r="K85" s="4">
        <v>9412.9999919999991</v>
      </c>
      <c r="L85" s="17">
        <f t="shared" si="13"/>
        <v>5.9185995782133599E-2</v>
      </c>
      <c r="M85" s="9">
        <v>3</v>
      </c>
      <c r="N85" s="9">
        <v>408.00001400000002</v>
      </c>
      <c r="O85" s="18">
        <f t="shared" si="14"/>
        <v>2.5653763017356277E-3</v>
      </c>
    </row>
    <row r="86" spans="1:15" ht="14" x14ac:dyDescent="0.2">
      <c r="A86" s="1" t="s">
        <v>85</v>
      </c>
      <c r="B86" s="35" t="s">
        <v>360</v>
      </c>
      <c r="C86" s="25">
        <v>962</v>
      </c>
      <c r="D86" s="21">
        <v>211942.00106899999</v>
      </c>
      <c r="E86" s="20">
        <f t="shared" si="10"/>
        <v>106010.00056499999</v>
      </c>
      <c r="F86" s="24">
        <f t="shared" si="11"/>
        <v>0.50018401275020186</v>
      </c>
      <c r="G86" s="12">
        <v>379</v>
      </c>
      <c r="H86" s="12">
        <v>87597.000476999994</v>
      </c>
      <c r="I86" s="13">
        <f t="shared" si="12"/>
        <v>0.4133064708041605</v>
      </c>
      <c r="J86" s="4">
        <v>73</v>
      </c>
      <c r="K86" s="4">
        <v>16221.000045000001</v>
      </c>
      <c r="L86" s="17">
        <f t="shared" si="13"/>
        <v>7.6535089615007837E-2</v>
      </c>
      <c r="M86" s="9">
        <v>10</v>
      </c>
      <c r="N86" s="9">
        <v>2192.000043</v>
      </c>
      <c r="O86" s="18">
        <f t="shared" si="14"/>
        <v>1.0342452331033578E-2</v>
      </c>
    </row>
    <row r="87" spans="1:15" ht="14" x14ac:dyDescent="0.2">
      <c r="A87" s="1" t="s">
        <v>86</v>
      </c>
      <c r="B87" s="35" t="s">
        <v>260</v>
      </c>
      <c r="C87" s="25">
        <v>719</v>
      </c>
      <c r="D87" s="21">
        <v>217733.00109500001</v>
      </c>
      <c r="E87" s="20">
        <f t="shared" si="10"/>
        <v>39801.000303000001</v>
      </c>
      <c r="F87" s="24">
        <f t="shared" si="11"/>
        <v>0.1827972797088038</v>
      </c>
      <c r="G87" s="12">
        <v>127</v>
      </c>
      <c r="H87" s="12">
        <v>33773.000178000002</v>
      </c>
      <c r="I87" s="13">
        <f t="shared" si="12"/>
        <v>0.15511199500375397</v>
      </c>
      <c r="J87" s="4">
        <v>25</v>
      </c>
      <c r="K87" s="4">
        <v>5729.0001099999999</v>
      </c>
      <c r="L87" s="17">
        <f t="shared" si="13"/>
        <v>2.6312043104115189E-2</v>
      </c>
      <c r="M87" s="9">
        <v>1</v>
      </c>
      <c r="N87" s="9">
        <v>299.00001500000002</v>
      </c>
      <c r="O87" s="18">
        <f t="shared" si="14"/>
        <v>1.3732416009346331E-3</v>
      </c>
    </row>
    <row r="88" spans="1:15" ht="14" x14ac:dyDescent="0.2">
      <c r="A88" s="1" t="s">
        <v>87</v>
      </c>
      <c r="B88" s="35" t="s">
        <v>232</v>
      </c>
      <c r="C88" s="25">
        <v>590</v>
      </c>
      <c r="D88" s="21">
        <v>132747.00053300001</v>
      </c>
      <c r="E88" s="20">
        <f t="shared" si="10"/>
        <v>75722.000323</v>
      </c>
      <c r="F88" s="24">
        <f t="shared" si="11"/>
        <v>0.57042343720735156</v>
      </c>
      <c r="G88" s="12">
        <v>249</v>
      </c>
      <c r="H88" s="12">
        <v>66015.000255000006</v>
      </c>
      <c r="I88" s="13">
        <f t="shared" si="12"/>
        <v>0.49729937392136497</v>
      </c>
      <c r="J88" s="4">
        <v>28</v>
      </c>
      <c r="K88" s="4">
        <v>7934.0000319999999</v>
      </c>
      <c r="L88" s="17">
        <f t="shared" si="13"/>
        <v>5.9767829029234151E-2</v>
      </c>
      <c r="M88" s="9">
        <v>8</v>
      </c>
      <c r="N88" s="9">
        <v>1773.0000359999999</v>
      </c>
      <c r="O88" s="18">
        <f t="shared" si="14"/>
        <v>1.335623425675252E-2</v>
      </c>
    </row>
    <row r="89" spans="1:15" ht="14" x14ac:dyDescent="0.2">
      <c r="A89" s="1" t="s">
        <v>88</v>
      </c>
      <c r="B89" s="35" t="s">
        <v>305</v>
      </c>
      <c r="C89" s="25">
        <v>1112</v>
      </c>
      <c r="D89" s="21">
        <v>313492.001185</v>
      </c>
      <c r="E89" s="20">
        <f t="shared" si="10"/>
        <v>271889.00093899999</v>
      </c>
      <c r="F89" s="24">
        <f t="shared" si="11"/>
        <v>0.86729166904182364</v>
      </c>
      <c r="G89" s="12">
        <v>899</v>
      </c>
      <c r="H89" s="12">
        <v>241421.000891</v>
      </c>
      <c r="I89" s="13">
        <f t="shared" si="12"/>
        <v>0.7701025862810803</v>
      </c>
      <c r="J89" s="4">
        <v>77</v>
      </c>
      <c r="K89" s="4">
        <v>26752.000002000001</v>
      </c>
      <c r="L89" s="17">
        <f t="shared" si="13"/>
        <v>8.5335510637838993E-2</v>
      </c>
      <c r="M89" s="9">
        <v>15</v>
      </c>
      <c r="N89" s="9">
        <v>3716.0000460000001</v>
      </c>
      <c r="O89" s="18">
        <f t="shared" si="14"/>
        <v>1.1853572122904308E-2</v>
      </c>
    </row>
    <row r="90" spans="1:15" ht="14" x14ac:dyDescent="0.2">
      <c r="A90" s="1" t="s">
        <v>89</v>
      </c>
      <c r="B90" s="35" t="s">
        <v>271</v>
      </c>
      <c r="C90" s="25">
        <v>874</v>
      </c>
      <c r="D90" s="21">
        <v>216649.00067400001</v>
      </c>
      <c r="E90" s="20">
        <f t="shared" si="10"/>
        <v>115502.00046</v>
      </c>
      <c r="F90" s="24">
        <f t="shared" si="11"/>
        <v>0.53312962488020077</v>
      </c>
      <c r="G90" s="12">
        <v>377</v>
      </c>
      <c r="H90" s="12">
        <v>97755.000444999998</v>
      </c>
      <c r="I90" s="13">
        <f t="shared" si="12"/>
        <v>0.45121371499929358</v>
      </c>
      <c r="J90" s="4">
        <v>57</v>
      </c>
      <c r="K90" s="4">
        <v>14533.000018999999</v>
      </c>
      <c r="L90" s="17">
        <f t="shared" si="13"/>
        <v>6.7080854164051087E-2</v>
      </c>
      <c r="M90" s="9">
        <v>13</v>
      </c>
      <c r="N90" s="9">
        <v>3213.999996</v>
      </c>
      <c r="O90" s="18">
        <f t="shared" si="14"/>
        <v>1.483505571685617E-2</v>
      </c>
    </row>
    <row r="91" spans="1:15" ht="14" x14ac:dyDescent="0.2">
      <c r="A91" s="1" t="s">
        <v>90</v>
      </c>
      <c r="B91" s="35" t="s">
        <v>247</v>
      </c>
      <c r="C91" s="25">
        <v>775</v>
      </c>
      <c r="D91" s="21">
        <v>172903.000225</v>
      </c>
      <c r="E91" s="20">
        <f t="shared" si="10"/>
        <v>91227.000112000009</v>
      </c>
      <c r="F91" s="24">
        <f t="shared" si="11"/>
        <v>0.52761953230010827</v>
      </c>
      <c r="G91" s="12">
        <v>324</v>
      </c>
      <c r="H91" s="12">
        <v>75851.000050000002</v>
      </c>
      <c r="I91" s="13">
        <f t="shared" si="12"/>
        <v>0.43869105771036082</v>
      </c>
      <c r="J91" s="4">
        <v>52</v>
      </c>
      <c r="K91" s="4">
        <v>11262.000031</v>
      </c>
      <c r="L91" s="17">
        <f t="shared" si="13"/>
        <v>6.5134786651155116E-2</v>
      </c>
      <c r="M91" s="9">
        <v>14</v>
      </c>
      <c r="N91" s="9">
        <v>4114.0000309999996</v>
      </c>
      <c r="O91" s="18">
        <f t="shared" si="14"/>
        <v>2.3793687938592274E-2</v>
      </c>
    </row>
    <row r="92" spans="1:15" ht="14" x14ac:dyDescent="0.2">
      <c r="A92" s="1" t="s">
        <v>91</v>
      </c>
      <c r="B92" s="35" t="s">
        <v>359</v>
      </c>
      <c r="C92" s="25">
        <v>657</v>
      </c>
      <c r="D92" s="21">
        <v>160698.000222</v>
      </c>
      <c r="E92" s="20">
        <f t="shared" si="10"/>
        <v>80572.000054000004</v>
      </c>
      <c r="F92" s="24">
        <f t="shared" si="11"/>
        <v>0.50138769581881504</v>
      </c>
      <c r="G92" s="12">
        <v>276</v>
      </c>
      <c r="H92" s="12">
        <v>70912.000071000002</v>
      </c>
      <c r="I92" s="13">
        <f t="shared" si="12"/>
        <v>0.44127493791482758</v>
      </c>
      <c r="J92" s="4">
        <v>36</v>
      </c>
      <c r="K92" s="4">
        <v>8889.9999640000005</v>
      </c>
      <c r="L92" s="17">
        <f t="shared" si="13"/>
        <v>5.5321161132800049E-2</v>
      </c>
      <c r="M92" s="9">
        <v>3</v>
      </c>
      <c r="N92" s="9">
        <v>770.00001899999995</v>
      </c>
      <c r="O92" s="18">
        <f t="shared" si="14"/>
        <v>4.791596771187354E-3</v>
      </c>
    </row>
    <row r="93" spans="1:15" ht="14" x14ac:dyDescent="0.2">
      <c r="A93" s="1" t="s">
        <v>92</v>
      </c>
      <c r="B93" s="35" t="s">
        <v>289</v>
      </c>
      <c r="C93" s="25">
        <v>913</v>
      </c>
      <c r="D93" s="21">
        <v>203130.000806</v>
      </c>
      <c r="E93" s="20">
        <f t="shared" si="10"/>
        <v>96254.000125000006</v>
      </c>
      <c r="F93" s="24">
        <f t="shared" si="11"/>
        <v>0.47385418078606578</v>
      </c>
      <c r="G93" s="12">
        <v>352</v>
      </c>
      <c r="H93" s="12">
        <v>82247.000182999996</v>
      </c>
      <c r="I93" s="13">
        <f t="shared" si="12"/>
        <v>0.40489834025821858</v>
      </c>
      <c r="J93" s="4">
        <v>52</v>
      </c>
      <c r="K93" s="4">
        <v>11018.999905000001</v>
      </c>
      <c r="L93" s="17">
        <f t="shared" si="13"/>
        <v>5.4246048645092727E-2</v>
      </c>
      <c r="M93" s="9">
        <v>14</v>
      </c>
      <c r="N93" s="9">
        <v>2988.0000369999998</v>
      </c>
      <c r="O93" s="18">
        <f t="shared" si="14"/>
        <v>1.4709791882754432E-2</v>
      </c>
    </row>
    <row r="94" spans="1:15" ht="14" x14ac:dyDescent="0.2">
      <c r="A94" s="1" t="s">
        <v>93</v>
      </c>
      <c r="B94" s="35" t="s">
        <v>336</v>
      </c>
      <c r="C94" s="25">
        <v>756</v>
      </c>
      <c r="D94" s="21">
        <v>168079.00107299999</v>
      </c>
      <c r="E94" s="20">
        <f t="shared" si="10"/>
        <v>88271.000652000002</v>
      </c>
      <c r="F94" s="24">
        <f t="shared" si="11"/>
        <v>0.52517566197137366</v>
      </c>
      <c r="G94" s="12">
        <v>320</v>
      </c>
      <c r="H94" s="12">
        <v>70916.000650000002</v>
      </c>
      <c r="I94" s="13">
        <f t="shared" si="12"/>
        <v>0.42192064563258441</v>
      </c>
      <c r="J94" s="4">
        <v>63</v>
      </c>
      <c r="K94" s="4">
        <v>16265.999997000001</v>
      </c>
      <c r="L94" s="17">
        <f t="shared" si="13"/>
        <v>9.6775920211087871E-2</v>
      </c>
      <c r="M94" s="9">
        <v>9</v>
      </c>
      <c r="N94" s="9">
        <v>1089.0000050000001</v>
      </c>
      <c r="O94" s="18">
        <f t="shared" si="14"/>
        <v>6.4790961277014381E-3</v>
      </c>
    </row>
    <row r="95" spans="1:15" ht="14" x14ac:dyDescent="0.2">
      <c r="A95" s="1" t="s">
        <v>94</v>
      </c>
      <c r="B95" s="35" t="s">
        <v>311</v>
      </c>
      <c r="C95" s="25">
        <v>732</v>
      </c>
      <c r="D95" s="21">
        <v>155644.00034900001</v>
      </c>
      <c r="E95" s="20">
        <f t="shared" si="10"/>
        <v>74828.000325000015</v>
      </c>
      <c r="F95" s="24">
        <f t="shared" si="11"/>
        <v>0.48076379530989594</v>
      </c>
      <c r="G95" s="12">
        <v>269</v>
      </c>
      <c r="H95" s="12">
        <v>59564.000202000003</v>
      </c>
      <c r="I95" s="13">
        <f t="shared" si="12"/>
        <v>0.38269384022795516</v>
      </c>
      <c r="J95" s="4">
        <v>62</v>
      </c>
      <c r="K95" s="4">
        <v>13021.000124</v>
      </c>
      <c r="L95" s="17">
        <f t="shared" si="13"/>
        <v>8.3658863141547732E-2</v>
      </c>
      <c r="M95" s="9">
        <v>7</v>
      </c>
      <c r="N95" s="9">
        <v>2242.9999990000001</v>
      </c>
      <c r="O95" s="18">
        <f t="shared" si="14"/>
        <v>1.4411091940393006E-2</v>
      </c>
    </row>
    <row r="96" spans="1:15" ht="14" x14ac:dyDescent="0.2">
      <c r="A96" s="1" t="s">
        <v>95</v>
      </c>
      <c r="B96" s="35" t="s">
        <v>405</v>
      </c>
      <c r="C96" s="25">
        <v>895</v>
      </c>
      <c r="D96" s="21">
        <v>204668.000653</v>
      </c>
      <c r="E96" s="20">
        <f t="shared" si="10"/>
        <v>182942.000497</v>
      </c>
      <c r="F96" s="24">
        <f t="shared" si="11"/>
        <v>0.89384759666053082</v>
      </c>
      <c r="G96" s="12">
        <v>735</v>
      </c>
      <c r="H96" s="12">
        <v>161451.00049100001</v>
      </c>
      <c r="I96" s="13">
        <f t="shared" si="12"/>
        <v>0.78884339503921119</v>
      </c>
      <c r="J96" s="4">
        <v>75</v>
      </c>
      <c r="K96" s="4">
        <v>17802.000040999999</v>
      </c>
      <c r="L96" s="17">
        <f t="shared" si="13"/>
        <v>8.6979889304640359E-2</v>
      </c>
      <c r="M96" s="9">
        <v>19</v>
      </c>
      <c r="N96" s="9">
        <v>3688.999965</v>
      </c>
      <c r="O96" s="18">
        <f t="shared" si="14"/>
        <v>1.8024312316679326E-2</v>
      </c>
    </row>
    <row r="97" spans="1:15" ht="14" x14ac:dyDescent="0.2">
      <c r="A97" s="1" t="s">
        <v>96</v>
      </c>
      <c r="B97" s="35" t="s">
        <v>266</v>
      </c>
      <c r="C97" s="25">
        <v>715</v>
      </c>
      <c r="D97" s="21">
        <v>212905.000898</v>
      </c>
      <c r="E97" s="20">
        <f t="shared" si="10"/>
        <v>102540.00055900001</v>
      </c>
      <c r="F97" s="24">
        <f t="shared" si="11"/>
        <v>0.48162325979428533</v>
      </c>
      <c r="G97" s="12">
        <v>304</v>
      </c>
      <c r="H97" s="12">
        <v>87111.000486000004</v>
      </c>
      <c r="I97" s="13">
        <f t="shared" si="12"/>
        <v>0.40915431821037285</v>
      </c>
      <c r="J97" s="4">
        <v>41</v>
      </c>
      <c r="K97" s="4">
        <v>12623.000048</v>
      </c>
      <c r="L97" s="17">
        <f t="shared" si="13"/>
        <v>5.9289354382274534E-2</v>
      </c>
      <c r="M97" s="9">
        <v>7</v>
      </c>
      <c r="N97" s="9">
        <v>2806.0000249999998</v>
      </c>
      <c r="O97" s="18">
        <f t="shared" si="14"/>
        <v>1.3179587201637963E-2</v>
      </c>
    </row>
    <row r="98" spans="1:15" ht="14" x14ac:dyDescent="0.2">
      <c r="A98" s="1" t="s">
        <v>97</v>
      </c>
      <c r="B98" s="35" t="s">
        <v>229</v>
      </c>
      <c r="C98" s="25">
        <v>510</v>
      </c>
      <c r="D98" s="21">
        <v>111292.000216</v>
      </c>
      <c r="E98" s="20">
        <f t="shared" ref="E98:E129" si="15">H98+K98+N98</f>
        <v>50440.000102000005</v>
      </c>
      <c r="F98" s="24">
        <f t="shared" ref="F98:F129" si="16">E98/D98</f>
        <v>0.45322215436962243</v>
      </c>
      <c r="G98" s="12">
        <v>192</v>
      </c>
      <c r="H98" s="12">
        <v>41985.000083999999</v>
      </c>
      <c r="I98" s="13">
        <f t="shared" ref="I98:I129" si="17">H98/D98</f>
        <v>0.37725083566216638</v>
      </c>
      <c r="J98" s="4">
        <v>25</v>
      </c>
      <c r="K98" s="4">
        <v>6631.0000069999996</v>
      </c>
      <c r="L98" s="17">
        <f t="shared" ref="L98:L129" si="18">K98/D98</f>
        <v>5.9582000450439272E-2</v>
      </c>
      <c r="M98" s="9">
        <v>9</v>
      </c>
      <c r="N98" s="9">
        <v>1824.0000110000001</v>
      </c>
      <c r="O98" s="18">
        <f t="shared" ref="O98:O129" si="19">N98/D98</f>
        <v>1.6389318257016741E-2</v>
      </c>
    </row>
    <row r="99" spans="1:15" ht="14" x14ac:dyDescent="0.2">
      <c r="A99" s="1" t="s">
        <v>98</v>
      </c>
      <c r="B99" s="35" t="s">
        <v>283</v>
      </c>
      <c r="C99" s="25">
        <v>1296</v>
      </c>
      <c r="D99" s="21">
        <v>282815.00094200001</v>
      </c>
      <c r="E99" s="20">
        <f t="shared" si="15"/>
        <v>252656.00078599999</v>
      </c>
      <c r="F99" s="24">
        <f t="shared" si="16"/>
        <v>0.89336138445433788</v>
      </c>
      <c r="G99" s="12">
        <v>1043</v>
      </c>
      <c r="H99" s="12">
        <v>225805.00063600001</v>
      </c>
      <c r="I99" s="13">
        <f t="shared" si="17"/>
        <v>0.79841946107486828</v>
      </c>
      <c r="J99" s="4">
        <v>104</v>
      </c>
      <c r="K99" s="4">
        <v>23951.000209000002</v>
      </c>
      <c r="L99" s="17">
        <f t="shared" si="18"/>
        <v>8.4687870619394395E-2</v>
      </c>
      <c r="M99" s="9">
        <v>22</v>
      </c>
      <c r="N99" s="9">
        <v>2899.999941</v>
      </c>
      <c r="O99" s="18">
        <f t="shared" si="19"/>
        <v>1.0254052760075251E-2</v>
      </c>
    </row>
    <row r="100" spans="1:15" ht="14" x14ac:dyDescent="0.2">
      <c r="A100" s="1" t="s">
        <v>99</v>
      </c>
      <c r="B100" s="35" t="s">
        <v>270</v>
      </c>
      <c r="C100" s="25">
        <v>908</v>
      </c>
      <c r="D100" s="21">
        <v>201334.000692</v>
      </c>
      <c r="E100" s="20">
        <f t="shared" si="15"/>
        <v>102366.00018999999</v>
      </c>
      <c r="F100" s="24">
        <f t="shared" si="16"/>
        <v>0.508438712975257</v>
      </c>
      <c r="G100" s="12">
        <v>366</v>
      </c>
      <c r="H100" s="12">
        <v>82099.000079999998</v>
      </c>
      <c r="I100" s="13">
        <f t="shared" si="17"/>
        <v>0.40777513881321387</v>
      </c>
      <c r="J100" s="4">
        <v>70</v>
      </c>
      <c r="K100" s="4">
        <v>19568.000106</v>
      </c>
      <c r="L100" s="17">
        <f t="shared" si="18"/>
        <v>9.7191731345641186E-2</v>
      </c>
      <c r="M100" s="9">
        <v>4</v>
      </c>
      <c r="N100" s="9">
        <v>699.00000399999999</v>
      </c>
      <c r="O100" s="18">
        <f t="shared" si="19"/>
        <v>3.4718428164020221E-3</v>
      </c>
    </row>
    <row r="101" spans="1:15" ht="14" x14ac:dyDescent="0.2">
      <c r="A101" s="1" t="s">
        <v>100</v>
      </c>
      <c r="B101" s="35" t="s">
        <v>246</v>
      </c>
      <c r="C101" s="25">
        <v>525</v>
      </c>
      <c r="D101" s="21">
        <v>142050.00076699999</v>
      </c>
      <c r="E101" s="20">
        <f t="shared" si="15"/>
        <v>79488.000563000009</v>
      </c>
      <c r="F101" s="24">
        <f t="shared" si="16"/>
        <v>0.55957761445831733</v>
      </c>
      <c r="G101" s="12">
        <v>239</v>
      </c>
      <c r="H101" s="12">
        <v>67758.000524000003</v>
      </c>
      <c r="I101" s="13">
        <f t="shared" si="17"/>
        <v>0.47700105707948043</v>
      </c>
      <c r="J101" s="4">
        <v>37</v>
      </c>
      <c r="K101" s="4">
        <v>10452.000023000001</v>
      </c>
      <c r="L101" s="17">
        <f t="shared" si="18"/>
        <v>7.3579725213406208E-2</v>
      </c>
      <c r="M101" s="9">
        <v>8</v>
      </c>
      <c r="N101" s="9">
        <v>1278.000016</v>
      </c>
      <c r="O101" s="18">
        <f t="shared" si="19"/>
        <v>8.9968321654306915E-3</v>
      </c>
    </row>
    <row r="102" spans="1:15" ht="14" x14ac:dyDescent="0.2">
      <c r="A102" s="1" t="s">
        <v>101</v>
      </c>
      <c r="B102" s="35" t="s">
        <v>257</v>
      </c>
      <c r="C102" s="25">
        <v>594</v>
      </c>
      <c r="D102" s="21">
        <v>150310.00052</v>
      </c>
      <c r="E102" s="20">
        <f t="shared" si="15"/>
        <v>81482.000174000001</v>
      </c>
      <c r="F102" s="24">
        <f t="shared" si="16"/>
        <v>0.54209300706614083</v>
      </c>
      <c r="G102" s="12">
        <v>271</v>
      </c>
      <c r="H102" s="12">
        <v>69549.000195999994</v>
      </c>
      <c r="I102" s="13">
        <f t="shared" si="17"/>
        <v>0.46270374529568253</v>
      </c>
      <c r="J102" s="4">
        <v>35</v>
      </c>
      <c r="K102" s="4">
        <v>10041.999948999999</v>
      </c>
      <c r="L102" s="17">
        <f t="shared" si="18"/>
        <v>6.6808594998732818E-2</v>
      </c>
      <c r="M102" s="9">
        <v>9</v>
      </c>
      <c r="N102" s="9">
        <v>1891.000029</v>
      </c>
      <c r="O102" s="18">
        <f t="shared" si="19"/>
        <v>1.2580666771725457E-2</v>
      </c>
    </row>
    <row r="103" spans="1:15" ht="14" x14ac:dyDescent="0.2">
      <c r="A103" s="1" t="s">
        <v>102</v>
      </c>
      <c r="B103" s="35" t="s">
        <v>323</v>
      </c>
      <c r="C103" s="25">
        <v>648</v>
      </c>
      <c r="D103" s="21">
        <v>174067.00040300001</v>
      </c>
      <c r="E103" s="20">
        <f t="shared" si="15"/>
        <v>90939.000176999994</v>
      </c>
      <c r="F103" s="24">
        <f t="shared" si="16"/>
        <v>0.52243676266298589</v>
      </c>
      <c r="G103" s="12">
        <v>266</v>
      </c>
      <c r="H103" s="12">
        <v>69514.000157999995</v>
      </c>
      <c r="I103" s="13">
        <f t="shared" si="17"/>
        <v>0.39935197364842934</v>
      </c>
      <c r="J103" s="4">
        <v>78</v>
      </c>
      <c r="K103" s="4">
        <v>20832.000005999998</v>
      </c>
      <c r="L103" s="17">
        <f t="shared" si="18"/>
        <v>0.11967805475920043</v>
      </c>
      <c r="M103" s="9">
        <v>4</v>
      </c>
      <c r="N103" s="9">
        <v>593.00001299999997</v>
      </c>
      <c r="O103" s="18">
        <f t="shared" si="19"/>
        <v>3.4067342553561904E-3</v>
      </c>
    </row>
    <row r="104" spans="1:15" ht="14" x14ac:dyDescent="0.2">
      <c r="A104" s="1" t="s">
        <v>103</v>
      </c>
      <c r="B104" s="35" t="s">
        <v>296</v>
      </c>
      <c r="C104" s="25">
        <v>481</v>
      </c>
      <c r="D104" s="21">
        <v>117270.000275</v>
      </c>
      <c r="E104" s="20">
        <f t="shared" si="15"/>
        <v>58489.000127999992</v>
      </c>
      <c r="F104" s="24">
        <f t="shared" si="16"/>
        <v>0.49875500972833942</v>
      </c>
      <c r="G104" s="12">
        <v>206</v>
      </c>
      <c r="H104" s="12">
        <v>49479.000100999998</v>
      </c>
      <c r="I104" s="13">
        <f t="shared" si="17"/>
        <v>0.42192376554081151</v>
      </c>
      <c r="J104" s="4">
        <v>24</v>
      </c>
      <c r="K104" s="4">
        <v>6856.0000149999996</v>
      </c>
      <c r="L104" s="17">
        <f t="shared" si="18"/>
        <v>5.8463375108063202E-2</v>
      </c>
      <c r="M104" s="9">
        <v>13</v>
      </c>
      <c r="N104" s="9">
        <v>2154.000012</v>
      </c>
      <c r="O104" s="18">
        <f t="shared" si="19"/>
        <v>1.8367869079464791E-2</v>
      </c>
    </row>
    <row r="105" spans="1:15" ht="14" x14ac:dyDescent="0.2">
      <c r="A105" s="1" t="s">
        <v>104</v>
      </c>
      <c r="B105" s="35" t="s">
        <v>295</v>
      </c>
      <c r="C105" s="25">
        <v>729</v>
      </c>
      <c r="D105" s="21">
        <v>208901.00044800001</v>
      </c>
      <c r="E105" s="20">
        <f t="shared" si="15"/>
        <v>193905.000531</v>
      </c>
      <c r="F105" s="24">
        <f t="shared" si="16"/>
        <v>0.92821480086337438</v>
      </c>
      <c r="G105" s="12">
        <v>612</v>
      </c>
      <c r="H105" s="12">
        <v>172973.00054800001</v>
      </c>
      <c r="I105" s="13">
        <f t="shared" si="17"/>
        <v>0.82801422768224964</v>
      </c>
      <c r="J105" s="4">
        <v>56</v>
      </c>
      <c r="K105" s="4">
        <v>17307.999964999999</v>
      </c>
      <c r="L105" s="17">
        <f t="shared" si="18"/>
        <v>8.2852642772806323E-2</v>
      </c>
      <c r="M105" s="9">
        <v>13</v>
      </c>
      <c r="N105" s="9">
        <v>3624.0000180000002</v>
      </c>
      <c r="O105" s="18">
        <f t="shared" si="19"/>
        <v>1.7347930408318425E-2</v>
      </c>
    </row>
    <row r="106" spans="1:15" ht="14" x14ac:dyDescent="0.2">
      <c r="A106" s="1" t="s">
        <v>105</v>
      </c>
      <c r="B106" s="35" t="s">
        <v>256</v>
      </c>
      <c r="C106" s="25">
        <v>760</v>
      </c>
      <c r="D106" s="21">
        <v>203333.000447</v>
      </c>
      <c r="E106" s="20">
        <f t="shared" si="15"/>
        <v>162178.00027000002</v>
      </c>
      <c r="F106" s="24">
        <f t="shared" si="16"/>
        <v>0.79759802842368777</v>
      </c>
      <c r="G106" s="12">
        <v>563</v>
      </c>
      <c r="H106" s="12">
        <v>144481.00011600001</v>
      </c>
      <c r="I106" s="13">
        <f t="shared" si="17"/>
        <v>0.71056345894851369</v>
      </c>
      <c r="J106" s="4">
        <v>56</v>
      </c>
      <c r="K106" s="4">
        <v>15770.000096</v>
      </c>
      <c r="L106" s="17">
        <f t="shared" si="18"/>
        <v>7.7557504494262103E-2</v>
      </c>
      <c r="M106" s="9">
        <v>10</v>
      </c>
      <c r="N106" s="9">
        <v>1927.0000580000001</v>
      </c>
      <c r="O106" s="18">
        <f t="shared" si="19"/>
        <v>9.4770649809118642E-3</v>
      </c>
    </row>
    <row r="107" spans="1:15" ht="14" x14ac:dyDescent="0.2">
      <c r="A107" s="1" t="s">
        <v>106</v>
      </c>
      <c r="B107" s="35" t="s">
        <v>294</v>
      </c>
      <c r="C107" s="25">
        <v>1015</v>
      </c>
      <c r="D107" s="21">
        <v>278060.000551</v>
      </c>
      <c r="E107" s="20">
        <f t="shared" si="15"/>
        <v>143511.00057600002</v>
      </c>
      <c r="F107" s="24">
        <f t="shared" si="16"/>
        <v>0.51611522797820808</v>
      </c>
      <c r="G107" s="12">
        <v>421</v>
      </c>
      <c r="H107" s="12">
        <v>121506.000444</v>
      </c>
      <c r="I107" s="13">
        <f t="shared" si="17"/>
        <v>0.4369776314580498</v>
      </c>
      <c r="J107" s="4">
        <v>64</v>
      </c>
      <c r="K107" s="4">
        <v>15492.000110999999</v>
      </c>
      <c r="L107" s="17">
        <f t="shared" si="18"/>
        <v>5.5714594261315031E-2</v>
      </c>
      <c r="M107" s="9">
        <v>27</v>
      </c>
      <c r="N107" s="9">
        <v>6513.0000209999998</v>
      </c>
      <c r="O107" s="18">
        <f t="shared" si="19"/>
        <v>2.3423002258843147E-2</v>
      </c>
    </row>
    <row r="108" spans="1:15" ht="14" x14ac:dyDescent="0.2">
      <c r="A108" s="1" t="s">
        <v>107</v>
      </c>
      <c r="B108" s="35" t="s">
        <v>316</v>
      </c>
      <c r="C108" s="25">
        <v>598</v>
      </c>
      <c r="D108" s="21">
        <v>176970.000485</v>
      </c>
      <c r="E108" s="20">
        <f t="shared" si="15"/>
        <v>93248.000226999997</v>
      </c>
      <c r="F108" s="24">
        <f t="shared" si="16"/>
        <v>0.5269141660815202</v>
      </c>
      <c r="G108" s="12">
        <v>266</v>
      </c>
      <c r="H108" s="12">
        <v>79717.000224999996</v>
      </c>
      <c r="I108" s="13">
        <f t="shared" si="17"/>
        <v>0.45045487939497869</v>
      </c>
      <c r="J108" s="4">
        <v>42</v>
      </c>
      <c r="K108" s="4">
        <v>12094.999994</v>
      </c>
      <c r="L108" s="17">
        <f t="shared" si="18"/>
        <v>6.8344916996398913E-2</v>
      </c>
      <c r="M108" s="9">
        <v>6</v>
      </c>
      <c r="N108" s="9">
        <v>1436.000008</v>
      </c>
      <c r="O108" s="18">
        <f t="shared" si="19"/>
        <v>8.1143696901425713E-3</v>
      </c>
    </row>
    <row r="109" spans="1:15" ht="14" x14ac:dyDescent="0.2">
      <c r="A109" s="1" t="s">
        <v>108</v>
      </c>
      <c r="B109" s="35" t="s">
        <v>227</v>
      </c>
      <c r="C109" s="25">
        <v>923</v>
      </c>
      <c r="D109" s="21">
        <v>229250.00059099999</v>
      </c>
      <c r="E109" s="20">
        <f t="shared" si="15"/>
        <v>126269.000288</v>
      </c>
      <c r="F109" s="24">
        <f t="shared" si="16"/>
        <v>0.55079171194103427</v>
      </c>
      <c r="G109" s="12">
        <v>412</v>
      </c>
      <c r="H109" s="12">
        <v>103334.00012300001</v>
      </c>
      <c r="I109" s="13">
        <f t="shared" si="17"/>
        <v>0.45074809097756985</v>
      </c>
      <c r="J109" s="4">
        <v>77</v>
      </c>
      <c r="K109" s="4">
        <v>19553.000106</v>
      </c>
      <c r="L109" s="17">
        <f t="shared" si="18"/>
        <v>8.5291167090917872E-2</v>
      </c>
      <c r="M109" s="9">
        <v>11</v>
      </c>
      <c r="N109" s="9">
        <v>3382.000059</v>
      </c>
      <c r="O109" s="18">
        <f t="shared" si="19"/>
        <v>1.4752453872546565E-2</v>
      </c>
    </row>
    <row r="110" spans="1:15" ht="14" x14ac:dyDescent="0.2">
      <c r="A110" s="1" t="s">
        <v>109</v>
      </c>
      <c r="B110" s="35" t="s">
        <v>342</v>
      </c>
      <c r="C110" s="25">
        <v>400</v>
      </c>
      <c r="D110" s="21">
        <v>82415.000450000007</v>
      </c>
      <c r="E110" s="20">
        <f t="shared" si="15"/>
        <v>43190.000119999997</v>
      </c>
      <c r="F110" s="24">
        <f t="shared" si="16"/>
        <v>0.5240550856540096</v>
      </c>
      <c r="G110" s="12">
        <v>169</v>
      </c>
      <c r="H110" s="12">
        <v>32738.000071999999</v>
      </c>
      <c r="I110" s="13">
        <f t="shared" si="17"/>
        <v>0.39723351202141499</v>
      </c>
      <c r="J110" s="4">
        <v>41</v>
      </c>
      <c r="K110" s="4">
        <v>9723.0000459999992</v>
      </c>
      <c r="L110" s="17">
        <f t="shared" si="18"/>
        <v>0.11797609649834077</v>
      </c>
      <c r="M110" s="9">
        <v>4</v>
      </c>
      <c r="N110" s="9">
        <v>729.00000199999999</v>
      </c>
      <c r="O110" s="18">
        <f t="shared" si="19"/>
        <v>8.8454771342539006E-3</v>
      </c>
    </row>
    <row r="111" spans="1:15" ht="14" x14ac:dyDescent="0.2">
      <c r="A111" s="1" t="s">
        <v>110</v>
      </c>
      <c r="B111" s="35" t="s">
        <v>269</v>
      </c>
      <c r="C111" s="25">
        <v>719</v>
      </c>
      <c r="D111" s="21">
        <v>162413.00038700001</v>
      </c>
      <c r="E111" s="20">
        <f t="shared" si="15"/>
        <v>87895.000352000003</v>
      </c>
      <c r="F111" s="24">
        <f t="shared" si="16"/>
        <v>0.54118204911283296</v>
      </c>
      <c r="G111" s="12">
        <v>302</v>
      </c>
      <c r="H111" s="12">
        <v>74730.000283000001</v>
      </c>
      <c r="I111" s="13">
        <f t="shared" si="17"/>
        <v>0.46012326664080028</v>
      </c>
      <c r="J111" s="4">
        <v>54</v>
      </c>
      <c r="K111" s="4">
        <v>12104.000077000001</v>
      </c>
      <c r="L111" s="17">
        <f t="shared" si="18"/>
        <v>7.4526054245401638E-2</v>
      </c>
      <c r="M111" s="9">
        <v>6</v>
      </c>
      <c r="N111" s="9">
        <v>1060.999992</v>
      </c>
      <c r="O111" s="18">
        <f t="shared" si="19"/>
        <v>6.5327282266310835E-3</v>
      </c>
    </row>
    <row r="112" spans="1:15" ht="14" x14ac:dyDescent="0.2">
      <c r="A112" s="1" t="s">
        <v>111</v>
      </c>
      <c r="B112" s="35" t="s">
        <v>245</v>
      </c>
      <c r="C112" s="25">
        <v>1046</v>
      </c>
      <c r="D112" s="21">
        <v>298662.00066100003</v>
      </c>
      <c r="E112" s="20">
        <f t="shared" si="15"/>
        <v>189101.00047899998</v>
      </c>
      <c r="F112" s="24">
        <f t="shared" si="16"/>
        <v>0.63316056297915646</v>
      </c>
      <c r="G112" s="12">
        <v>599</v>
      </c>
      <c r="H112" s="12">
        <v>167037.00046499999</v>
      </c>
      <c r="I112" s="13">
        <f t="shared" si="17"/>
        <v>0.5592844087808726</v>
      </c>
      <c r="J112" s="4">
        <v>65</v>
      </c>
      <c r="K112" s="4">
        <v>21189.000004000001</v>
      </c>
      <c r="L112" s="17">
        <f t="shared" si="18"/>
        <v>7.0946420894202861E-2</v>
      </c>
      <c r="M112" s="9">
        <v>4</v>
      </c>
      <c r="N112" s="9">
        <v>875.00000999999997</v>
      </c>
      <c r="O112" s="18">
        <f t="shared" si="19"/>
        <v>2.929733304081022E-3</v>
      </c>
    </row>
    <row r="113" spans="1:15" ht="14" x14ac:dyDescent="0.2">
      <c r="A113" s="1" t="s">
        <v>112</v>
      </c>
      <c r="B113" s="35" t="s">
        <v>265</v>
      </c>
      <c r="C113" s="25">
        <v>565</v>
      </c>
      <c r="D113" s="21">
        <v>149676.00054199999</v>
      </c>
      <c r="E113" s="20">
        <f t="shared" si="15"/>
        <v>67077.000098000004</v>
      </c>
      <c r="F113" s="24">
        <f t="shared" si="16"/>
        <v>0.44814799871124156</v>
      </c>
      <c r="G113" s="12">
        <v>206</v>
      </c>
      <c r="H113" s="12">
        <v>53343.000052000003</v>
      </c>
      <c r="I113" s="13">
        <f t="shared" si="17"/>
        <v>0.35638980102913448</v>
      </c>
      <c r="J113" s="4">
        <v>48</v>
      </c>
      <c r="K113" s="4">
        <v>13143.000008000001</v>
      </c>
      <c r="L113" s="17">
        <f t="shared" si="18"/>
        <v>8.7809668620267511E-2</v>
      </c>
      <c r="M113" s="9">
        <v>7</v>
      </c>
      <c r="N113" s="9">
        <v>591.00003800000002</v>
      </c>
      <c r="O113" s="18">
        <f t="shared" si="19"/>
        <v>3.9485290618395553E-3</v>
      </c>
    </row>
    <row r="114" spans="1:15" ht="14" x14ac:dyDescent="0.2">
      <c r="A114" s="1" t="s">
        <v>113</v>
      </c>
      <c r="B114" s="35" t="s">
        <v>332</v>
      </c>
      <c r="C114" s="25">
        <v>632</v>
      </c>
      <c r="D114" s="21">
        <v>168629.00042900001</v>
      </c>
      <c r="E114" s="20">
        <f t="shared" si="15"/>
        <v>75601.000236000007</v>
      </c>
      <c r="F114" s="24">
        <f t="shared" si="16"/>
        <v>0.44832739353057632</v>
      </c>
      <c r="G114" s="12">
        <v>217</v>
      </c>
      <c r="H114" s="12">
        <v>58120.000081999999</v>
      </c>
      <c r="I114" s="13">
        <f t="shared" si="17"/>
        <v>0.34466194980780307</v>
      </c>
      <c r="J114" s="4">
        <v>47</v>
      </c>
      <c r="K114" s="4">
        <v>14989.000167</v>
      </c>
      <c r="L114" s="17">
        <f t="shared" si="18"/>
        <v>8.8887440054007838E-2</v>
      </c>
      <c r="M114" s="9">
        <v>9</v>
      </c>
      <c r="N114" s="9">
        <v>2491.9999870000001</v>
      </c>
      <c r="O114" s="18">
        <f t="shared" si="19"/>
        <v>1.4778003668765376E-2</v>
      </c>
    </row>
    <row r="115" spans="1:15" ht="14" x14ac:dyDescent="0.2">
      <c r="A115" s="1" t="s">
        <v>114</v>
      </c>
      <c r="B115" s="35" t="s">
        <v>293</v>
      </c>
      <c r="C115" s="25">
        <v>421</v>
      </c>
      <c r="D115" s="21">
        <v>102875.00046700001</v>
      </c>
      <c r="E115" s="20">
        <f t="shared" si="15"/>
        <v>48890.000035000005</v>
      </c>
      <c r="F115" s="24">
        <f t="shared" si="16"/>
        <v>0.47523693621447732</v>
      </c>
      <c r="G115" s="12">
        <v>176</v>
      </c>
      <c r="H115" s="12">
        <v>45086.000065</v>
      </c>
      <c r="I115" s="13">
        <f t="shared" si="17"/>
        <v>0.43826002294369448</v>
      </c>
      <c r="J115" s="4">
        <v>13</v>
      </c>
      <c r="K115" s="4">
        <v>2338.9999809999999</v>
      </c>
      <c r="L115" s="17">
        <f t="shared" si="18"/>
        <v>2.2736330210275903E-2</v>
      </c>
      <c r="M115" s="9">
        <v>5</v>
      </c>
      <c r="N115" s="9">
        <v>1464.9999889999999</v>
      </c>
      <c r="O115" s="18">
        <f t="shared" si="19"/>
        <v>1.4240583060506903E-2</v>
      </c>
    </row>
    <row r="116" spans="1:15" ht="14" x14ac:dyDescent="0.2">
      <c r="A116" s="1" t="s">
        <v>115</v>
      </c>
      <c r="B116" s="35" t="s">
        <v>318</v>
      </c>
      <c r="C116" s="25">
        <v>412</v>
      </c>
      <c r="D116" s="21">
        <v>107022.00038</v>
      </c>
      <c r="E116" s="20">
        <f t="shared" si="15"/>
        <v>56156.000211999999</v>
      </c>
      <c r="F116" s="24">
        <f t="shared" si="16"/>
        <v>0.52471454479086987</v>
      </c>
      <c r="G116" s="12">
        <v>164</v>
      </c>
      <c r="H116" s="12">
        <v>46519.000182999996</v>
      </c>
      <c r="I116" s="13">
        <f t="shared" si="17"/>
        <v>0.4346676385960484</v>
      </c>
      <c r="J116" s="4">
        <v>34</v>
      </c>
      <c r="K116" s="4">
        <v>8079.0000120000004</v>
      </c>
      <c r="L116" s="17">
        <f t="shared" si="18"/>
        <v>7.5489151607278163E-2</v>
      </c>
      <c r="M116" s="9">
        <v>7</v>
      </c>
      <c r="N116" s="9">
        <v>1558.0000170000001</v>
      </c>
      <c r="O116" s="18">
        <f t="shared" si="19"/>
        <v>1.4557754587543248E-2</v>
      </c>
    </row>
    <row r="117" spans="1:15" ht="14" x14ac:dyDescent="0.2">
      <c r="A117" s="1" t="s">
        <v>116</v>
      </c>
      <c r="B117" s="35" t="s">
        <v>352</v>
      </c>
      <c r="C117" s="25">
        <v>726</v>
      </c>
      <c r="D117" s="21">
        <v>205834.00060699999</v>
      </c>
      <c r="E117" s="20">
        <f t="shared" si="15"/>
        <v>187757.000677</v>
      </c>
      <c r="F117" s="24">
        <f t="shared" si="16"/>
        <v>0.91217680326529482</v>
      </c>
      <c r="G117" s="12">
        <v>603</v>
      </c>
      <c r="H117" s="12">
        <v>171625.000546</v>
      </c>
      <c r="I117" s="13">
        <f t="shared" si="17"/>
        <v>0.83380296763353767</v>
      </c>
      <c r="J117" s="4">
        <v>58</v>
      </c>
      <c r="K117" s="4">
        <v>14625.000131000001</v>
      </c>
      <c r="L117" s="17">
        <f t="shared" si="18"/>
        <v>7.1052401876615101E-2</v>
      </c>
      <c r="M117" s="9">
        <v>7</v>
      </c>
      <c r="N117" s="9">
        <v>1507</v>
      </c>
      <c r="O117" s="18">
        <f t="shared" si="19"/>
        <v>7.3214337551419581E-3</v>
      </c>
    </row>
    <row r="118" spans="1:15" ht="14" x14ac:dyDescent="0.2">
      <c r="A118" s="1" t="s">
        <v>117</v>
      </c>
      <c r="B118" s="35" t="s">
        <v>335</v>
      </c>
      <c r="C118" s="25">
        <v>602</v>
      </c>
      <c r="D118" s="21">
        <v>160111.000371</v>
      </c>
      <c r="E118" s="20">
        <f t="shared" si="15"/>
        <v>90023.000037999998</v>
      </c>
      <c r="F118" s="24">
        <f t="shared" si="16"/>
        <v>0.56225368543950061</v>
      </c>
      <c r="G118" s="12">
        <v>270</v>
      </c>
      <c r="H118" s="12">
        <v>75037.000140000004</v>
      </c>
      <c r="I118" s="13">
        <f t="shared" si="17"/>
        <v>0.46865611960532744</v>
      </c>
      <c r="J118" s="4">
        <v>43</v>
      </c>
      <c r="K118" s="4">
        <v>12174.999904</v>
      </c>
      <c r="L118" s="17">
        <f t="shared" si="18"/>
        <v>7.6040995782855586E-2</v>
      </c>
      <c r="M118" s="9">
        <v>7</v>
      </c>
      <c r="N118" s="9">
        <v>2810.9999939999998</v>
      </c>
      <c r="O118" s="18">
        <f t="shared" si="19"/>
        <v>1.75565700513176E-2</v>
      </c>
    </row>
    <row r="119" spans="1:15" ht="14" x14ac:dyDescent="0.2">
      <c r="A119" s="1" t="s">
        <v>118</v>
      </c>
      <c r="B119" s="35" t="s">
        <v>351</v>
      </c>
      <c r="C119" s="25">
        <v>511</v>
      </c>
      <c r="D119" s="21">
        <v>134333.00093099999</v>
      </c>
      <c r="E119" s="20">
        <f t="shared" si="15"/>
        <v>55239.000301</v>
      </c>
      <c r="F119" s="24">
        <f t="shared" si="16"/>
        <v>0.41120945648622453</v>
      </c>
      <c r="G119" s="12">
        <v>183</v>
      </c>
      <c r="H119" s="12">
        <v>48311.000275999999</v>
      </c>
      <c r="I119" s="13">
        <f t="shared" si="17"/>
        <v>0.35963612769147396</v>
      </c>
      <c r="J119" s="4">
        <v>18</v>
      </c>
      <c r="K119" s="4">
        <v>4945.0000389999996</v>
      </c>
      <c r="L119" s="17">
        <f t="shared" si="18"/>
        <v>3.6811505770945996E-2</v>
      </c>
      <c r="M119" s="9">
        <v>10</v>
      </c>
      <c r="N119" s="9">
        <v>1982.999986</v>
      </c>
      <c r="O119" s="18">
        <f t="shared" si="19"/>
        <v>1.4761823023804597E-2</v>
      </c>
    </row>
    <row r="120" spans="1:15" ht="14" x14ac:dyDescent="0.2">
      <c r="A120" s="1" t="s">
        <v>119</v>
      </c>
      <c r="B120" s="35" t="s">
        <v>341</v>
      </c>
      <c r="C120" s="25">
        <v>771</v>
      </c>
      <c r="D120" s="21">
        <v>169008.00031</v>
      </c>
      <c r="E120" s="20">
        <f t="shared" si="15"/>
        <v>86032.000510999991</v>
      </c>
      <c r="F120" s="24">
        <f t="shared" si="16"/>
        <v>0.50904099423220961</v>
      </c>
      <c r="G120" s="12">
        <v>338</v>
      </c>
      <c r="H120" s="12">
        <v>70972.000396999996</v>
      </c>
      <c r="I120" s="13">
        <f t="shared" si="17"/>
        <v>0.4199327858256463</v>
      </c>
      <c r="J120" s="4">
        <v>55</v>
      </c>
      <c r="K120" s="4">
        <v>12835.000040999999</v>
      </c>
      <c r="L120" s="17">
        <f t="shared" si="18"/>
        <v>7.5943150723383646E-2</v>
      </c>
      <c r="M120" s="9">
        <v>16</v>
      </c>
      <c r="N120" s="9">
        <v>2225.0000730000002</v>
      </c>
      <c r="O120" s="18">
        <f t="shared" si="19"/>
        <v>1.3165057683179686E-2</v>
      </c>
    </row>
    <row r="121" spans="1:15" ht="14" x14ac:dyDescent="0.2">
      <c r="A121" s="1" t="s">
        <v>120</v>
      </c>
      <c r="B121" s="35" t="s">
        <v>288</v>
      </c>
      <c r="C121" s="25">
        <v>1043</v>
      </c>
      <c r="D121" s="21">
        <v>250867.000955</v>
      </c>
      <c r="E121" s="20">
        <f t="shared" si="15"/>
        <v>233704.00074699998</v>
      </c>
      <c r="F121" s="24">
        <f t="shared" si="16"/>
        <v>0.93158526174162426</v>
      </c>
      <c r="G121" s="12">
        <v>886</v>
      </c>
      <c r="H121" s="12">
        <v>208892.00073599999</v>
      </c>
      <c r="I121" s="13">
        <f t="shared" si="17"/>
        <v>0.83268026460550948</v>
      </c>
      <c r="J121" s="4">
        <v>79</v>
      </c>
      <c r="K121" s="4">
        <v>19833.999975999999</v>
      </c>
      <c r="L121" s="17">
        <f t="shared" si="18"/>
        <v>7.9061813233689437E-2</v>
      </c>
      <c r="M121" s="9">
        <v>20</v>
      </c>
      <c r="N121" s="9">
        <v>4978.000035</v>
      </c>
      <c r="O121" s="18">
        <f t="shared" si="19"/>
        <v>1.9843183902425426E-2</v>
      </c>
    </row>
    <row r="122" spans="1:15" ht="14" x14ac:dyDescent="0.2">
      <c r="A122" s="1" t="s">
        <v>121</v>
      </c>
      <c r="B122" s="35" t="s">
        <v>221</v>
      </c>
      <c r="C122" s="25">
        <v>1096</v>
      </c>
      <c r="D122" s="21">
        <v>258121.00107599999</v>
      </c>
      <c r="E122" s="20">
        <f t="shared" si="15"/>
        <v>140984.00068900001</v>
      </c>
      <c r="F122" s="24">
        <f t="shared" si="16"/>
        <v>0.5461934523006492</v>
      </c>
      <c r="G122" s="12">
        <v>499</v>
      </c>
      <c r="H122" s="12">
        <v>122976.000633</v>
      </c>
      <c r="I122" s="13">
        <f t="shared" si="17"/>
        <v>0.47642772234868058</v>
      </c>
      <c r="J122" s="4">
        <v>66</v>
      </c>
      <c r="K122" s="4">
        <v>15016.000007000001</v>
      </c>
      <c r="L122" s="17">
        <f t="shared" si="18"/>
        <v>5.8174266891901437E-2</v>
      </c>
      <c r="M122" s="9">
        <v>15</v>
      </c>
      <c r="N122" s="9">
        <v>2992.0000490000002</v>
      </c>
      <c r="O122" s="18">
        <f t="shared" si="19"/>
        <v>1.1591463060067125E-2</v>
      </c>
    </row>
    <row r="123" spans="1:15" ht="14" x14ac:dyDescent="0.2">
      <c r="A123" s="1" t="s">
        <v>122</v>
      </c>
      <c r="B123" s="35" t="s">
        <v>237</v>
      </c>
      <c r="C123" s="25">
        <v>771</v>
      </c>
      <c r="D123" s="21">
        <v>228949.00069700001</v>
      </c>
      <c r="E123" s="20">
        <f t="shared" si="15"/>
        <v>134928.00048700001</v>
      </c>
      <c r="F123" s="24">
        <f t="shared" si="16"/>
        <v>0.58933649011890188</v>
      </c>
      <c r="G123" s="12">
        <v>353</v>
      </c>
      <c r="H123" s="12">
        <v>109025.00046900001</v>
      </c>
      <c r="I123" s="13">
        <f t="shared" si="17"/>
        <v>0.47619775643086526</v>
      </c>
      <c r="J123" s="4">
        <v>66</v>
      </c>
      <c r="K123" s="4">
        <v>21637.000045000001</v>
      </c>
      <c r="L123" s="17">
        <f t="shared" si="18"/>
        <v>9.4505763201103668E-2</v>
      </c>
      <c r="M123" s="9">
        <v>13</v>
      </c>
      <c r="N123" s="9">
        <v>4265.999973</v>
      </c>
      <c r="O123" s="18">
        <f t="shared" si="19"/>
        <v>1.8632970486932982E-2</v>
      </c>
    </row>
    <row r="124" spans="1:15" ht="14" x14ac:dyDescent="0.2">
      <c r="A124" s="1" t="s">
        <v>123</v>
      </c>
      <c r="B124" s="35" t="s">
        <v>264</v>
      </c>
      <c r="C124" s="25">
        <v>809</v>
      </c>
      <c r="D124" s="21">
        <v>220517.00076</v>
      </c>
      <c r="E124" s="20">
        <f t="shared" si="15"/>
        <v>115534.000392</v>
      </c>
      <c r="F124" s="24">
        <f t="shared" si="16"/>
        <v>0.5239233256112602</v>
      </c>
      <c r="G124" s="12">
        <v>355</v>
      </c>
      <c r="H124" s="12">
        <v>102892.000392</v>
      </c>
      <c r="I124" s="13">
        <f t="shared" si="17"/>
        <v>0.4665944123917351</v>
      </c>
      <c r="J124" s="4">
        <v>39</v>
      </c>
      <c r="K124" s="4">
        <v>10902.999997000001</v>
      </c>
      <c r="L124" s="17">
        <f t="shared" si="18"/>
        <v>4.9442899909863627E-2</v>
      </c>
      <c r="M124" s="9">
        <v>12</v>
      </c>
      <c r="N124" s="9">
        <v>1739.0000030000001</v>
      </c>
      <c r="O124" s="18">
        <f t="shared" si="19"/>
        <v>7.8860133096615229E-3</v>
      </c>
    </row>
    <row r="125" spans="1:15" ht="14" x14ac:dyDescent="0.2">
      <c r="A125" s="1" t="s">
        <v>124</v>
      </c>
      <c r="B125" s="35" t="s">
        <v>223</v>
      </c>
      <c r="C125" s="25">
        <v>1407</v>
      </c>
      <c r="D125" s="21">
        <v>290207.00070899999</v>
      </c>
      <c r="E125" s="20">
        <f t="shared" si="15"/>
        <v>268796.00064700004</v>
      </c>
      <c r="F125" s="24">
        <f t="shared" si="16"/>
        <v>0.92622162797695751</v>
      </c>
      <c r="G125" s="12">
        <v>1189</v>
      </c>
      <c r="H125" s="12">
        <v>242769.00049100001</v>
      </c>
      <c r="I125" s="13">
        <f t="shared" si="17"/>
        <v>0.83653736780262034</v>
      </c>
      <c r="J125" s="4">
        <v>93</v>
      </c>
      <c r="K125" s="4">
        <v>20777.000109000001</v>
      </c>
      <c r="L125" s="17">
        <f t="shared" si="18"/>
        <v>7.1593724680107829E-2</v>
      </c>
      <c r="M125" s="9">
        <v>24</v>
      </c>
      <c r="N125" s="9">
        <v>5250.0000470000004</v>
      </c>
      <c r="O125" s="18">
        <f t="shared" si="19"/>
        <v>1.8090535494229329E-2</v>
      </c>
    </row>
    <row r="126" spans="1:15" ht="14" x14ac:dyDescent="0.2">
      <c r="A126" s="1" t="s">
        <v>125</v>
      </c>
      <c r="B126" s="35" t="s">
        <v>211</v>
      </c>
      <c r="C126" s="25">
        <v>1573</v>
      </c>
      <c r="D126" s="21">
        <v>314354.00102800003</v>
      </c>
      <c r="E126" s="20">
        <f t="shared" si="15"/>
        <v>160791.00061700001</v>
      </c>
      <c r="F126" s="24">
        <f t="shared" si="16"/>
        <v>0.51149659330303254</v>
      </c>
      <c r="G126" s="12">
        <v>649</v>
      </c>
      <c r="H126" s="12">
        <v>132932.000505</v>
      </c>
      <c r="I126" s="13">
        <f t="shared" si="17"/>
        <v>0.42287357587396995</v>
      </c>
      <c r="J126" s="4">
        <v>102</v>
      </c>
      <c r="K126" s="4">
        <v>24917.000119</v>
      </c>
      <c r="L126" s="17">
        <f t="shared" si="18"/>
        <v>7.9264141819466144E-2</v>
      </c>
      <c r="M126" s="9">
        <v>13</v>
      </c>
      <c r="N126" s="9">
        <v>2941.9999929999999</v>
      </c>
      <c r="O126" s="18">
        <f t="shared" si="19"/>
        <v>9.358875609596428E-3</v>
      </c>
    </row>
    <row r="127" spans="1:15" ht="14" x14ac:dyDescent="0.2">
      <c r="A127" s="1" t="s">
        <v>126</v>
      </c>
      <c r="B127" s="35" t="s">
        <v>340</v>
      </c>
      <c r="C127" s="25">
        <v>1827</v>
      </c>
      <c r="D127" s="21">
        <v>362285.00098200003</v>
      </c>
      <c r="E127" s="20">
        <f t="shared" si="15"/>
        <v>321922.00099900004</v>
      </c>
      <c r="F127" s="24">
        <f t="shared" si="16"/>
        <v>0.88858771444141182</v>
      </c>
      <c r="G127" s="12">
        <v>1468</v>
      </c>
      <c r="H127" s="12">
        <v>282204.00098800001</v>
      </c>
      <c r="I127" s="13">
        <f t="shared" si="17"/>
        <v>0.77895579508692159</v>
      </c>
      <c r="J127" s="4">
        <v>176</v>
      </c>
      <c r="K127" s="4">
        <v>33734.999988000003</v>
      </c>
      <c r="L127" s="17">
        <f t="shared" si="18"/>
        <v>9.3117296870029995E-2</v>
      </c>
      <c r="M127" s="9">
        <v>22</v>
      </c>
      <c r="N127" s="9">
        <v>5983.0000229999996</v>
      </c>
      <c r="O127" s="18">
        <f t="shared" si="19"/>
        <v>1.6514622484460135E-2</v>
      </c>
    </row>
    <row r="128" spans="1:15" ht="14" x14ac:dyDescent="0.2">
      <c r="A128" s="1" t="s">
        <v>127</v>
      </c>
      <c r="B128" s="35" t="s">
        <v>255</v>
      </c>
      <c r="C128" s="25">
        <v>835</v>
      </c>
      <c r="D128" s="21">
        <v>194806.00094999999</v>
      </c>
      <c r="E128" s="20">
        <f t="shared" si="15"/>
        <v>109237.000421</v>
      </c>
      <c r="F128" s="24">
        <f t="shared" si="16"/>
        <v>0.56074761500307879</v>
      </c>
      <c r="G128" s="12">
        <v>380</v>
      </c>
      <c r="H128" s="12">
        <v>90472.000507999997</v>
      </c>
      <c r="I128" s="13">
        <f t="shared" si="17"/>
        <v>0.46442101406938208</v>
      </c>
      <c r="J128" s="4">
        <v>65</v>
      </c>
      <c r="K128" s="4">
        <v>17311.999918000001</v>
      </c>
      <c r="L128" s="17">
        <f t="shared" si="18"/>
        <v>8.8867898491707134E-2</v>
      </c>
      <c r="M128" s="9">
        <v>8</v>
      </c>
      <c r="N128" s="9">
        <v>1452.9999949999999</v>
      </c>
      <c r="O128" s="18">
        <f t="shared" si="19"/>
        <v>7.4587024419896343E-3</v>
      </c>
    </row>
    <row r="129" spans="1:15" ht="14" x14ac:dyDescent="0.2">
      <c r="A129" s="1" t="s">
        <v>128</v>
      </c>
      <c r="B129" s="35" t="s">
        <v>322</v>
      </c>
      <c r="C129" s="25">
        <v>587</v>
      </c>
      <c r="D129" s="21">
        <v>156835.00051099999</v>
      </c>
      <c r="E129" s="20">
        <f t="shared" si="15"/>
        <v>82750.00033499999</v>
      </c>
      <c r="F129" s="24">
        <f t="shared" si="16"/>
        <v>0.52762457401335061</v>
      </c>
      <c r="G129" s="12">
        <v>259</v>
      </c>
      <c r="H129" s="12">
        <v>66289.000251999998</v>
      </c>
      <c r="I129" s="13">
        <f t="shared" si="17"/>
        <v>0.42266713447901999</v>
      </c>
      <c r="J129" s="4">
        <v>53</v>
      </c>
      <c r="K129" s="4">
        <v>14480.000106</v>
      </c>
      <c r="L129" s="17">
        <f t="shared" si="18"/>
        <v>9.2326330594709377E-2</v>
      </c>
      <c r="M129" s="9">
        <v>9</v>
      </c>
      <c r="N129" s="9">
        <v>1980.9999769999999</v>
      </c>
      <c r="O129" s="18">
        <f t="shared" si="19"/>
        <v>1.263110893962128E-2</v>
      </c>
    </row>
    <row r="130" spans="1:15" ht="14" x14ac:dyDescent="0.2">
      <c r="A130" s="1" t="s">
        <v>129</v>
      </c>
      <c r="B130" s="35" t="s">
        <v>284</v>
      </c>
      <c r="C130" s="25">
        <v>818</v>
      </c>
      <c r="D130" s="21">
        <v>202102.000466</v>
      </c>
      <c r="E130" s="20">
        <f t="shared" ref="E130:E161" si="20">H130+K130+N130</f>
        <v>121869.00028099999</v>
      </c>
      <c r="F130" s="24">
        <f t="shared" ref="F130:F161" si="21">E130/D130</f>
        <v>0.60300739230684774</v>
      </c>
      <c r="G130" s="12">
        <v>378</v>
      </c>
      <c r="H130" s="12">
        <v>91505.000113999995</v>
      </c>
      <c r="I130" s="13">
        <f t="shared" ref="I130:I161" si="22">H130/D130</f>
        <v>0.45276642439466624</v>
      </c>
      <c r="J130" s="4">
        <v>96</v>
      </c>
      <c r="K130" s="4">
        <v>28805.000198000002</v>
      </c>
      <c r="L130" s="17">
        <f t="shared" ref="L130:L161" si="23">K130/D130</f>
        <v>0.14252704145224887</v>
      </c>
      <c r="M130" s="9">
        <v>7</v>
      </c>
      <c r="N130" s="9">
        <v>1558.999969</v>
      </c>
      <c r="O130" s="18">
        <f t="shared" ref="O130:O161" si="24">N130/D130</f>
        <v>7.7139264599326591E-3</v>
      </c>
    </row>
    <row r="131" spans="1:15" ht="14" x14ac:dyDescent="0.2">
      <c r="A131" s="1" t="s">
        <v>130</v>
      </c>
      <c r="B131" s="35" t="s">
        <v>219</v>
      </c>
      <c r="C131" s="25">
        <v>1267</v>
      </c>
      <c r="D131" s="21">
        <v>286920.00120200001</v>
      </c>
      <c r="E131" s="20">
        <f t="shared" si="20"/>
        <v>246392.00087600001</v>
      </c>
      <c r="F131" s="24">
        <f t="shared" si="21"/>
        <v>0.85874808254490731</v>
      </c>
      <c r="G131" s="12">
        <v>1024</v>
      </c>
      <c r="H131" s="12">
        <v>220385.000856</v>
      </c>
      <c r="I131" s="13">
        <f t="shared" si="22"/>
        <v>0.76810609205610092</v>
      </c>
      <c r="J131" s="4">
        <v>88</v>
      </c>
      <c r="K131" s="4">
        <v>19475.999985999999</v>
      </c>
      <c r="L131" s="17">
        <f t="shared" si="23"/>
        <v>6.7879547972984733E-2</v>
      </c>
      <c r="M131" s="9">
        <v>27</v>
      </c>
      <c r="N131" s="9">
        <v>6531.0000339999997</v>
      </c>
      <c r="O131" s="18">
        <f t="shared" si="24"/>
        <v>2.2762442515821636E-2</v>
      </c>
    </row>
    <row r="132" spans="1:15" ht="14" x14ac:dyDescent="0.2">
      <c r="A132" s="1" t="s">
        <v>131</v>
      </c>
      <c r="B132" s="35" t="s">
        <v>315</v>
      </c>
      <c r="C132" s="25">
        <v>1018</v>
      </c>
      <c r="D132" s="21">
        <v>285779.00069399999</v>
      </c>
      <c r="E132" s="20">
        <f t="shared" si="20"/>
        <v>261344.00047199999</v>
      </c>
      <c r="F132" s="24">
        <f t="shared" si="21"/>
        <v>0.91449686589056289</v>
      </c>
      <c r="G132" s="12">
        <v>814</v>
      </c>
      <c r="H132" s="12">
        <v>227782.000374</v>
      </c>
      <c r="I132" s="13">
        <f t="shared" si="22"/>
        <v>0.79705646608338199</v>
      </c>
      <c r="J132" s="4">
        <v>119</v>
      </c>
      <c r="K132" s="4">
        <v>31390.000145000002</v>
      </c>
      <c r="L132" s="17">
        <f t="shared" si="23"/>
        <v>0.10984012145318921</v>
      </c>
      <c r="M132" s="9">
        <v>10</v>
      </c>
      <c r="N132" s="9">
        <v>2171.999953</v>
      </c>
      <c r="O132" s="18">
        <f t="shared" si="24"/>
        <v>7.600278353991745E-3</v>
      </c>
    </row>
    <row r="133" spans="1:15" ht="14" x14ac:dyDescent="0.2">
      <c r="A133" s="1" t="s">
        <v>132</v>
      </c>
      <c r="B133" s="35" t="s">
        <v>321</v>
      </c>
      <c r="C133" s="25">
        <v>896</v>
      </c>
      <c r="D133" s="21">
        <v>218542.00068900001</v>
      </c>
      <c r="E133" s="20">
        <f t="shared" si="20"/>
        <v>125433.00018</v>
      </c>
      <c r="F133" s="24">
        <f t="shared" si="21"/>
        <v>0.57395374703510482</v>
      </c>
      <c r="G133" s="12">
        <v>431</v>
      </c>
      <c r="H133" s="12">
        <v>107958.00017</v>
      </c>
      <c r="I133" s="13">
        <f t="shared" si="22"/>
        <v>0.49399200075792987</v>
      </c>
      <c r="J133" s="4">
        <v>60</v>
      </c>
      <c r="K133" s="4">
        <v>16305.999996</v>
      </c>
      <c r="L133" s="17">
        <f t="shared" si="23"/>
        <v>7.4612660013141083E-2</v>
      </c>
      <c r="M133" s="9">
        <v>10</v>
      </c>
      <c r="N133" s="9">
        <v>1169.000014</v>
      </c>
      <c r="O133" s="18">
        <f t="shared" si="24"/>
        <v>5.349086264033822E-3</v>
      </c>
    </row>
    <row r="134" spans="1:15" ht="14" x14ac:dyDescent="0.2">
      <c r="A134" s="1" t="s">
        <v>133</v>
      </c>
      <c r="B134" s="35" t="s">
        <v>299</v>
      </c>
      <c r="C134" s="25">
        <v>1106</v>
      </c>
      <c r="D134" s="21">
        <v>256625.00079600001</v>
      </c>
      <c r="E134" s="20">
        <f t="shared" si="20"/>
        <v>124084.000529</v>
      </c>
      <c r="F134" s="24">
        <f t="shared" si="21"/>
        <v>0.4835226503423905</v>
      </c>
      <c r="G134" s="12">
        <v>473</v>
      </c>
      <c r="H134" s="12">
        <v>107383.000363</v>
      </c>
      <c r="I134" s="13">
        <f t="shared" si="22"/>
        <v>0.41844325389155057</v>
      </c>
      <c r="J134" s="4">
        <v>69</v>
      </c>
      <c r="K134" s="4">
        <v>14891.00013</v>
      </c>
      <c r="L134" s="17">
        <f t="shared" si="23"/>
        <v>5.8026303297851196E-2</v>
      </c>
      <c r="M134" s="9">
        <v>9</v>
      </c>
      <c r="N134" s="9">
        <v>1810.0000359999999</v>
      </c>
      <c r="O134" s="18">
        <f t="shared" si="24"/>
        <v>7.0530931529887491E-3</v>
      </c>
    </row>
    <row r="135" spans="1:15" ht="14" x14ac:dyDescent="0.2">
      <c r="A135" s="1" t="s">
        <v>134</v>
      </c>
      <c r="B135" s="35" t="s">
        <v>304</v>
      </c>
      <c r="C135" s="25">
        <v>1233</v>
      </c>
      <c r="D135" s="21">
        <v>311830.00128700002</v>
      </c>
      <c r="E135" s="20">
        <f t="shared" si="20"/>
        <v>101961.00015200001</v>
      </c>
      <c r="F135" s="24">
        <f t="shared" si="21"/>
        <v>0.3269762361901728</v>
      </c>
      <c r="G135" s="12">
        <v>358</v>
      </c>
      <c r="H135" s="12">
        <v>86461.000039000006</v>
      </c>
      <c r="I135" s="13">
        <f t="shared" si="22"/>
        <v>0.27726966514496343</v>
      </c>
      <c r="J135" s="4">
        <v>52</v>
      </c>
      <c r="K135" s="4">
        <v>12992.00008</v>
      </c>
      <c r="L135" s="17">
        <f t="shared" si="23"/>
        <v>4.166372711534741E-2</v>
      </c>
      <c r="M135" s="9">
        <v>14</v>
      </c>
      <c r="N135" s="9">
        <v>2508.0000329999998</v>
      </c>
      <c r="O135" s="18">
        <f t="shared" si="24"/>
        <v>8.0428439298619748E-3</v>
      </c>
    </row>
    <row r="136" spans="1:15" ht="14" x14ac:dyDescent="0.2">
      <c r="A136" s="1" t="s">
        <v>135</v>
      </c>
      <c r="B136" s="35" t="s">
        <v>292</v>
      </c>
      <c r="C136" s="25">
        <v>984</v>
      </c>
      <c r="D136" s="21">
        <v>237047.00082700001</v>
      </c>
      <c r="E136" s="20">
        <f t="shared" si="20"/>
        <v>136357.00038799999</v>
      </c>
      <c r="F136" s="24">
        <f t="shared" si="21"/>
        <v>0.57523191566348941</v>
      </c>
      <c r="G136" s="12">
        <v>435</v>
      </c>
      <c r="H136" s="12">
        <v>111068.000289</v>
      </c>
      <c r="I136" s="13">
        <f t="shared" si="22"/>
        <v>0.46854843090826059</v>
      </c>
      <c r="J136" s="4">
        <v>78</v>
      </c>
      <c r="K136" s="4">
        <v>21540.000008999999</v>
      </c>
      <c r="L136" s="17">
        <f t="shared" si="23"/>
        <v>9.0868055422984123E-2</v>
      </c>
      <c r="M136" s="9">
        <v>14</v>
      </c>
      <c r="N136" s="9">
        <v>3749.00009</v>
      </c>
      <c r="O136" s="18">
        <f t="shared" si="24"/>
        <v>1.5815429332244828E-2</v>
      </c>
    </row>
    <row r="137" spans="1:15" ht="14" x14ac:dyDescent="0.2">
      <c r="A137" s="1" t="s">
        <v>136</v>
      </c>
      <c r="B137" s="35" t="s">
        <v>314</v>
      </c>
      <c r="C137" s="25">
        <v>941</v>
      </c>
      <c r="D137" s="21">
        <v>220435.00083899999</v>
      </c>
      <c r="E137" s="20">
        <f t="shared" si="20"/>
        <v>113965.00021300001</v>
      </c>
      <c r="F137" s="24">
        <f t="shared" si="21"/>
        <v>0.51700047532940152</v>
      </c>
      <c r="G137" s="12">
        <v>381</v>
      </c>
      <c r="H137" s="12">
        <v>88685.000316000005</v>
      </c>
      <c r="I137" s="13">
        <f t="shared" si="22"/>
        <v>0.4023181435727316</v>
      </c>
      <c r="J137" s="4">
        <v>81</v>
      </c>
      <c r="K137" s="4">
        <v>23416.999926</v>
      </c>
      <c r="L137" s="17">
        <f t="shared" si="23"/>
        <v>0.10623086096523832</v>
      </c>
      <c r="M137" s="9">
        <v>13</v>
      </c>
      <c r="N137" s="9">
        <v>1862.999971</v>
      </c>
      <c r="O137" s="18">
        <f t="shared" si="24"/>
        <v>8.45147079143156E-3</v>
      </c>
    </row>
    <row r="138" spans="1:15" ht="14" x14ac:dyDescent="0.2">
      <c r="A138" s="1" t="s">
        <v>137</v>
      </c>
      <c r="B138" s="35" t="s">
        <v>291</v>
      </c>
      <c r="C138" s="25">
        <v>958</v>
      </c>
      <c r="D138" s="21">
        <v>290879.00069399999</v>
      </c>
      <c r="E138" s="20">
        <f t="shared" si="20"/>
        <v>157243.00017700001</v>
      </c>
      <c r="F138" s="24">
        <f t="shared" si="21"/>
        <v>0.54057872793098982</v>
      </c>
      <c r="G138" s="12">
        <v>396</v>
      </c>
      <c r="H138" s="12">
        <v>125071.000077</v>
      </c>
      <c r="I138" s="13">
        <f t="shared" si="22"/>
        <v>0.429976037385293</v>
      </c>
      <c r="J138" s="4">
        <v>87</v>
      </c>
      <c r="K138" s="4">
        <v>27699.000109000001</v>
      </c>
      <c r="L138" s="17">
        <f t="shared" si="23"/>
        <v>9.5225162500262098E-2</v>
      </c>
      <c r="M138" s="9">
        <v>18</v>
      </c>
      <c r="N138" s="9">
        <v>4472.9999909999997</v>
      </c>
      <c r="O138" s="18">
        <f t="shared" si="24"/>
        <v>1.5377528045434683E-2</v>
      </c>
    </row>
    <row r="139" spans="1:15" ht="14" x14ac:dyDescent="0.2">
      <c r="A139" s="1" t="s">
        <v>138</v>
      </c>
      <c r="B139" s="35" t="s">
        <v>310</v>
      </c>
      <c r="C139" s="25">
        <v>822</v>
      </c>
      <c r="D139" s="21">
        <v>188162.000539</v>
      </c>
      <c r="E139" s="20">
        <f t="shared" si="20"/>
        <v>109705.00047600002</v>
      </c>
      <c r="F139" s="24">
        <f t="shared" si="21"/>
        <v>0.58303483254718935</v>
      </c>
      <c r="G139" s="12">
        <v>383</v>
      </c>
      <c r="H139" s="12">
        <v>91135.000316000005</v>
      </c>
      <c r="I139" s="13">
        <f t="shared" si="22"/>
        <v>0.48434327895610685</v>
      </c>
      <c r="J139" s="4">
        <v>73</v>
      </c>
      <c r="K139" s="4">
        <v>16052.000110000001</v>
      </c>
      <c r="L139" s="17">
        <f t="shared" si="23"/>
        <v>8.5309467714087844E-2</v>
      </c>
      <c r="M139" s="9">
        <v>10</v>
      </c>
      <c r="N139" s="9">
        <v>2518.0000500000001</v>
      </c>
      <c r="O139" s="18">
        <f t="shared" si="24"/>
        <v>1.3382085876994588E-2</v>
      </c>
    </row>
    <row r="140" spans="1:15" ht="14" x14ac:dyDescent="0.2">
      <c r="A140" s="1" t="s">
        <v>139</v>
      </c>
      <c r="B140" s="35" t="s">
        <v>212</v>
      </c>
      <c r="C140" s="25">
        <v>1483</v>
      </c>
      <c r="D140" s="21">
        <v>300206.00101299997</v>
      </c>
      <c r="E140" s="20">
        <f t="shared" si="20"/>
        <v>228887.000994</v>
      </c>
      <c r="F140" s="24">
        <f t="shared" si="21"/>
        <v>0.76243312998959134</v>
      </c>
      <c r="G140" s="12">
        <v>1056</v>
      </c>
      <c r="H140" s="12">
        <v>205090.000921</v>
      </c>
      <c r="I140" s="13">
        <f t="shared" si="22"/>
        <v>0.68316422799329346</v>
      </c>
      <c r="J140" s="4">
        <v>114</v>
      </c>
      <c r="K140" s="4">
        <v>22014.000081999999</v>
      </c>
      <c r="L140" s="17">
        <f t="shared" si="23"/>
        <v>7.3329647001449227E-2</v>
      </c>
      <c r="M140" s="9">
        <v>9</v>
      </c>
      <c r="N140" s="9">
        <v>1782.9999909999999</v>
      </c>
      <c r="O140" s="18">
        <f t="shared" si="24"/>
        <v>5.9392549948486528E-3</v>
      </c>
    </row>
    <row r="141" spans="1:15" ht="14" x14ac:dyDescent="0.2">
      <c r="A141" s="1" t="s">
        <v>140</v>
      </c>
      <c r="B141" s="35" t="s">
        <v>214</v>
      </c>
      <c r="C141" s="25">
        <v>1520</v>
      </c>
      <c r="D141" s="21">
        <v>356753.00090099999</v>
      </c>
      <c r="E141" s="20">
        <f t="shared" si="20"/>
        <v>335567.00098299998</v>
      </c>
      <c r="F141" s="24">
        <f t="shared" si="21"/>
        <v>0.94061437503120204</v>
      </c>
      <c r="G141" s="12">
        <v>1309</v>
      </c>
      <c r="H141" s="12">
        <v>305222.00099899998</v>
      </c>
      <c r="I141" s="13">
        <f t="shared" si="22"/>
        <v>0.85555552504994903</v>
      </c>
      <c r="J141" s="4">
        <v>104</v>
      </c>
      <c r="K141" s="4">
        <v>27127.999939000001</v>
      </c>
      <c r="L141" s="17">
        <f t="shared" si="23"/>
        <v>7.6041406436628975E-2</v>
      </c>
      <c r="M141" s="9">
        <v>17</v>
      </c>
      <c r="N141" s="9">
        <v>3217.0000449999998</v>
      </c>
      <c r="O141" s="18">
        <f t="shared" si="24"/>
        <v>9.0174435446241045E-3</v>
      </c>
    </row>
    <row r="142" spans="1:15" ht="14" x14ac:dyDescent="0.2">
      <c r="A142" s="1" t="s">
        <v>141</v>
      </c>
      <c r="B142" s="35" t="s">
        <v>263</v>
      </c>
      <c r="C142" s="25">
        <v>1011</v>
      </c>
      <c r="D142" s="21">
        <v>226502.000718</v>
      </c>
      <c r="E142" s="20">
        <f t="shared" si="20"/>
        <v>108795.00057300001</v>
      </c>
      <c r="F142" s="24">
        <f t="shared" si="21"/>
        <v>0.4803268855379878</v>
      </c>
      <c r="G142" s="12">
        <v>359</v>
      </c>
      <c r="H142" s="12">
        <v>89921.000537</v>
      </c>
      <c r="I142" s="13">
        <f t="shared" si="22"/>
        <v>0.39699870311059032</v>
      </c>
      <c r="J142" s="4">
        <v>62</v>
      </c>
      <c r="K142" s="4">
        <v>17329.000017999999</v>
      </c>
      <c r="L142" s="17">
        <f t="shared" si="23"/>
        <v>7.6507050547314978E-2</v>
      </c>
      <c r="M142" s="9">
        <v>17</v>
      </c>
      <c r="N142" s="9">
        <v>1545.000018</v>
      </c>
      <c r="O142" s="18">
        <f t="shared" si="24"/>
        <v>6.8211318800824152E-3</v>
      </c>
    </row>
    <row r="143" spans="1:15" ht="14" x14ac:dyDescent="0.2">
      <c r="A143" s="1" t="s">
        <v>142</v>
      </c>
      <c r="B143" s="35" t="s">
        <v>262</v>
      </c>
      <c r="C143" s="25">
        <v>935</v>
      </c>
      <c r="D143" s="21">
        <v>251457.00068200001</v>
      </c>
      <c r="E143" s="20">
        <f t="shared" si="20"/>
        <v>142505.00043900002</v>
      </c>
      <c r="F143" s="24">
        <f t="shared" si="21"/>
        <v>0.56671717252849951</v>
      </c>
      <c r="G143" s="12">
        <v>373</v>
      </c>
      <c r="H143" s="12">
        <v>112890.000422</v>
      </c>
      <c r="I143" s="13">
        <f t="shared" si="22"/>
        <v>0.44894355741069242</v>
      </c>
      <c r="J143" s="4">
        <v>99</v>
      </c>
      <c r="K143" s="4">
        <v>27342</v>
      </c>
      <c r="L143" s="17">
        <f t="shared" si="23"/>
        <v>0.10873429622497369</v>
      </c>
      <c r="M143" s="9">
        <v>10</v>
      </c>
      <c r="N143" s="9">
        <v>2273.0000169999998</v>
      </c>
      <c r="O143" s="18">
        <f t="shared" si="24"/>
        <v>9.0393188928333049E-3</v>
      </c>
    </row>
    <row r="144" spans="1:15" ht="14" x14ac:dyDescent="0.2">
      <c r="A144" s="1" t="s">
        <v>143</v>
      </c>
      <c r="B144" s="35" t="s">
        <v>358</v>
      </c>
      <c r="C144" s="25">
        <v>988</v>
      </c>
      <c r="D144" s="21">
        <v>225833.00083800001</v>
      </c>
      <c r="E144" s="20">
        <f t="shared" si="20"/>
        <v>96324.000252999991</v>
      </c>
      <c r="F144" s="24">
        <f t="shared" si="21"/>
        <v>0.4265275663679351</v>
      </c>
      <c r="G144" s="12">
        <v>343</v>
      </c>
      <c r="H144" s="12">
        <v>82868.000119999997</v>
      </c>
      <c r="I144" s="13">
        <f t="shared" si="22"/>
        <v>0.36694371421581951</v>
      </c>
      <c r="J144" s="4">
        <v>48</v>
      </c>
      <c r="K144" s="4">
        <v>10606.000109000001</v>
      </c>
      <c r="L144" s="17">
        <f t="shared" si="23"/>
        <v>4.6963907266184504E-2</v>
      </c>
      <c r="M144" s="9">
        <v>15</v>
      </c>
      <c r="N144" s="9">
        <v>2850.0000239999999</v>
      </c>
      <c r="O144" s="18">
        <f t="shared" si="24"/>
        <v>1.2619944885931135E-2</v>
      </c>
    </row>
    <row r="145" spans="1:15" ht="14" x14ac:dyDescent="0.2">
      <c r="A145" s="1" t="s">
        <v>144</v>
      </c>
      <c r="B145" s="35" t="s">
        <v>339</v>
      </c>
      <c r="C145" s="25">
        <v>1003</v>
      </c>
      <c r="D145" s="21">
        <v>207601.00083100001</v>
      </c>
      <c r="E145" s="20">
        <f t="shared" si="20"/>
        <v>190589.00083100001</v>
      </c>
      <c r="F145" s="24">
        <f t="shared" si="21"/>
        <v>0.91805434496026916</v>
      </c>
      <c r="G145" s="12">
        <v>829</v>
      </c>
      <c r="H145" s="12">
        <v>171075.000688</v>
      </c>
      <c r="I145" s="13">
        <f t="shared" si="22"/>
        <v>0.82405672421235376</v>
      </c>
      <c r="J145" s="4">
        <v>89</v>
      </c>
      <c r="K145" s="4">
        <v>17958.000114999999</v>
      </c>
      <c r="L145" s="17">
        <f t="shared" si="23"/>
        <v>8.6502473702518012E-2</v>
      </c>
      <c r="M145" s="9">
        <v>10</v>
      </c>
      <c r="N145" s="9">
        <v>1556.0000279999999</v>
      </c>
      <c r="O145" s="18">
        <f t="shared" si="24"/>
        <v>7.4951470453973375E-3</v>
      </c>
    </row>
    <row r="146" spans="1:15" ht="14" x14ac:dyDescent="0.2">
      <c r="A146" s="1" t="s">
        <v>145</v>
      </c>
      <c r="B146" s="35" t="s">
        <v>244</v>
      </c>
      <c r="C146" s="25">
        <v>640</v>
      </c>
      <c r="D146" s="21">
        <v>163446.000616</v>
      </c>
      <c r="E146" s="20">
        <f t="shared" si="20"/>
        <v>95784.000610000003</v>
      </c>
      <c r="F146" s="24">
        <f t="shared" si="21"/>
        <v>0.58602841457733135</v>
      </c>
      <c r="G146" s="12">
        <v>315</v>
      </c>
      <c r="H146" s="12">
        <v>80553.000528999997</v>
      </c>
      <c r="I146" s="13">
        <f t="shared" si="22"/>
        <v>0.49284167385809091</v>
      </c>
      <c r="J146" s="4">
        <v>47</v>
      </c>
      <c r="K146" s="4">
        <v>14376.00006</v>
      </c>
      <c r="L146" s="17">
        <f t="shared" si="23"/>
        <v>8.7955655114345513E-2</v>
      </c>
      <c r="M146" s="9">
        <v>5</v>
      </c>
      <c r="N146" s="9">
        <v>855.00002099999995</v>
      </c>
      <c r="O146" s="18">
        <f t="shared" si="24"/>
        <v>5.2310856048948962E-3</v>
      </c>
    </row>
    <row r="147" spans="1:15" ht="14" x14ac:dyDescent="0.2">
      <c r="A147" s="1" t="s">
        <v>146</v>
      </c>
      <c r="B147" s="35" t="s">
        <v>236</v>
      </c>
      <c r="C147" s="25">
        <v>967</v>
      </c>
      <c r="D147" s="21">
        <v>267992.00089999998</v>
      </c>
      <c r="E147" s="20">
        <f t="shared" si="20"/>
        <v>133513.000493</v>
      </c>
      <c r="F147" s="24">
        <f t="shared" si="21"/>
        <v>0.49819770756075582</v>
      </c>
      <c r="G147" s="12">
        <v>391</v>
      </c>
      <c r="H147" s="12">
        <v>108470.000332</v>
      </c>
      <c r="I147" s="13">
        <f t="shared" si="22"/>
        <v>0.40475088796577585</v>
      </c>
      <c r="J147" s="4">
        <v>77</v>
      </c>
      <c r="K147" s="4">
        <v>21406.000102000002</v>
      </c>
      <c r="L147" s="17">
        <f t="shared" si="23"/>
        <v>7.9875518784560867E-2</v>
      </c>
      <c r="M147" s="9">
        <v>13</v>
      </c>
      <c r="N147" s="9">
        <v>3637.000059</v>
      </c>
      <c r="O147" s="18">
        <f t="shared" si="24"/>
        <v>1.3571300810419077E-2</v>
      </c>
    </row>
    <row r="148" spans="1:15" ht="14" x14ac:dyDescent="0.2">
      <c r="A148" s="1" t="s">
        <v>147</v>
      </c>
      <c r="B148" s="35" t="s">
        <v>261</v>
      </c>
      <c r="C148" s="25">
        <v>998</v>
      </c>
      <c r="D148" s="21">
        <v>281253.00102199998</v>
      </c>
      <c r="E148" s="20">
        <f t="shared" si="20"/>
        <v>131954.00022700001</v>
      </c>
      <c r="F148" s="24">
        <f t="shared" si="21"/>
        <v>0.4691647724558089</v>
      </c>
      <c r="G148" s="12">
        <v>398</v>
      </c>
      <c r="H148" s="12">
        <v>116994.000181</v>
      </c>
      <c r="I148" s="13">
        <f t="shared" si="22"/>
        <v>0.41597422874022444</v>
      </c>
      <c r="J148" s="4">
        <v>42</v>
      </c>
      <c r="K148" s="4">
        <v>11612.000051999999</v>
      </c>
      <c r="L148" s="17">
        <f t="shared" si="23"/>
        <v>4.1286670754818698E-2</v>
      </c>
      <c r="M148" s="9">
        <v>13</v>
      </c>
      <c r="N148" s="9">
        <v>3347.9999939999998</v>
      </c>
      <c r="O148" s="18">
        <f t="shared" si="24"/>
        <v>1.1903872960765723E-2</v>
      </c>
    </row>
    <row r="149" spans="1:15" ht="14" x14ac:dyDescent="0.2">
      <c r="A149" s="1" t="s">
        <v>148</v>
      </c>
      <c r="B149" s="35" t="s">
        <v>331</v>
      </c>
      <c r="C149" s="25">
        <v>1043</v>
      </c>
      <c r="D149" s="21">
        <v>280204.00109600002</v>
      </c>
      <c r="E149" s="20">
        <f t="shared" si="20"/>
        <v>237812.000894</v>
      </c>
      <c r="F149" s="24">
        <f t="shared" si="21"/>
        <v>0.84871022527806017</v>
      </c>
      <c r="G149" s="12">
        <v>817</v>
      </c>
      <c r="H149" s="12">
        <v>210017.000803</v>
      </c>
      <c r="I149" s="13">
        <f t="shared" si="22"/>
        <v>0.74951463926828998</v>
      </c>
      <c r="J149" s="4">
        <v>75</v>
      </c>
      <c r="K149" s="4">
        <v>22096.000136999999</v>
      </c>
      <c r="L149" s="17">
        <f t="shared" si="23"/>
        <v>7.8856833059388551E-2</v>
      </c>
      <c r="M149" s="9">
        <v>26</v>
      </c>
      <c r="N149" s="9">
        <v>5698.9999539999999</v>
      </c>
      <c r="O149" s="18">
        <f t="shared" si="24"/>
        <v>2.0338752950381601E-2</v>
      </c>
    </row>
    <row r="150" spans="1:15" ht="14" x14ac:dyDescent="0.2">
      <c r="A150" s="1" t="s">
        <v>149</v>
      </c>
      <c r="B150" s="35" t="s">
        <v>327</v>
      </c>
      <c r="C150" s="25">
        <v>1078</v>
      </c>
      <c r="D150" s="21">
        <v>283083.00091599999</v>
      </c>
      <c r="E150" s="20">
        <f t="shared" si="20"/>
        <v>253232.000696</v>
      </c>
      <c r="F150" s="24">
        <f t="shared" si="21"/>
        <v>0.89455036111879516</v>
      </c>
      <c r="G150" s="12">
        <v>882</v>
      </c>
      <c r="H150" s="12">
        <v>226803.00060999999</v>
      </c>
      <c r="I150" s="13">
        <f t="shared" si="22"/>
        <v>0.80118905012350028</v>
      </c>
      <c r="J150" s="4">
        <v>84</v>
      </c>
      <c r="K150" s="4">
        <v>23006.000109000001</v>
      </c>
      <c r="L150" s="17">
        <f t="shared" si="23"/>
        <v>8.1269451131142395E-2</v>
      </c>
      <c r="M150" s="9">
        <v>15</v>
      </c>
      <c r="N150" s="9">
        <v>3422.9999769999999</v>
      </c>
      <c r="O150" s="18">
        <f t="shared" si="24"/>
        <v>1.2091859864152409E-2</v>
      </c>
    </row>
    <row r="151" spans="1:15" ht="14" x14ac:dyDescent="0.2">
      <c r="A151" s="1" t="s">
        <v>150</v>
      </c>
      <c r="B151" s="35" t="s">
        <v>334</v>
      </c>
      <c r="C151" s="25">
        <v>813</v>
      </c>
      <c r="D151" s="21">
        <v>183516.00070199999</v>
      </c>
      <c r="E151" s="20">
        <f t="shared" si="20"/>
        <v>103963.000296</v>
      </c>
      <c r="F151" s="24">
        <f t="shared" si="21"/>
        <v>0.56650646209765065</v>
      </c>
      <c r="G151" s="12">
        <v>379</v>
      </c>
      <c r="H151" s="12">
        <v>81532.000081999999</v>
      </c>
      <c r="I151" s="13">
        <f t="shared" si="22"/>
        <v>0.44427733696308391</v>
      </c>
      <c r="J151" s="4">
        <v>79</v>
      </c>
      <c r="K151" s="4">
        <v>19148.000164000001</v>
      </c>
      <c r="L151" s="17">
        <f t="shared" si="23"/>
        <v>0.10433967659906247</v>
      </c>
      <c r="M151" s="9">
        <v>20</v>
      </c>
      <c r="N151" s="9">
        <v>3283.0000500000001</v>
      </c>
      <c r="O151" s="18">
        <f t="shared" si="24"/>
        <v>1.7889448535504303E-2</v>
      </c>
    </row>
    <row r="152" spans="1:15" ht="14" x14ac:dyDescent="0.2">
      <c r="A152" s="1" t="s">
        <v>151</v>
      </c>
      <c r="B152" s="35" t="s">
        <v>254</v>
      </c>
      <c r="C152" s="25">
        <v>972</v>
      </c>
      <c r="D152" s="21">
        <v>242502.00063200001</v>
      </c>
      <c r="E152" s="20">
        <f t="shared" si="20"/>
        <v>148811.00050100003</v>
      </c>
      <c r="F152" s="24">
        <f t="shared" si="21"/>
        <v>0.61364854769517008</v>
      </c>
      <c r="G152" s="12">
        <v>491</v>
      </c>
      <c r="H152" s="12">
        <v>119608.000415</v>
      </c>
      <c r="I152" s="13">
        <f t="shared" si="22"/>
        <v>0.49322479857189599</v>
      </c>
      <c r="J152" s="4">
        <v>91</v>
      </c>
      <c r="K152" s="4">
        <v>27015.000023000001</v>
      </c>
      <c r="L152" s="17">
        <f t="shared" si="23"/>
        <v>0.11140114288787094</v>
      </c>
      <c r="M152" s="9">
        <v>10</v>
      </c>
      <c r="N152" s="9">
        <v>2188.000063</v>
      </c>
      <c r="O152" s="18">
        <f t="shared" si="24"/>
        <v>9.0226062354030589E-3</v>
      </c>
    </row>
    <row r="153" spans="1:15" ht="14" x14ac:dyDescent="0.2">
      <c r="A153" s="1" t="s">
        <v>152</v>
      </c>
      <c r="B153" s="35" t="s">
        <v>231</v>
      </c>
      <c r="C153" s="25">
        <v>945</v>
      </c>
      <c r="D153" s="21">
        <v>222618.00086900001</v>
      </c>
      <c r="E153" s="20">
        <f t="shared" si="20"/>
        <v>123594.00044</v>
      </c>
      <c r="F153" s="24">
        <f t="shared" si="21"/>
        <v>0.55518421671897566</v>
      </c>
      <c r="G153" s="12">
        <v>421</v>
      </c>
      <c r="H153" s="12">
        <v>101700.00039</v>
      </c>
      <c r="I153" s="13">
        <f t="shared" si="22"/>
        <v>0.4568363743857603</v>
      </c>
      <c r="J153" s="4">
        <v>78</v>
      </c>
      <c r="K153" s="4">
        <v>18830.999997999999</v>
      </c>
      <c r="L153" s="17">
        <f t="shared" si="23"/>
        <v>8.4588846923843941E-2</v>
      </c>
      <c r="M153" s="9">
        <v>14</v>
      </c>
      <c r="N153" s="9">
        <v>3063.0000519999999</v>
      </c>
      <c r="O153" s="18">
        <f t="shared" si="24"/>
        <v>1.3758995409371358E-2</v>
      </c>
    </row>
    <row r="154" spans="1:15" ht="14" x14ac:dyDescent="0.2">
      <c r="A154" s="1" t="s">
        <v>153</v>
      </c>
      <c r="B154" s="35" t="s">
        <v>303</v>
      </c>
      <c r="C154" s="25">
        <v>742</v>
      </c>
      <c r="D154" s="21">
        <v>205952.00081600001</v>
      </c>
      <c r="E154" s="20">
        <f t="shared" si="20"/>
        <v>110940.00026299999</v>
      </c>
      <c r="F154" s="24">
        <f t="shared" si="21"/>
        <v>0.53866920361757065</v>
      </c>
      <c r="G154" s="12">
        <v>327</v>
      </c>
      <c r="H154" s="12">
        <v>93525.000249999997</v>
      </c>
      <c r="I154" s="13">
        <f t="shared" si="22"/>
        <v>0.45411066597773114</v>
      </c>
      <c r="J154" s="4">
        <v>63</v>
      </c>
      <c r="K154" s="4">
        <v>14621.999963</v>
      </c>
      <c r="L154" s="17">
        <f t="shared" si="23"/>
        <v>7.0997125082865639E-2</v>
      </c>
      <c r="M154" s="9">
        <v>15</v>
      </c>
      <c r="N154" s="9">
        <v>2793.0000500000001</v>
      </c>
      <c r="O154" s="18">
        <f t="shared" si="24"/>
        <v>1.3561412556973892E-2</v>
      </c>
    </row>
    <row r="155" spans="1:15" ht="14" x14ac:dyDescent="0.2">
      <c r="A155" s="1" t="s">
        <v>154</v>
      </c>
      <c r="B155" s="35" t="s">
        <v>235</v>
      </c>
      <c r="C155" s="25">
        <v>977</v>
      </c>
      <c r="D155" s="21">
        <v>205311.00038300001</v>
      </c>
      <c r="E155" s="20">
        <f t="shared" si="20"/>
        <v>114568.00009999999</v>
      </c>
      <c r="F155" s="24">
        <f t="shared" si="21"/>
        <v>0.55802173232938157</v>
      </c>
      <c r="G155" s="12">
        <v>421</v>
      </c>
      <c r="H155" s="12">
        <v>92886.000004999994</v>
      </c>
      <c r="I155" s="13">
        <f t="shared" si="22"/>
        <v>0.45241608989155296</v>
      </c>
      <c r="J155" s="4">
        <v>75</v>
      </c>
      <c r="K155" s="4">
        <v>19610.000114999999</v>
      </c>
      <c r="L155" s="17">
        <f t="shared" si="23"/>
        <v>9.5513635793592525E-2</v>
      </c>
      <c r="M155" s="9">
        <v>9</v>
      </c>
      <c r="N155" s="9">
        <v>2071.9999800000001</v>
      </c>
      <c r="O155" s="18">
        <f t="shared" si="24"/>
        <v>1.0092006644236116E-2</v>
      </c>
    </row>
    <row r="156" spans="1:15" ht="14" x14ac:dyDescent="0.2">
      <c r="A156" s="1" t="s">
        <v>155</v>
      </c>
      <c r="B156" s="35" t="s">
        <v>234</v>
      </c>
      <c r="C156" s="25">
        <v>1449</v>
      </c>
      <c r="D156" s="21">
        <v>323934.00063899998</v>
      </c>
      <c r="E156" s="20">
        <f t="shared" si="20"/>
        <v>154342.00046499999</v>
      </c>
      <c r="F156" s="24">
        <f t="shared" si="21"/>
        <v>0.47646125494866626</v>
      </c>
      <c r="G156" s="12">
        <v>548</v>
      </c>
      <c r="H156" s="12">
        <v>128467.000287</v>
      </c>
      <c r="I156" s="13">
        <f t="shared" si="22"/>
        <v>0.39658387212698548</v>
      </c>
      <c r="J156" s="4">
        <v>114</v>
      </c>
      <c r="K156" s="4">
        <v>24730.000177999998</v>
      </c>
      <c r="L156" s="17">
        <f t="shared" si="23"/>
        <v>7.6342712185868133E-2</v>
      </c>
      <c r="M156" s="9">
        <v>8</v>
      </c>
      <c r="N156" s="9">
        <v>1145</v>
      </c>
      <c r="O156" s="18">
        <f t="shared" si="24"/>
        <v>3.5346706358126826E-3</v>
      </c>
    </row>
    <row r="157" spans="1:15" ht="14" x14ac:dyDescent="0.2">
      <c r="A157" s="1" t="s">
        <v>156</v>
      </c>
      <c r="B157" s="35" t="s">
        <v>326</v>
      </c>
      <c r="C157" s="25">
        <v>721</v>
      </c>
      <c r="D157" s="21">
        <v>207152.00069300001</v>
      </c>
      <c r="E157" s="20">
        <f t="shared" si="20"/>
        <v>117405.000325</v>
      </c>
      <c r="F157" s="24">
        <f t="shared" si="21"/>
        <v>0.56675774277939328</v>
      </c>
      <c r="G157" s="12">
        <v>348</v>
      </c>
      <c r="H157" s="12">
        <v>100872.000269</v>
      </c>
      <c r="I157" s="13">
        <f t="shared" si="22"/>
        <v>0.48694678270808811</v>
      </c>
      <c r="J157" s="4">
        <v>53</v>
      </c>
      <c r="K157" s="4">
        <v>15026.000013999999</v>
      </c>
      <c r="L157" s="17">
        <f t="shared" si="23"/>
        <v>7.253610857598515E-2</v>
      </c>
      <c r="M157" s="9">
        <v>5</v>
      </c>
      <c r="N157" s="9">
        <v>1507.0000419999999</v>
      </c>
      <c r="O157" s="18">
        <f t="shared" si="24"/>
        <v>7.2748514953199957E-3</v>
      </c>
    </row>
    <row r="158" spans="1:15" ht="14" x14ac:dyDescent="0.2">
      <c r="A158" s="1" t="s">
        <v>157</v>
      </c>
      <c r="B158" s="35" t="s">
        <v>226</v>
      </c>
      <c r="C158" s="25">
        <v>1366</v>
      </c>
      <c r="D158" s="21">
        <v>304544.00115999999</v>
      </c>
      <c r="E158" s="20">
        <f t="shared" si="20"/>
        <v>288925.00116700004</v>
      </c>
      <c r="F158" s="24">
        <f t="shared" si="21"/>
        <v>0.94871348661110511</v>
      </c>
      <c r="G158" s="12">
        <v>1136</v>
      </c>
      <c r="H158" s="12">
        <v>251036.00092300001</v>
      </c>
      <c r="I158" s="13">
        <f t="shared" si="22"/>
        <v>0.82430125028505097</v>
      </c>
      <c r="J158" s="4">
        <v>147</v>
      </c>
      <c r="K158" s="4">
        <v>34433.000228999997</v>
      </c>
      <c r="L158" s="17">
        <f t="shared" si="23"/>
        <v>0.11306412241858523</v>
      </c>
      <c r="M158" s="9">
        <v>16</v>
      </c>
      <c r="N158" s="9">
        <v>3456.0000150000001</v>
      </c>
      <c r="O158" s="18">
        <f t="shared" si="24"/>
        <v>1.1348113907468833E-2</v>
      </c>
    </row>
    <row r="159" spans="1:15" ht="14" x14ac:dyDescent="0.2">
      <c r="A159" s="1" t="s">
        <v>158</v>
      </c>
      <c r="B159" s="35" t="s">
        <v>298</v>
      </c>
      <c r="C159" s="25">
        <v>1124</v>
      </c>
      <c r="D159" s="21">
        <v>289540.00034999999</v>
      </c>
      <c r="E159" s="20">
        <f t="shared" si="20"/>
        <v>267420.00021600001</v>
      </c>
      <c r="F159" s="24">
        <f t="shared" si="21"/>
        <v>0.92360295604316844</v>
      </c>
      <c r="G159" s="12">
        <v>965</v>
      </c>
      <c r="H159" s="12">
        <v>240761.000226</v>
      </c>
      <c r="I159" s="13">
        <f t="shared" si="22"/>
        <v>0.83152932214880415</v>
      </c>
      <c r="J159" s="4">
        <v>86</v>
      </c>
      <c r="K159" s="4">
        <v>24274.999995999999</v>
      </c>
      <c r="L159" s="17">
        <f t="shared" si="23"/>
        <v>8.3839883838696005E-2</v>
      </c>
      <c r="M159" s="9">
        <v>10</v>
      </c>
      <c r="N159" s="9">
        <v>2383.9999939999998</v>
      </c>
      <c r="O159" s="18">
        <f t="shared" si="24"/>
        <v>8.2337500556682579E-3</v>
      </c>
    </row>
    <row r="160" spans="1:15" ht="14" x14ac:dyDescent="0.2">
      <c r="A160" s="1" t="s">
        <v>159</v>
      </c>
      <c r="B160" s="35" t="s">
        <v>253</v>
      </c>
      <c r="C160" s="25">
        <v>490</v>
      </c>
      <c r="D160" s="21">
        <v>125140.000958</v>
      </c>
      <c r="E160" s="20">
        <f t="shared" si="20"/>
        <v>74096.000603000008</v>
      </c>
      <c r="F160" s="24">
        <f t="shared" si="21"/>
        <v>0.59210484286210296</v>
      </c>
      <c r="G160" s="12">
        <v>253</v>
      </c>
      <c r="H160" s="12">
        <v>62692.000505000004</v>
      </c>
      <c r="I160" s="13">
        <f t="shared" si="22"/>
        <v>0.50097490830322866</v>
      </c>
      <c r="J160" s="4">
        <v>34</v>
      </c>
      <c r="K160" s="4">
        <v>8701.0000569999993</v>
      </c>
      <c r="L160" s="17">
        <f t="shared" si="23"/>
        <v>6.9530126181797491E-2</v>
      </c>
      <c r="M160" s="9">
        <v>9</v>
      </c>
      <c r="N160" s="9">
        <v>2703.0000409999998</v>
      </c>
      <c r="O160" s="18">
        <f t="shared" si="24"/>
        <v>2.1599808377076739E-2</v>
      </c>
    </row>
    <row r="161" spans="1:15" ht="14" x14ac:dyDescent="0.2">
      <c r="A161" s="1" t="s">
        <v>160</v>
      </c>
      <c r="B161" s="35" t="s">
        <v>403</v>
      </c>
      <c r="C161" s="25">
        <v>1068</v>
      </c>
      <c r="D161" s="21">
        <v>242182.000695</v>
      </c>
      <c r="E161" s="20">
        <f t="shared" si="20"/>
        <v>228578.00060600002</v>
      </c>
      <c r="F161" s="24">
        <f t="shared" si="21"/>
        <v>0.94382736929268074</v>
      </c>
      <c r="G161" s="12">
        <v>863</v>
      </c>
      <c r="H161" s="12">
        <v>199968.00070100001</v>
      </c>
      <c r="I161" s="13">
        <f t="shared" si="22"/>
        <v>0.82569307432898953</v>
      </c>
      <c r="J161" s="4">
        <v>105</v>
      </c>
      <c r="K161" s="4">
        <v>22745.999876000002</v>
      </c>
      <c r="L161" s="17">
        <f t="shared" si="23"/>
        <v>9.3921099878293335E-2</v>
      </c>
      <c r="M161" s="9">
        <v>26</v>
      </c>
      <c r="N161" s="9">
        <v>5864.0000289999998</v>
      </c>
      <c r="O161" s="18">
        <f t="shared" si="24"/>
        <v>2.421319508539788E-2</v>
      </c>
    </row>
    <row r="162" spans="1:15" ht="14" x14ac:dyDescent="0.2">
      <c r="A162" s="1" t="s">
        <v>161</v>
      </c>
      <c r="B162" s="35" t="s">
        <v>350</v>
      </c>
      <c r="C162" s="25">
        <v>739</v>
      </c>
      <c r="D162" s="21">
        <v>197451.00042299999</v>
      </c>
      <c r="E162" s="20">
        <f t="shared" ref="E162:E198" si="25">H162+K162+N162</f>
        <v>114437.00006600001</v>
      </c>
      <c r="F162" s="24">
        <f t="shared" ref="F162:F193" si="26">E162/D162</f>
        <v>0.57957163965156522</v>
      </c>
      <c r="G162" s="12">
        <v>336</v>
      </c>
      <c r="H162" s="12">
        <v>93268.000207000005</v>
      </c>
      <c r="I162" s="13">
        <f t="shared" ref="I162:I193" si="27">H162/D162</f>
        <v>0.47236023118237758</v>
      </c>
      <c r="J162" s="4">
        <v>64</v>
      </c>
      <c r="K162" s="4">
        <v>19051.999865999998</v>
      </c>
      <c r="L162" s="17">
        <f t="shared" ref="L162:L193" si="28">K162/D162</f>
        <v>9.6489761131545698E-2</v>
      </c>
      <c r="M162" s="9">
        <v>10</v>
      </c>
      <c r="N162" s="9">
        <v>2116.9999929999999</v>
      </c>
      <c r="O162" s="18">
        <f t="shared" ref="O162:O193" si="29">N162/D162</f>
        <v>1.0721647337641962E-2</v>
      </c>
    </row>
    <row r="163" spans="1:15" ht="14" x14ac:dyDescent="0.2">
      <c r="A163" s="1" t="s">
        <v>162</v>
      </c>
      <c r="B163" s="35" t="s">
        <v>278</v>
      </c>
      <c r="C163" s="25">
        <v>735</v>
      </c>
      <c r="D163" s="21">
        <v>211942.000723</v>
      </c>
      <c r="E163" s="20">
        <f t="shared" si="25"/>
        <v>97820.000285000002</v>
      </c>
      <c r="F163" s="24">
        <f t="shared" si="26"/>
        <v>0.4615413648606958</v>
      </c>
      <c r="G163" s="12">
        <v>281</v>
      </c>
      <c r="H163" s="12">
        <v>81155.000195000001</v>
      </c>
      <c r="I163" s="13">
        <f t="shared" si="27"/>
        <v>0.38291136215641586</v>
      </c>
      <c r="J163" s="4">
        <v>58</v>
      </c>
      <c r="K163" s="4">
        <v>15513.000103</v>
      </c>
      <c r="L163" s="17">
        <f t="shared" si="28"/>
        <v>7.3194553463118858E-2</v>
      </c>
      <c r="M163" s="9">
        <v>8</v>
      </c>
      <c r="N163" s="9">
        <v>1151.9999869999999</v>
      </c>
      <c r="O163" s="18">
        <f t="shared" si="29"/>
        <v>5.4354492411611199E-3</v>
      </c>
    </row>
    <row r="164" spans="1:15" ht="14" x14ac:dyDescent="0.2">
      <c r="A164" s="1" t="s">
        <v>163</v>
      </c>
      <c r="B164" s="35" t="s">
        <v>222</v>
      </c>
      <c r="C164" s="25">
        <v>1054</v>
      </c>
      <c r="D164" s="21">
        <v>247290.00090300001</v>
      </c>
      <c r="E164" s="20">
        <f t="shared" si="25"/>
        <v>140350.000528</v>
      </c>
      <c r="F164" s="24">
        <f t="shared" si="26"/>
        <v>0.5675522666322953</v>
      </c>
      <c r="G164" s="12">
        <v>508</v>
      </c>
      <c r="H164" s="12">
        <v>122917.00046</v>
      </c>
      <c r="I164" s="13">
        <f t="shared" si="27"/>
        <v>0.49705608803897589</v>
      </c>
      <c r="J164" s="4">
        <v>53</v>
      </c>
      <c r="K164" s="4">
        <v>14722.000040000001</v>
      </c>
      <c r="L164" s="17">
        <f t="shared" si="28"/>
        <v>5.9533341365366144E-2</v>
      </c>
      <c r="M164" s="9">
        <v>14</v>
      </c>
      <c r="N164" s="9">
        <v>2711.0000279999999</v>
      </c>
      <c r="O164" s="18">
        <f t="shared" si="29"/>
        <v>1.0962837227953244E-2</v>
      </c>
    </row>
    <row r="165" spans="1:15" ht="14" x14ac:dyDescent="0.2">
      <c r="A165" s="1" t="s">
        <v>164</v>
      </c>
      <c r="B165" s="35" t="s">
        <v>218</v>
      </c>
      <c r="C165" s="25">
        <v>965</v>
      </c>
      <c r="D165" s="21">
        <v>206715.000486</v>
      </c>
      <c r="E165" s="20">
        <f t="shared" si="25"/>
        <v>104797.00002699999</v>
      </c>
      <c r="F165" s="24">
        <f t="shared" si="26"/>
        <v>0.50696369291350718</v>
      </c>
      <c r="G165" s="12">
        <v>405</v>
      </c>
      <c r="H165" s="12">
        <v>87699.000203999996</v>
      </c>
      <c r="I165" s="13">
        <f t="shared" si="27"/>
        <v>0.4242507800489278</v>
      </c>
      <c r="J165" s="4">
        <v>69</v>
      </c>
      <c r="K165" s="4">
        <v>15646.999877</v>
      </c>
      <c r="L165" s="17">
        <f t="shared" si="28"/>
        <v>7.5693587016969821E-2</v>
      </c>
      <c r="M165" s="9">
        <v>10</v>
      </c>
      <c r="N165" s="9">
        <v>1450.9999459999999</v>
      </c>
      <c r="O165" s="18">
        <f t="shared" si="29"/>
        <v>7.0193258476095467E-3</v>
      </c>
    </row>
    <row r="166" spans="1:15" ht="14" x14ac:dyDescent="0.2">
      <c r="A166" s="1" t="s">
        <v>165</v>
      </c>
      <c r="B166" s="35" t="s">
        <v>404</v>
      </c>
      <c r="C166" s="25">
        <v>1249</v>
      </c>
      <c r="D166" s="21">
        <v>292440.00149</v>
      </c>
      <c r="E166" s="20">
        <f t="shared" si="25"/>
        <v>273674.00144100003</v>
      </c>
      <c r="F166" s="24">
        <f t="shared" si="26"/>
        <v>0.93582957203738881</v>
      </c>
      <c r="G166" s="12">
        <v>1058</v>
      </c>
      <c r="H166" s="12">
        <v>245699.00135100001</v>
      </c>
      <c r="I166" s="13">
        <f t="shared" si="27"/>
        <v>0.84016892387890962</v>
      </c>
      <c r="J166" s="4">
        <v>98</v>
      </c>
      <c r="K166" s="4">
        <v>25989.000113999999</v>
      </c>
      <c r="L166" s="17">
        <f t="shared" si="28"/>
        <v>8.8869511631734469E-2</v>
      </c>
      <c r="M166" s="9">
        <v>9</v>
      </c>
      <c r="N166" s="9">
        <v>1985.9999760000001</v>
      </c>
      <c r="O166" s="18">
        <f t="shared" si="29"/>
        <v>6.7911365267446545E-3</v>
      </c>
    </row>
    <row r="167" spans="1:15" ht="14" x14ac:dyDescent="0.2">
      <c r="A167" s="1" t="s">
        <v>166</v>
      </c>
      <c r="B167" s="35" t="s">
        <v>248</v>
      </c>
      <c r="C167" s="25">
        <v>1022</v>
      </c>
      <c r="D167" s="21">
        <v>233427.000715</v>
      </c>
      <c r="E167" s="20">
        <f t="shared" si="25"/>
        <v>124750.000397</v>
      </c>
      <c r="F167" s="24">
        <f t="shared" si="26"/>
        <v>0.53442832240864913</v>
      </c>
      <c r="G167" s="12">
        <v>446</v>
      </c>
      <c r="H167" s="12">
        <v>103942.000375</v>
      </c>
      <c r="I167" s="13">
        <f t="shared" si="27"/>
        <v>0.44528696361868947</v>
      </c>
      <c r="J167" s="4">
        <v>72</v>
      </c>
      <c r="K167" s="4">
        <v>18501.000016999998</v>
      </c>
      <c r="L167" s="17">
        <f t="shared" si="28"/>
        <v>7.9258183330678952E-2</v>
      </c>
      <c r="M167" s="9">
        <v>7</v>
      </c>
      <c r="N167" s="9">
        <v>2307.0000049999999</v>
      </c>
      <c r="O167" s="18">
        <f t="shared" si="29"/>
        <v>9.8831754592807568E-3</v>
      </c>
    </row>
    <row r="168" spans="1:15" ht="14" x14ac:dyDescent="0.2">
      <c r="A168" s="1" t="s">
        <v>167</v>
      </c>
      <c r="B168" s="35" t="s">
        <v>216</v>
      </c>
      <c r="C168" s="25">
        <v>840</v>
      </c>
      <c r="D168" s="21">
        <v>205890.00035399999</v>
      </c>
      <c r="E168" s="20">
        <f t="shared" si="25"/>
        <v>109441.999889</v>
      </c>
      <c r="F168" s="24">
        <f t="shared" si="26"/>
        <v>0.53155568362149352</v>
      </c>
      <c r="G168" s="12">
        <v>381</v>
      </c>
      <c r="H168" s="12">
        <v>93965.999981000001</v>
      </c>
      <c r="I168" s="13">
        <f t="shared" si="27"/>
        <v>0.45638933323346537</v>
      </c>
      <c r="J168" s="4">
        <v>53</v>
      </c>
      <c r="K168" s="4">
        <v>14760.999892</v>
      </c>
      <c r="L168" s="17">
        <f t="shared" si="28"/>
        <v>7.169362216047627E-2</v>
      </c>
      <c r="M168" s="9">
        <v>5</v>
      </c>
      <c r="N168" s="9">
        <v>715.00001599999996</v>
      </c>
      <c r="O168" s="18">
        <f t="shared" si="29"/>
        <v>3.4727282275518684E-3</v>
      </c>
    </row>
    <row r="169" spans="1:15" ht="14" x14ac:dyDescent="0.2">
      <c r="A169" s="1" t="s">
        <v>168</v>
      </c>
      <c r="B169" s="35" t="s">
        <v>320</v>
      </c>
      <c r="C169" s="25">
        <v>1484</v>
      </c>
      <c r="D169" s="21">
        <v>355043.000955</v>
      </c>
      <c r="E169" s="20">
        <f t="shared" si="25"/>
        <v>249171.00083500001</v>
      </c>
      <c r="F169" s="24">
        <f t="shared" si="26"/>
        <v>0.70180513392680921</v>
      </c>
      <c r="G169" s="12">
        <v>968</v>
      </c>
      <c r="H169" s="12">
        <v>215308.00075100001</v>
      </c>
      <c r="I169" s="13">
        <f t="shared" si="27"/>
        <v>0.60642795428120344</v>
      </c>
      <c r="J169" s="4">
        <v>122</v>
      </c>
      <c r="K169" s="4">
        <v>31008.000123000002</v>
      </c>
      <c r="L169" s="17">
        <f t="shared" si="28"/>
        <v>8.7335900270091846E-2</v>
      </c>
      <c r="M169" s="9">
        <v>14</v>
      </c>
      <c r="N169" s="9">
        <v>2854.999961</v>
      </c>
      <c r="O169" s="18">
        <f t="shared" si="29"/>
        <v>8.041279375513891E-3</v>
      </c>
    </row>
    <row r="170" spans="1:15" ht="14" x14ac:dyDescent="0.2">
      <c r="A170" s="1" t="s">
        <v>169</v>
      </c>
      <c r="B170" s="35" t="s">
        <v>243</v>
      </c>
      <c r="C170" s="25">
        <v>786</v>
      </c>
      <c r="D170" s="21">
        <v>208132.000214</v>
      </c>
      <c r="E170" s="20">
        <f t="shared" si="25"/>
        <v>192557.00029500003</v>
      </c>
      <c r="F170" s="24">
        <f t="shared" si="26"/>
        <v>0.92516768251404946</v>
      </c>
      <c r="G170" s="12">
        <v>671</v>
      </c>
      <c r="H170" s="12">
        <v>172289.00027300001</v>
      </c>
      <c r="I170" s="13">
        <f t="shared" si="27"/>
        <v>0.82778717398503621</v>
      </c>
      <c r="J170" s="4">
        <v>63</v>
      </c>
      <c r="K170" s="4">
        <v>19111.000005000002</v>
      </c>
      <c r="L170" s="17">
        <f t="shared" si="28"/>
        <v>9.1821536262324838E-2</v>
      </c>
      <c r="M170" s="9">
        <v>8</v>
      </c>
      <c r="N170" s="9">
        <v>1157.0000170000001</v>
      </c>
      <c r="O170" s="18">
        <f t="shared" si="29"/>
        <v>5.5589722666883517E-3</v>
      </c>
    </row>
    <row r="171" spans="1:15" ht="14" x14ac:dyDescent="0.2">
      <c r="A171" s="1" t="s">
        <v>170</v>
      </c>
      <c r="B171" s="35" t="s">
        <v>309</v>
      </c>
      <c r="C171" s="25">
        <v>1260</v>
      </c>
      <c r="D171" s="21">
        <v>309742.001062</v>
      </c>
      <c r="E171" s="20">
        <f t="shared" si="25"/>
        <v>280004.00103799999</v>
      </c>
      <c r="F171" s="24">
        <f t="shared" si="26"/>
        <v>0.90399106378199112</v>
      </c>
      <c r="G171" s="12">
        <v>1036</v>
      </c>
      <c r="H171" s="12">
        <v>243998.00088800001</v>
      </c>
      <c r="I171" s="13">
        <f t="shared" si="27"/>
        <v>0.78774593065006948</v>
      </c>
      <c r="J171" s="4">
        <v>99</v>
      </c>
      <c r="K171" s="4">
        <v>30477.000144000001</v>
      </c>
      <c r="L171" s="17">
        <f t="shared" si="28"/>
        <v>9.839479321339932E-2</v>
      </c>
      <c r="M171" s="9">
        <v>23</v>
      </c>
      <c r="N171" s="9">
        <v>5529.0000060000002</v>
      </c>
      <c r="O171" s="18">
        <f t="shared" si="29"/>
        <v>1.7850339918522317E-2</v>
      </c>
    </row>
    <row r="172" spans="1:15" ht="14" x14ac:dyDescent="0.2">
      <c r="A172" s="1" t="s">
        <v>171</v>
      </c>
      <c r="B172" s="35" t="s">
        <v>290</v>
      </c>
      <c r="C172" s="25">
        <v>959</v>
      </c>
      <c r="D172" s="21">
        <v>253417.00079300001</v>
      </c>
      <c r="E172" s="20">
        <f t="shared" si="25"/>
        <v>133259.00017099999</v>
      </c>
      <c r="F172" s="24">
        <f t="shared" si="26"/>
        <v>0.52584869899810183</v>
      </c>
      <c r="G172" s="12">
        <v>406</v>
      </c>
      <c r="H172" s="12">
        <v>104746.000187</v>
      </c>
      <c r="I172" s="13">
        <f t="shared" si="27"/>
        <v>0.41333454290448429</v>
      </c>
      <c r="J172" s="4">
        <v>91</v>
      </c>
      <c r="K172" s="4">
        <v>24405.999948000001</v>
      </c>
      <c r="L172" s="17">
        <f t="shared" si="28"/>
        <v>9.6307666303476161E-2</v>
      </c>
      <c r="M172" s="9">
        <v>12</v>
      </c>
      <c r="N172" s="9">
        <v>4107.0000360000004</v>
      </c>
      <c r="O172" s="18">
        <f t="shared" si="29"/>
        <v>1.6206489790141363E-2</v>
      </c>
    </row>
    <row r="173" spans="1:15" ht="14" x14ac:dyDescent="0.2">
      <c r="A173" s="1" t="s">
        <v>172</v>
      </c>
      <c r="B173" s="35" t="s">
        <v>277</v>
      </c>
      <c r="C173" s="25">
        <v>1001</v>
      </c>
      <c r="D173" s="21">
        <v>232463.00058600001</v>
      </c>
      <c r="E173" s="20">
        <f t="shared" si="25"/>
        <v>137057.00035700001</v>
      </c>
      <c r="F173" s="24">
        <f t="shared" si="26"/>
        <v>0.58958629980471056</v>
      </c>
      <c r="G173" s="12">
        <v>493</v>
      </c>
      <c r="H173" s="12">
        <v>118815.000265</v>
      </c>
      <c r="I173" s="13">
        <f t="shared" si="27"/>
        <v>0.51111359642389298</v>
      </c>
      <c r="J173" s="4">
        <v>62</v>
      </c>
      <c r="K173" s="4">
        <v>14893.000040999999</v>
      </c>
      <c r="L173" s="17">
        <f t="shared" si="28"/>
        <v>6.4066109460246393E-2</v>
      </c>
      <c r="M173" s="9">
        <v>23</v>
      </c>
      <c r="N173" s="9">
        <v>3349.000051</v>
      </c>
      <c r="O173" s="18">
        <f t="shared" si="29"/>
        <v>1.440659392057117E-2</v>
      </c>
    </row>
    <row r="174" spans="1:15" ht="14" x14ac:dyDescent="0.2">
      <c r="A174" s="1" t="s">
        <v>173</v>
      </c>
      <c r="B174" s="35" t="s">
        <v>217</v>
      </c>
      <c r="C174" s="25">
        <v>1048</v>
      </c>
      <c r="D174" s="21">
        <v>223505.00057900001</v>
      </c>
      <c r="E174" s="20">
        <f t="shared" si="25"/>
        <v>121131.999901</v>
      </c>
      <c r="F174" s="24">
        <f t="shared" si="26"/>
        <v>0.54196550228049467</v>
      </c>
      <c r="G174" s="12">
        <v>433</v>
      </c>
      <c r="H174" s="12">
        <v>102551.999859</v>
      </c>
      <c r="I174" s="13">
        <f t="shared" si="27"/>
        <v>0.45883537099095911</v>
      </c>
      <c r="J174" s="4">
        <v>73</v>
      </c>
      <c r="K174" s="4">
        <v>17129.000042</v>
      </c>
      <c r="L174" s="17">
        <f t="shared" si="28"/>
        <v>7.6638106519435964E-2</v>
      </c>
      <c r="M174" s="9">
        <v>10</v>
      </c>
      <c r="N174" s="9">
        <v>1451</v>
      </c>
      <c r="O174" s="18">
        <f t="shared" si="29"/>
        <v>6.4920247700996289E-3</v>
      </c>
    </row>
    <row r="175" spans="1:15" ht="14" x14ac:dyDescent="0.2">
      <c r="A175" s="1" t="s">
        <v>174</v>
      </c>
      <c r="B175" s="35" t="s">
        <v>349</v>
      </c>
      <c r="C175" s="25">
        <v>732</v>
      </c>
      <c r="D175" s="21">
        <v>183319.00068299999</v>
      </c>
      <c r="E175" s="20">
        <f t="shared" si="25"/>
        <v>103587.00062999999</v>
      </c>
      <c r="F175" s="24">
        <f t="shared" si="26"/>
        <v>0.56506417907615236</v>
      </c>
      <c r="G175" s="12">
        <v>369</v>
      </c>
      <c r="H175" s="12">
        <v>87408.000558999993</v>
      </c>
      <c r="I175" s="13">
        <f t="shared" si="27"/>
        <v>0.47680818809474196</v>
      </c>
      <c r="J175" s="4">
        <v>44</v>
      </c>
      <c r="K175" s="4">
        <v>13124.000102</v>
      </c>
      <c r="L175" s="17">
        <f t="shared" si="28"/>
        <v>7.1591051953716262E-2</v>
      </c>
      <c r="M175" s="9">
        <v>24</v>
      </c>
      <c r="N175" s="9">
        <v>3054.999969</v>
      </c>
      <c r="O175" s="18">
        <f t="shared" si="29"/>
        <v>1.6664939027694056E-2</v>
      </c>
    </row>
    <row r="176" spans="1:15" ht="14" x14ac:dyDescent="0.2">
      <c r="A176" s="1" t="s">
        <v>175</v>
      </c>
      <c r="B176" s="35" t="s">
        <v>357</v>
      </c>
      <c r="C176" s="25">
        <v>717</v>
      </c>
      <c r="D176" s="21">
        <v>165184.000363</v>
      </c>
      <c r="E176" s="20">
        <f t="shared" si="25"/>
        <v>96226.000287000003</v>
      </c>
      <c r="F176" s="24">
        <f t="shared" si="26"/>
        <v>0.58253826082149973</v>
      </c>
      <c r="G176" s="12">
        <v>364</v>
      </c>
      <c r="H176" s="12">
        <v>86039.000245000003</v>
      </c>
      <c r="I176" s="13">
        <f t="shared" si="27"/>
        <v>0.5208676388507667</v>
      </c>
      <c r="J176" s="4">
        <v>45</v>
      </c>
      <c r="K176" s="4">
        <v>9830.0000099999997</v>
      </c>
      <c r="L176" s="17">
        <f t="shared" si="28"/>
        <v>5.9509395512871037E-2</v>
      </c>
      <c r="M176" s="9">
        <v>3</v>
      </c>
      <c r="N176" s="9">
        <v>357.00003199999998</v>
      </c>
      <c r="O176" s="18">
        <f t="shared" si="29"/>
        <v>2.1612264578619888E-3</v>
      </c>
    </row>
    <row r="177" spans="1:15" ht="14" x14ac:dyDescent="0.2">
      <c r="A177" s="1" t="s">
        <v>176</v>
      </c>
      <c r="B177" s="35" t="s">
        <v>252</v>
      </c>
      <c r="C177" s="25">
        <v>746</v>
      </c>
      <c r="D177" s="21">
        <v>177094.00074300001</v>
      </c>
      <c r="E177" s="20">
        <f t="shared" si="25"/>
        <v>89117.000264000002</v>
      </c>
      <c r="F177" s="24">
        <f t="shared" si="26"/>
        <v>0.50321862903378178</v>
      </c>
      <c r="G177" s="12">
        <v>312</v>
      </c>
      <c r="H177" s="12">
        <v>76406.000306999995</v>
      </c>
      <c r="I177" s="13">
        <f t="shared" si="27"/>
        <v>0.43144318828665962</v>
      </c>
      <c r="J177" s="4">
        <v>42</v>
      </c>
      <c r="K177" s="4">
        <v>11019.999965999999</v>
      </c>
      <c r="L177" s="17">
        <f t="shared" si="28"/>
        <v>6.2226839530223815E-2</v>
      </c>
      <c r="M177" s="9">
        <v>7</v>
      </c>
      <c r="N177" s="9">
        <v>1690.9999909999999</v>
      </c>
      <c r="O177" s="18">
        <f t="shared" si="29"/>
        <v>9.5486012168983087E-3</v>
      </c>
    </row>
    <row r="178" spans="1:15" ht="14" x14ac:dyDescent="0.2">
      <c r="A178" s="1" t="s">
        <v>177</v>
      </c>
      <c r="B178" s="35" t="s">
        <v>242</v>
      </c>
      <c r="C178" s="25">
        <v>1360</v>
      </c>
      <c r="D178" s="21">
        <v>328318.00024000002</v>
      </c>
      <c r="E178" s="20">
        <f t="shared" si="25"/>
        <v>190736.99993299998</v>
      </c>
      <c r="F178" s="24">
        <f t="shared" si="26"/>
        <v>0.58095200322118035</v>
      </c>
      <c r="G178" s="12">
        <v>663</v>
      </c>
      <c r="H178" s="12">
        <v>160592.00004799999</v>
      </c>
      <c r="I178" s="13">
        <f t="shared" si="27"/>
        <v>0.48913553302166635</v>
      </c>
      <c r="J178" s="4">
        <v>88</v>
      </c>
      <c r="K178" s="4">
        <v>24531.999926</v>
      </c>
      <c r="L178" s="17">
        <f t="shared" si="28"/>
        <v>7.4720240462195622E-2</v>
      </c>
      <c r="M178" s="9">
        <v>25</v>
      </c>
      <c r="N178" s="9">
        <v>5612.9999589999998</v>
      </c>
      <c r="O178" s="18">
        <f t="shared" si="29"/>
        <v>1.7096229737318405E-2</v>
      </c>
    </row>
    <row r="179" spans="1:15" ht="14" x14ac:dyDescent="0.2">
      <c r="A179" s="1" t="s">
        <v>178</v>
      </c>
      <c r="B179" s="35" t="s">
        <v>330</v>
      </c>
      <c r="C179" s="25">
        <v>863</v>
      </c>
      <c r="D179" s="21">
        <v>231886.00085300001</v>
      </c>
      <c r="E179" s="20">
        <f t="shared" si="25"/>
        <v>113895.00030499999</v>
      </c>
      <c r="F179" s="24">
        <f t="shared" si="26"/>
        <v>0.49116807347590463</v>
      </c>
      <c r="G179" s="12">
        <v>369</v>
      </c>
      <c r="H179" s="12">
        <v>93380.0003</v>
      </c>
      <c r="I179" s="13">
        <f t="shared" si="27"/>
        <v>0.40269787721767897</v>
      </c>
      <c r="J179" s="4">
        <v>74</v>
      </c>
      <c r="K179" s="4">
        <v>17947.000001</v>
      </c>
      <c r="L179" s="17">
        <f t="shared" si="28"/>
        <v>7.7395789029874124E-2</v>
      </c>
      <c r="M179" s="9">
        <v>7</v>
      </c>
      <c r="N179" s="9">
        <v>2568.000004</v>
      </c>
      <c r="O179" s="18">
        <f t="shared" si="29"/>
        <v>1.1074407228351563E-2</v>
      </c>
    </row>
    <row r="180" spans="1:15" ht="14" x14ac:dyDescent="0.2">
      <c r="A180" s="1" t="s">
        <v>179</v>
      </c>
      <c r="B180" s="35" t="s">
        <v>241</v>
      </c>
      <c r="C180" s="25">
        <v>748</v>
      </c>
      <c r="D180" s="21">
        <v>196964.000337</v>
      </c>
      <c r="E180" s="20">
        <f t="shared" si="25"/>
        <v>184685.00014000002</v>
      </c>
      <c r="F180" s="24">
        <f t="shared" si="26"/>
        <v>0.93765865754152555</v>
      </c>
      <c r="G180" s="12">
        <v>624</v>
      </c>
      <c r="H180" s="12">
        <v>163108.00005500001</v>
      </c>
      <c r="I180" s="13">
        <f t="shared" si="27"/>
        <v>0.82811071960321025</v>
      </c>
      <c r="J180" s="4">
        <v>61</v>
      </c>
      <c r="K180" s="4">
        <v>18015.000065</v>
      </c>
      <c r="L180" s="17">
        <f t="shared" si="28"/>
        <v>9.1463414807664498E-2</v>
      </c>
      <c r="M180" s="9">
        <v>15</v>
      </c>
      <c r="N180" s="9">
        <v>3562.0000199999999</v>
      </c>
      <c r="O180" s="18">
        <f t="shared" si="29"/>
        <v>1.8084523130650856E-2</v>
      </c>
    </row>
    <row r="181" spans="1:15" ht="14" x14ac:dyDescent="0.2">
      <c r="A181" s="1" t="s">
        <v>180</v>
      </c>
      <c r="B181" s="35" t="s">
        <v>228</v>
      </c>
      <c r="C181" s="25">
        <v>902</v>
      </c>
      <c r="D181" s="21">
        <v>228500.00041899999</v>
      </c>
      <c r="E181" s="20">
        <f t="shared" si="25"/>
        <v>141476.00035800002</v>
      </c>
      <c r="F181" s="24">
        <f t="shared" si="26"/>
        <v>0.61915098511411715</v>
      </c>
      <c r="G181" s="12">
        <v>470</v>
      </c>
      <c r="H181" s="12">
        <v>120342.000096</v>
      </c>
      <c r="I181" s="13">
        <f t="shared" si="27"/>
        <v>0.52666083096424121</v>
      </c>
      <c r="J181" s="4">
        <v>64</v>
      </c>
      <c r="K181" s="4">
        <v>17095.000261000001</v>
      </c>
      <c r="L181" s="17">
        <f t="shared" si="28"/>
        <v>7.4814005381413279E-2</v>
      </c>
      <c r="M181" s="9">
        <v>23</v>
      </c>
      <c r="N181" s="9">
        <v>4039.0000009999999</v>
      </c>
      <c r="O181" s="18">
        <f t="shared" si="29"/>
        <v>1.7676148768462553E-2</v>
      </c>
    </row>
    <row r="182" spans="1:15" ht="14" x14ac:dyDescent="0.2">
      <c r="A182" s="1" t="s">
        <v>181</v>
      </c>
      <c r="B182" s="35" t="s">
        <v>348</v>
      </c>
      <c r="C182" s="25">
        <v>1203</v>
      </c>
      <c r="D182" s="21">
        <v>358297.00161199999</v>
      </c>
      <c r="E182" s="20">
        <f t="shared" si="25"/>
        <v>329710.00150199997</v>
      </c>
      <c r="F182" s="24">
        <f t="shared" si="26"/>
        <v>0.92021423572794259</v>
      </c>
      <c r="G182" s="12">
        <v>1040</v>
      </c>
      <c r="H182" s="12">
        <v>302837.00141700002</v>
      </c>
      <c r="I182" s="13">
        <f t="shared" si="27"/>
        <v>0.84521221236716448</v>
      </c>
      <c r="J182" s="4">
        <v>80</v>
      </c>
      <c r="K182" s="4">
        <v>23131.000072999999</v>
      </c>
      <c r="L182" s="17">
        <f t="shared" si="28"/>
        <v>6.4558173718820486E-2</v>
      </c>
      <c r="M182" s="9">
        <v>12</v>
      </c>
      <c r="N182" s="9">
        <v>3742.000012</v>
      </c>
      <c r="O182" s="18">
        <f t="shared" si="29"/>
        <v>1.044384964195769E-2</v>
      </c>
    </row>
    <row r="183" spans="1:15" ht="14" x14ac:dyDescent="0.2">
      <c r="A183" s="1" t="s">
        <v>182</v>
      </c>
      <c r="B183" s="35" t="s">
        <v>276</v>
      </c>
      <c r="C183" s="25">
        <v>526</v>
      </c>
      <c r="D183" s="21">
        <v>153427.00042999999</v>
      </c>
      <c r="E183" s="20">
        <f t="shared" si="25"/>
        <v>83032.000180000003</v>
      </c>
      <c r="F183" s="24">
        <f t="shared" si="26"/>
        <v>0.54118245124581432</v>
      </c>
      <c r="G183" s="12">
        <v>231</v>
      </c>
      <c r="H183" s="12">
        <v>67085.000159000003</v>
      </c>
      <c r="I183" s="13">
        <f t="shared" si="27"/>
        <v>0.43724377046403295</v>
      </c>
      <c r="J183" s="4">
        <v>41</v>
      </c>
      <c r="K183" s="4">
        <v>12100.999961</v>
      </c>
      <c r="L183" s="17">
        <f t="shared" si="28"/>
        <v>7.8871384613433779E-2</v>
      </c>
      <c r="M183" s="9">
        <v>12</v>
      </c>
      <c r="N183" s="9">
        <v>3846.0000599999998</v>
      </c>
      <c r="O183" s="18">
        <f t="shared" si="29"/>
        <v>2.5067296168347571E-2</v>
      </c>
    </row>
    <row r="184" spans="1:15" ht="14" x14ac:dyDescent="0.2">
      <c r="A184" s="1" t="s">
        <v>183</v>
      </c>
      <c r="B184" s="35" t="s">
        <v>302</v>
      </c>
      <c r="C184" s="25">
        <v>1084</v>
      </c>
      <c r="D184" s="21">
        <v>297130.00101499999</v>
      </c>
      <c r="E184" s="20">
        <f t="shared" si="25"/>
        <v>251721.000784</v>
      </c>
      <c r="F184" s="24">
        <f t="shared" si="26"/>
        <v>0.84717463710873275</v>
      </c>
      <c r="G184" s="12">
        <v>833</v>
      </c>
      <c r="H184" s="12">
        <v>221139.00067000001</v>
      </c>
      <c r="I184" s="13">
        <f t="shared" si="27"/>
        <v>0.74424999129871194</v>
      </c>
      <c r="J184" s="4">
        <v>82</v>
      </c>
      <c r="K184" s="4">
        <v>24783.000117</v>
      </c>
      <c r="L184" s="17">
        <f t="shared" si="28"/>
        <v>8.3407936029148672E-2</v>
      </c>
      <c r="M184" s="9">
        <v>22</v>
      </c>
      <c r="N184" s="9">
        <v>5798.9999969999999</v>
      </c>
      <c r="O184" s="18">
        <f t="shared" si="29"/>
        <v>1.9516709780872141E-2</v>
      </c>
    </row>
    <row r="185" spans="1:15" ht="14" x14ac:dyDescent="0.2">
      <c r="A185" s="1" t="s">
        <v>184</v>
      </c>
      <c r="B185" s="35" t="s">
        <v>308</v>
      </c>
      <c r="C185" s="25">
        <v>841</v>
      </c>
      <c r="D185" s="21">
        <v>218760.000761</v>
      </c>
      <c r="E185" s="20">
        <f t="shared" si="25"/>
        <v>114551.000313</v>
      </c>
      <c r="F185" s="24">
        <f t="shared" si="26"/>
        <v>0.52363777616799989</v>
      </c>
      <c r="G185" s="12">
        <v>356</v>
      </c>
      <c r="H185" s="12">
        <v>95868.000417000003</v>
      </c>
      <c r="I185" s="13">
        <f t="shared" si="27"/>
        <v>0.43823368112773892</v>
      </c>
      <c r="J185" s="4">
        <v>68</v>
      </c>
      <c r="K185" s="4">
        <v>17868.999910999999</v>
      </c>
      <c r="L185" s="17">
        <f t="shared" si="28"/>
        <v>8.16831223662422E-2</v>
      </c>
      <c r="M185" s="9">
        <v>5</v>
      </c>
      <c r="N185" s="9">
        <v>813.99998500000004</v>
      </c>
      <c r="O185" s="18">
        <f t="shared" si="29"/>
        <v>3.7209726740187413E-3</v>
      </c>
    </row>
    <row r="186" spans="1:15" ht="14" x14ac:dyDescent="0.2">
      <c r="A186" s="1" t="s">
        <v>185</v>
      </c>
      <c r="B186" s="35" t="s">
        <v>346</v>
      </c>
      <c r="C186" s="25">
        <v>1186</v>
      </c>
      <c r="D186" s="21">
        <v>303267.00173800002</v>
      </c>
      <c r="E186" s="20">
        <f t="shared" si="25"/>
        <v>258926.00151100001</v>
      </c>
      <c r="F186" s="24">
        <f t="shared" si="26"/>
        <v>0.85378890557533416</v>
      </c>
      <c r="G186" s="12">
        <v>955</v>
      </c>
      <c r="H186" s="12">
        <v>238314.00134700001</v>
      </c>
      <c r="I186" s="13">
        <f t="shared" si="27"/>
        <v>0.78582239406608922</v>
      </c>
      <c r="J186" s="4">
        <v>70</v>
      </c>
      <c r="K186" s="4">
        <v>16638.000056000001</v>
      </c>
      <c r="L186" s="17">
        <f t="shared" si="28"/>
        <v>5.4862546734886726E-2</v>
      </c>
      <c r="M186" s="9">
        <v>20</v>
      </c>
      <c r="N186" s="9">
        <v>3974.0001080000002</v>
      </c>
      <c r="O186" s="18">
        <f t="shared" si="29"/>
        <v>1.3103964774358269E-2</v>
      </c>
    </row>
    <row r="187" spans="1:15" ht="14" x14ac:dyDescent="0.2">
      <c r="A187" s="1" t="s">
        <v>186</v>
      </c>
      <c r="B187" s="35" t="s">
        <v>240</v>
      </c>
      <c r="C187" s="25">
        <v>703</v>
      </c>
      <c r="D187" s="21">
        <v>184550.000359</v>
      </c>
      <c r="E187" s="20">
        <f t="shared" si="25"/>
        <v>169688.00032300001</v>
      </c>
      <c r="F187" s="24">
        <f t="shared" si="26"/>
        <v>0.91946897855817211</v>
      </c>
      <c r="G187" s="12">
        <v>581</v>
      </c>
      <c r="H187" s="12">
        <v>153466.00026500001</v>
      </c>
      <c r="I187" s="13">
        <f t="shared" si="27"/>
        <v>0.83156868039266785</v>
      </c>
      <c r="J187" s="4">
        <v>56</v>
      </c>
      <c r="K187" s="4">
        <v>14246.000050000001</v>
      </c>
      <c r="L187" s="17">
        <f t="shared" si="28"/>
        <v>7.7193172702723661E-2</v>
      </c>
      <c r="M187" s="9">
        <v>11</v>
      </c>
      <c r="N187" s="9">
        <v>1976.000008</v>
      </c>
      <c r="O187" s="18">
        <f t="shared" si="29"/>
        <v>1.0707125462780505E-2</v>
      </c>
    </row>
    <row r="188" spans="1:15" ht="14" x14ac:dyDescent="0.2">
      <c r="A188" s="1" t="s">
        <v>187</v>
      </c>
      <c r="B188" s="35" t="s">
        <v>268</v>
      </c>
      <c r="C188" s="25">
        <v>867</v>
      </c>
      <c r="D188" s="21">
        <v>222523.00097299999</v>
      </c>
      <c r="E188" s="20">
        <f t="shared" si="25"/>
        <v>100215.00057399999</v>
      </c>
      <c r="F188" s="24">
        <f t="shared" si="26"/>
        <v>0.45035794113777777</v>
      </c>
      <c r="G188" s="12">
        <v>335</v>
      </c>
      <c r="H188" s="12">
        <v>84928.000631999996</v>
      </c>
      <c r="I188" s="13">
        <f t="shared" si="27"/>
        <v>0.38165942514097589</v>
      </c>
      <c r="J188" s="4">
        <v>45</v>
      </c>
      <c r="K188" s="4">
        <v>12875.999958</v>
      </c>
      <c r="L188" s="17">
        <f t="shared" si="28"/>
        <v>5.7863681065321963E-2</v>
      </c>
      <c r="M188" s="9">
        <v>6</v>
      </c>
      <c r="N188" s="9">
        <v>2410.999984</v>
      </c>
      <c r="O188" s="18">
        <f t="shared" si="29"/>
        <v>1.0834834931479917E-2</v>
      </c>
    </row>
    <row r="189" spans="1:15" ht="14" x14ac:dyDescent="0.2">
      <c r="A189" s="1" t="s">
        <v>188</v>
      </c>
      <c r="B189" s="35" t="s">
        <v>230</v>
      </c>
      <c r="C189" s="25">
        <v>627</v>
      </c>
      <c r="D189" s="21">
        <v>152597.00046800001</v>
      </c>
      <c r="E189" s="20">
        <f t="shared" si="25"/>
        <v>76670.000130999993</v>
      </c>
      <c r="F189" s="24">
        <f t="shared" si="26"/>
        <v>0.50243451637883207</v>
      </c>
      <c r="G189" s="12">
        <v>257</v>
      </c>
      <c r="H189" s="12">
        <v>61999.000152000001</v>
      </c>
      <c r="I189" s="13">
        <f t="shared" si="27"/>
        <v>0.40629239081931595</v>
      </c>
      <c r="J189" s="4">
        <v>48</v>
      </c>
      <c r="K189" s="4">
        <v>13606.999991000001</v>
      </c>
      <c r="L189" s="17">
        <f t="shared" si="28"/>
        <v>8.9169511519025066E-2</v>
      </c>
      <c r="M189" s="9">
        <v>5</v>
      </c>
      <c r="N189" s="9">
        <v>1063.999988</v>
      </c>
      <c r="O189" s="18">
        <f t="shared" si="29"/>
        <v>6.9726140404910751E-3</v>
      </c>
    </row>
    <row r="190" spans="1:15" ht="14" x14ac:dyDescent="0.2">
      <c r="A190" s="1" t="s">
        <v>189</v>
      </c>
      <c r="B190" s="35" t="s">
        <v>307</v>
      </c>
      <c r="C190" s="25">
        <v>700</v>
      </c>
      <c r="D190" s="21">
        <v>165256.000875</v>
      </c>
      <c r="E190" s="20">
        <f t="shared" si="25"/>
        <v>99876.000444999998</v>
      </c>
      <c r="F190" s="24">
        <f t="shared" si="26"/>
        <v>0.60437139901834136</v>
      </c>
      <c r="G190" s="12">
        <v>335</v>
      </c>
      <c r="H190" s="12">
        <v>82325.000354999996</v>
      </c>
      <c r="I190" s="13">
        <f t="shared" si="27"/>
        <v>0.49816648060647922</v>
      </c>
      <c r="J190" s="4">
        <v>54</v>
      </c>
      <c r="K190" s="4">
        <v>15501.000055</v>
      </c>
      <c r="L190" s="17">
        <f t="shared" si="28"/>
        <v>9.3799922380579631E-2</v>
      </c>
      <c r="M190" s="9">
        <v>11</v>
      </c>
      <c r="N190" s="9">
        <v>2050.000035</v>
      </c>
      <c r="O190" s="18">
        <f t="shared" si="29"/>
        <v>1.2404996031282547E-2</v>
      </c>
    </row>
    <row r="191" spans="1:15" ht="14" x14ac:dyDescent="0.2">
      <c r="A191" s="1" t="s">
        <v>190</v>
      </c>
      <c r="B191" s="35" t="s">
        <v>301</v>
      </c>
      <c r="C191" s="25">
        <v>1132</v>
      </c>
      <c r="D191" s="21">
        <v>319061.00112099998</v>
      </c>
      <c r="E191" s="20">
        <f t="shared" si="25"/>
        <v>161740.000172</v>
      </c>
      <c r="F191" s="24">
        <f t="shared" si="26"/>
        <v>0.50692500682859098</v>
      </c>
      <c r="G191" s="12">
        <v>461</v>
      </c>
      <c r="H191" s="12">
        <v>139703.00005800001</v>
      </c>
      <c r="I191" s="13">
        <f t="shared" si="27"/>
        <v>0.43785670942911431</v>
      </c>
      <c r="J191" s="4">
        <v>59</v>
      </c>
      <c r="K191" s="4">
        <v>16582.000088000001</v>
      </c>
      <c r="L191" s="17">
        <f t="shared" si="28"/>
        <v>5.1971253239161873E-2</v>
      </c>
      <c r="M191" s="9">
        <v>17</v>
      </c>
      <c r="N191" s="9">
        <v>5455.0000259999997</v>
      </c>
      <c r="O191" s="18">
        <f t="shared" si="29"/>
        <v>1.709704416031484E-2</v>
      </c>
    </row>
    <row r="192" spans="1:15" ht="14" x14ac:dyDescent="0.2">
      <c r="A192" s="1" t="s">
        <v>191</v>
      </c>
      <c r="B192" s="35" t="s">
        <v>259</v>
      </c>
      <c r="C192" s="25">
        <v>1232</v>
      </c>
      <c r="D192" s="21">
        <v>332054.00136499997</v>
      </c>
      <c r="E192" s="20">
        <f t="shared" si="25"/>
        <v>292022.00113599998</v>
      </c>
      <c r="F192" s="24">
        <f t="shared" si="26"/>
        <v>0.87944129549881234</v>
      </c>
      <c r="G192" s="12">
        <v>996</v>
      </c>
      <c r="H192" s="12">
        <v>260627.000937</v>
      </c>
      <c r="I192" s="13">
        <f t="shared" si="27"/>
        <v>0.78489342054491285</v>
      </c>
      <c r="J192" s="4">
        <v>97</v>
      </c>
      <c r="K192" s="4">
        <v>25838.000085</v>
      </c>
      <c r="L192" s="17">
        <f t="shared" si="28"/>
        <v>7.7812644867358144E-2</v>
      </c>
      <c r="M192" s="9">
        <v>23</v>
      </c>
      <c r="N192" s="9">
        <v>5557.0001140000004</v>
      </c>
      <c r="O192" s="18">
        <f t="shared" si="29"/>
        <v>1.6735230086541382E-2</v>
      </c>
    </row>
    <row r="193" spans="1:15" ht="14" x14ac:dyDescent="0.2">
      <c r="A193" s="1" t="s">
        <v>192</v>
      </c>
      <c r="B193" s="35" t="s">
        <v>313</v>
      </c>
      <c r="C193" s="25">
        <v>1291</v>
      </c>
      <c r="D193" s="21">
        <v>349686.00170600001</v>
      </c>
      <c r="E193" s="20">
        <f t="shared" si="25"/>
        <v>70372.000321</v>
      </c>
      <c r="F193" s="24">
        <f t="shared" si="26"/>
        <v>0.20124340115897907</v>
      </c>
      <c r="G193" s="12">
        <v>267</v>
      </c>
      <c r="H193" s="12">
        <v>61890.000202000003</v>
      </c>
      <c r="I193" s="13">
        <f t="shared" si="27"/>
        <v>0.17698735408354802</v>
      </c>
      <c r="J193" s="4">
        <v>31</v>
      </c>
      <c r="K193" s="4">
        <v>6173.0001270000002</v>
      </c>
      <c r="L193" s="17">
        <f t="shared" si="28"/>
        <v>1.7652980379208819E-2</v>
      </c>
      <c r="M193" s="9">
        <v>11</v>
      </c>
      <c r="N193" s="9">
        <v>2308.999992</v>
      </c>
      <c r="O193" s="18">
        <f t="shared" si="29"/>
        <v>6.6030666962222338E-3</v>
      </c>
    </row>
    <row r="194" spans="1:15" ht="14" x14ac:dyDescent="0.2">
      <c r="A194" s="1" t="s">
        <v>193</v>
      </c>
      <c r="B194" s="35" t="s">
        <v>356</v>
      </c>
      <c r="C194" s="25">
        <v>1264</v>
      </c>
      <c r="D194" s="21">
        <v>273816.00107900001</v>
      </c>
      <c r="E194" s="20">
        <f t="shared" si="25"/>
        <v>115776.00034499999</v>
      </c>
      <c r="F194" s="24">
        <f t="shared" ref="F194:F198" si="30">E194/D194</f>
        <v>0.42282408584148773</v>
      </c>
      <c r="G194" s="12">
        <v>454</v>
      </c>
      <c r="H194" s="12">
        <v>95864.000375999996</v>
      </c>
      <c r="I194" s="13">
        <f t="shared" ref="I194:I198" si="31">H194/D194</f>
        <v>0.35010371927950917</v>
      </c>
      <c r="J194" s="4">
        <v>62</v>
      </c>
      <c r="K194" s="4">
        <v>17148.999967</v>
      </c>
      <c r="L194" s="17">
        <f t="shared" ref="L194:L198" si="32">K194/D194</f>
        <v>6.262964874011237E-2</v>
      </c>
      <c r="M194" s="9">
        <v>20</v>
      </c>
      <c r="N194" s="9">
        <v>2763.0000020000002</v>
      </c>
      <c r="O194" s="18">
        <f t="shared" ref="O194:O198" si="33">N194/D194</f>
        <v>1.0090717821866201E-2</v>
      </c>
    </row>
    <row r="195" spans="1:15" ht="14" x14ac:dyDescent="0.2">
      <c r="A195" s="1" t="s">
        <v>194</v>
      </c>
      <c r="B195" s="35" t="s">
        <v>274</v>
      </c>
      <c r="C195" s="25">
        <v>1195</v>
      </c>
      <c r="D195" s="21">
        <v>335827.00135899999</v>
      </c>
      <c r="E195" s="20">
        <f t="shared" si="25"/>
        <v>287178.00105399999</v>
      </c>
      <c r="F195" s="24">
        <f t="shared" si="30"/>
        <v>0.85513672185937761</v>
      </c>
      <c r="G195" s="12">
        <v>962</v>
      </c>
      <c r="H195" s="12">
        <v>262110.00100600001</v>
      </c>
      <c r="I195" s="13">
        <f t="shared" si="31"/>
        <v>0.7804911455758845</v>
      </c>
      <c r="J195" s="4">
        <v>82</v>
      </c>
      <c r="K195" s="4">
        <v>21889.000034000001</v>
      </c>
      <c r="L195" s="17">
        <f t="shared" si="32"/>
        <v>6.5179392798736274E-2</v>
      </c>
      <c r="M195" s="9">
        <v>17</v>
      </c>
      <c r="N195" s="9">
        <v>3179.0000140000002</v>
      </c>
      <c r="O195" s="18">
        <f t="shared" si="33"/>
        <v>9.4661834847569043E-3</v>
      </c>
    </row>
    <row r="196" spans="1:15" ht="14" x14ac:dyDescent="0.2">
      <c r="A196" s="1" t="s">
        <v>195</v>
      </c>
      <c r="B196" s="35" t="s">
        <v>267</v>
      </c>
      <c r="C196" s="25">
        <v>1395</v>
      </c>
      <c r="D196" s="21">
        <v>333754.00121100002</v>
      </c>
      <c r="E196" s="20">
        <f t="shared" si="25"/>
        <v>296045.00108600006</v>
      </c>
      <c r="F196" s="24">
        <f t="shared" si="30"/>
        <v>0.88701558636547928</v>
      </c>
      <c r="G196" s="12">
        <v>1138</v>
      </c>
      <c r="H196" s="12">
        <v>262400.00089000002</v>
      </c>
      <c r="I196" s="13">
        <f t="shared" si="31"/>
        <v>0.78620780556308645</v>
      </c>
      <c r="J196" s="4">
        <v>111</v>
      </c>
      <c r="K196" s="4">
        <v>29687.000146999999</v>
      </c>
      <c r="L196" s="17">
        <f t="shared" si="32"/>
        <v>8.894874679938837E-2</v>
      </c>
      <c r="M196" s="9">
        <v>22</v>
      </c>
      <c r="N196" s="9">
        <v>3958.0000490000002</v>
      </c>
      <c r="O196" s="18">
        <f t="shared" si="33"/>
        <v>1.1859034003004337E-2</v>
      </c>
    </row>
    <row r="197" spans="1:15" ht="14" x14ac:dyDescent="0.2">
      <c r="A197" s="1" t="s">
        <v>196</v>
      </c>
      <c r="B197" s="35" t="s">
        <v>312</v>
      </c>
      <c r="C197" s="25">
        <v>827</v>
      </c>
      <c r="D197" s="21">
        <v>217984.00034100001</v>
      </c>
      <c r="E197" s="20">
        <f t="shared" si="25"/>
        <v>118233.000149</v>
      </c>
      <c r="F197" s="24">
        <f t="shared" si="30"/>
        <v>0.54239301950622054</v>
      </c>
      <c r="G197" s="12">
        <v>366</v>
      </c>
      <c r="H197" s="12">
        <v>97289.000199999995</v>
      </c>
      <c r="I197" s="13">
        <f t="shared" si="31"/>
        <v>0.44631257361919868</v>
      </c>
      <c r="J197" s="4">
        <v>61</v>
      </c>
      <c r="K197" s="4">
        <v>18604.999947</v>
      </c>
      <c r="L197" s="17">
        <f t="shared" si="32"/>
        <v>8.5350300562864925E-2</v>
      </c>
      <c r="M197" s="9">
        <v>10</v>
      </c>
      <c r="N197" s="9">
        <v>2339.0000020000002</v>
      </c>
      <c r="O197" s="18">
        <f t="shared" si="33"/>
        <v>1.0730145324156913E-2</v>
      </c>
    </row>
    <row r="198" spans="1:15" ht="14" x14ac:dyDescent="0.2">
      <c r="A198" s="1" t="s">
        <v>197</v>
      </c>
      <c r="B198" s="35" t="s">
        <v>233</v>
      </c>
      <c r="C198" s="25">
        <v>725</v>
      </c>
      <c r="D198" s="21">
        <v>200594.00107</v>
      </c>
      <c r="E198" s="20">
        <f t="shared" si="25"/>
        <v>101035.00032799999</v>
      </c>
      <c r="F198" s="24">
        <f t="shared" si="30"/>
        <v>0.50367907210117646</v>
      </c>
      <c r="G198" s="12">
        <v>325</v>
      </c>
      <c r="H198" s="12">
        <v>88891.000281999994</v>
      </c>
      <c r="I198" s="13">
        <f t="shared" si="31"/>
        <v>0.44313887657577694</v>
      </c>
      <c r="J198" s="4">
        <v>29</v>
      </c>
      <c r="K198" s="4">
        <v>7951.0000799999998</v>
      </c>
      <c r="L198" s="17">
        <f t="shared" si="32"/>
        <v>3.9637277473843248E-2</v>
      </c>
      <c r="M198" s="9">
        <v>14</v>
      </c>
      <c r="N198" s="9">
        <v>4192.9999660000003</v>
      </c>
      <c r="O198" s="18">
        <f t="shared" si="33"/>
        <v>2.0902918051556269E-2</v>
      </c>
    </row>
    <row r="199" spans="1:15" ht="14" x14ac:dyDescent="0.2">
      <c r="C199" s="1"/>
      <c r="D199" s="22"/>
      <c r="F199" s="24"/>
      <c r="G199" s="14"/>
      <c r="H199" s="15"/>
      <c r="I199" s="13"/>
      <c r="K199" s="3"/>
      <c r="L199" s="17"/>
      <c r="N199" s="7"/>
      <c r="O199" s="18"/>
    </row>
    <row r="200" spans="1:15" ht="14" x14ac:dyDescent="0.2">
      <c r="C200" s="1"/>
      <c r="D200" s="22"/>
      <c r="F200" s="24"/>
      <c r="G200" s="14"/>
      <c r="H200" s="15"/>
      <c r="I200" s="13"/>
      <c r="K200" s="3"/>
      <c r="L200" s="17"/>
      <c r="N200" s="7"/>
      <c r="O200" s="18"/>
    </row>
    <row r="201" spans="1:15" ht="14" x14ac:dyDescent="0.2">
      <c r="C201" s="1"/>
      <c r="D201" s="22"/>
      <c r="F201" s="24"/>
      <c r="G201" s="14"/>
      <c r="H201" s="15"/>
      <c r="I201" s="13"/>
      <c r="K201" s="3"/>
      <c r="L201" s="17"/>
      <c r="N201" s="7"/>
      <c r="O201" s="18"/>
    </row>
    <row r="202" spans="1:15" ht="14" x14ac:dyDescent="0.2">
      <c r="C202" s="1"/>
      <c r="D202" s="22"/>
      <c r="F202" s="24"/>
      <c r="G202" s="14"/>
      <c r="H202" s="15"/>
      <c r="I202" s="13"/>
      <c r="K202" s="3"/>
      <c r="L202" s="17"/>
      <c r="N202" s="7"/>
      <c r="O202" s="18"/>
    </row>
    <row r="203" spans="1:15" ht="14" x14ac:dyDescent="0.2">
      <c r="C203" s="1"/>
      <c r="D203" s="22"/>
      <c r="F203" s="24"/>
      <c r="G203" s="14"/>
      <c r="H203" s="15"/>
      <c r="I203" s="13"/>
      <c r="K203" s="3"/>
      <c r="L203" s="17"/>
      <c r="N203" s="7"/>
      <c r="O203" s="18"/>
    </row>
    <row r="204" spans="1:15" ht="14" x14ac:dyDescent="0.2">
      <c r="C204" s="1"/>
      <c r="D204" s="22"/>
      <c r="F204" s="24"/>
      <c r="G204" s="14"/>
      <c r="H204" s="15"/>
      <c r="I204" s="13"/>
      <c r="K204" s="3"/>
      <c r="L204" s="17"/>
      <c r="N204" s="7"/>
      <c r="O204" s="18"/>
    </row>
    <row r="205" spans="1:15" ht="14" x14ac:dyDescent="0.2">
      <c r="C205" s="1"/>
      <c r="D205" s="22"/>
      <c r="F205" s="24"/>
      <c r="G205" s="14"/>
      <c r="H205" s="15"/>
      <c r="I205" s="13"/>
      <c r="K205" s="3"/>
      <c r="L205" s="17"/>
      <c r="N205" s="7"/>
      <c r="O205" s="18"/>
    </row>
    <row r="206" spans="1:15" ht="14" x14ac:dyDescent="0.2">
      <c r="C206" s="1"/>
      <c r="D206" s="22"/>
      <c r="F206" s="24"/>
      <c r="G206" s="14"/>
      <c r="H206" s="15"/>
      <c r="I206" s="13"/>
      <c r="K206" s="3"/>
      <c r="L206" s="17"/>
      <c r="N206" s="7"/>
      <c r="O206" s="18"/>
    </row>
    <row r="207" spans="1:15" ht="14" x14ac:dyDescent="0.2">
      <c r="C207" s="1"/>
      <c r="D207" s="22"/>
      <c r="F207" s="24"/>
      <c r="G207" s="14"/>
      <c r="H207" s="15"/>
      <c r="I207" s="13"/>
      <c r="K207" s="3"/>
      <c r="L207" s="17"/>
      <c r="N207" s="7"/>
      <c r="O207" s="18"/>
    </row>
    <row r="208" spans="1:15" ht="14" x14ac:dyDescent="0.2">
      <c r="C208" s="1"/>
      <c r="D208" s="22"/>
      <c r="F208" s="24"/>
      <c r="G208" s="14"/>
      <c r="H208" s="15"/>
      <c r="I208" s="13"/>
      <c r="K208" s="3"/>
      <c r="L208" s="17"/>
      <c r="N208" s="7"/>
      <c r="O208" s="18"/>
    </row>
    <row r="209" spans="3:15" ht="14" x14ac:dyDescent="0.2">
      <c r="C209" s="1"/>
      <c r="D209" s="22"/>
      <c r="F209" s="24"/>
      <c r="G209" s="14"/>
      <c r="H209" s="15"/>
      <c r="I209" s="13"/>
      <c r="K209" s="3"/>
      <c r="L209" s="17"/>
      <c r="N209" s="7"/>
      <c r="O209" s="18"/>
    </row>
    <row r="210" spans="3:15" ht="14" x14ac:dyDescent="0.2">
      <c r="C210" s="1"/>
      <c r="D210" s="22"/>
      <c r="F210" s="24"/>
      <c r="G210" s="14"/>
      <c r="H210" s="15"/>
      <c r="I210" s="13"/>
      <c r="K210" s="3"/>
      <c r="L210" s="17"/>
      <c r="N210" s="7"/>
      <c r="O210" s="18"/>
    </row>
    <row r="211" spans="3:15" ht="14" x14ac:dyDescent="0.2">
      <c r="C211" s="1"/>
      <c r="D211" s="22"/>
      <c r="F211" s="24"/>
      <c r="G211" s="14"/>
      <c r="H211" s="15"/>
      <c r="I211" s="13"/>
      <c r="K211" s="3"/>
      <c r="L211" s="17"/>
      <c r="N211" s="7"/>
      <c r="O211" s="18"/>
    </row>
    <row r="212" spans="3:15" ht="14" x14ac:dyDescent="0.2">
      <c r="C212" s="1"/>
      <c r="D212" s="22"/>
      <c r="F212" s="24"/>
      <c r="G212" s="14"/>
      <c r="H212" s="15"/>
      <c r="I212" s="13"/>
      <c r="K212" s="3"/>
      <c r="L212" s="17"/>
      <c r="N212" s="7"/>
      <c r="O212" s="18"/>
    </row>
    <row r="213" spans="3:15" ht="14" x14ac:dyDescent="0.2">
      <c r="C213" s="1"/>
      <c r="D213" s="22"/>
      <c r="F213" s="24"/>
      <c r="G213" s="14"/>
      <c r="H213" s="15"/>
      <c r="I213" s="13"/>
      <c r="K213" s="3"/>
      <c r="L213" s="17"/>
      <c r="N213" s="7"/>
      <c r="O213" s="18"/>
    </row>
    <row r="214" spans="3:15" ht="14" x14ac:dyDescent="0.2">
      <c r="C214" s="1"/>
      <c r="D214" s="22"/>
      <c r="F214" s="24"/>
      <c r="G214" s="14"/>
      <c r="H214" s="15"/>
      <c r="I214" s="13"/>
      <c r="K214" s="3"/>
      <c r="L214" s="17"/>
      <c r="N214" s="7"/>
      <c r="O214" s="18"/>
    </row>
    <row r="215" spans="3:15" ht="14" x14ac:dyDescent="0.2">
      <c r="C215" s="1"/>
      <c r="D215" s="22"/>
      <c r="F215" s="24"/>
      <c r="G215" s="14"/>
      <c r="H215" s="15"/>
      <c r="I215" s="13"/>
      <c r="K215" s="3"/>
      <c r="L215" s="17"/>
      <c r="N215" s="7"/>
      <c r="O215" s="18"/>
    </row>
    <row r="216" spans="3:15" ht="14" x14ac:dyDescent="0.2">
      <c r="C216" s="1"/>
      <c r="D216" s="22"/>
      <c r="F216" s="24"/>
      <c r="G216" s="14"/>
      <c r="H216" s="15"/>
      <c r="I216" s="13"/>
      <c r="K216" s="3"/>
      <c r="L216" s="17"/>
      <c r="N216" s="7"/>
      <c r="O216" s="18"/>
    </row>
    <row r="217" spans="3:15" ht="14" x14ac:dyDescent="0.2">
      <c r="C217" s="1"/>
      <c r="D217" s="22"/>
      <c r="F217" s="24"/>
      <c r="G217" s="14"/>
      <c r="H217" s="15"/>
      <c r="I217" s="13"/>
      <c r="K217" s="3"/>
      <c r="L217" s="17"/>
      <c r="N217" s="7"/>
      <c r="O217" s="18"/>
    </row>
    <row r="218" spans="3:15" ht="14" x14ac:dyDescent="0.2">
      <c r="C218" s="1"/>
      <c r="D218" s="22"/>
      <c r="F218" s="24"/>
      <c r="G218" s="14"/>
      <c r="H218" s="15"/>
      <c r="I218" s="13"/>
      <c r="K218" s="3"/>
      <c r="L218" s="17"/>
      <c r="N218" s="7"/>
      <c r="O218" s="18"/>
    </row>
    <row r="219" spans="3:15" ht="14" x14ac:dyDescent="0.2">
      <c r="C219" s="1"/>
      <c r="D219" s="22"/>
      <c r="F219" s="24"/>
      <c r="G219" s="14"/>
      <c r="H219" s="15"/>
      <c r="I219" s="13"/>
      <c r="K219" s="3"/>
      <c r="L219" s="17"/>
      <c r="N219" s="7"/>
      <c r="O219" s="18"/>
    </row>
    <row r="220" spans="3:15" ht="14" x14ac:dyDescent="0.2">
      <c r="C220" s="1"/>
      <c r="D220" s="22"/>
      <c r="F220" s="24"/>
      <c r="G220" s="14"/>
      <c r="H220" s="15"/>
      <c r="I220" s="13"/>
      <c r="K220" s="3"/>
      <c r="L220" s="17"/>
      <c r="N220" s="7"/>
      <c r="O220" s="18"/>
    </row>
    <row r="221" spans="3:15" ht="14" x14ac:dyDescent="0.2">
      <c r="C221" s="1"/>
      <c r="D221" s="22"/>
      <c r="F221" s="24"/>
      <c r="G221" s="14"/>
      <c r="H221" s="15"/>
      <c r="I221" s="13"/>
      <c r="K221" s="3"/>
      <c r="L221" s="17"/>
      <c r="N221" s="7"/>
      <c r="O221" s="18"/>
    </row>
    <row r="222" spans="3:15" ht="14" x14ac:dyDescent="0.2">
      <c r="C222" s="1"/>
      <c r="D222" s="22"/>
      <c r="F222" s="24"/>
      <c r="G222" s="14"/>
      <c r="H222" s="15"/>
      <c r="I222" s="13"/>
      <c r="K222" s="3"/>
      <c r="L222" s="17"/>
      <c r="N222" s="7"/>
      <c r="O222" s="18"/>
    </row>
    <row r="223" spans="3:15" ht="14" x14ac:dyDescent="0.2">
      <c r="C223" s="1"/>
      <c r="D223" s="22"/>
      <c r="F223" s="24"/>
      <c r="G223" s="14"/>
      <c r="H223" s="15"/>
      <c r="I223" s="13"/>
      <c r="K223" s="3"/>
      <c r="L223" s="17"/>
      <c r="N223" s="7"/>
      <c r="O223" s="18"/>
    </row>
    <row r="224" spans="3:15" ht="14" x14ac:dyDescent="0.2">
      <c r="C224" s="1"/>
      <c r="D224" s="22"/>
      <c r="F224" s="24"/>
      <c r="G224" s="14"/>
      <c r="H224" s="15"/>
      <c r="I224" s="13"/>
      <c r="K224" s="3"/>
      <c r="L224" s="17"/>
      <c r="N224" s="7"/>
      <c r="O224" s="18"/>
    </row>
    <row r="225" spans="3:15" ht="14" x14ac:dyDescent="0.2">
      <c r="C225" s="1"/>
      <c r="D225" s="22"/>
      <c r="F225" s="24"/>
      <c r="G225" s="14"/>
      <c r="H225" s="15"/>
      <c r="I225" s="13"/>
      <c r="K225" s="3"/>
      <c r="L225" s="17"/>
      <c r="N225" s="7"/>
      <c r="O225" s="18"/>
    </row>
    <row r="226" spans="3:15" ht="14" x14ac:dyDescent="0.2">
      <c r="C226" s="1"/>
      <c r="D226" s="22"/>
      <c r="F226" s="24"/>
      <c r="G226" s="14"/>
      <c r="H226" s="15"/>
      <c r="I226" s="13"/>
      <c r="K226" s="3"/>
      <c r="L226" s="17"/>
      <c r="N226" s="7"/>
      <c r="O226" s="18"/>
    </row>
    <row r="227" spans="3:15" ht="14" x14ac:dyDescent="0.2">
      <c r="C227" s="1"/>
      <c r="D227" s="22"/>
      <c r="F227" s="24"/>
      <c r="G227" s="14"/>
      <c r="H227" s="15"/>
      <c r="I227" s="13"/>
      <c r="K227" s="3"/>
      <c r="L227" s="17"/>
      <c r="N227" s="7"/>
      <c r="O227" s="18"/>
    </row>
    <row r="228" spans="3:15" ht="14" x14ac:dyDescent="0.2">
      <c r="C228" s="1"/>
      <c r="D228" s="22"/>
      <c r="F228" s="24"/>
      <c r="G228" s="14"/>
      <c r="H228" s="15"/>
      <c r="I228" s="13"/>
      <c r="K228" s="3"/>
      <c r="L228" s="17"/>
      <c r="N228" s="7"/>
      <c r="O228" s="18"/>
    </row>
    <row r="229" spans="3:15" ht="14" x14ac:dyDescent="0.2">
      <c r="C229" s="1"/>
      <c r="D229" s="22"/>
      <c r="F229" s="24"/>
      <c r="G229" s="14"/>
      <c r="H229" s="15"/>
      <c r="I229" s="13"/>
      <c r="K229" s="3"/>
      <c r="L229" s="17"/>
      <c r="N229" s="7"/>
      <c r="O229" s="18"/>
    </row>
    <row r="230" spans="3:15" ht="14" x14ac:dyDescent="0.2">
      <c r="C230" s="1"/>
      <c r="D230" s="22"/>
      <c r="F230" s="24"/>
      <c r="G230" s="14"/>
      <c r="H230" s="15"/>
      <c r="I230" s="13"/>
      <c r="K230" s="3"/>
      <c r="L230" s="17"/>
      <c r="N230" s="7"/>
      <c r="O230" s="18"/>
    </row>
    <row r="231" spans="3:15" ht="14" x14ac:dyDescent="0.2">
      <c r="C231" s="1"/>
      <c r="D231" s="22"/>
      <c r="F231" s="24"/>
      <c r="G231" s="14"/>
      <c r="H231" s="15"/>
      <c r="I231" s="13"/>
      <c r="K231" s="3"/>
      <c r="L231" s="17"/>
      <c r="N231" s="7"/>
      <c r="O231" s="18"/>
    </row>
    <row r="232" spans="3:15" ht="14" x14ac:dyDescent="0.2">
      <c r="C232" s="1"/>
      <c r="D232" s="22"/>
      <c r="F232" s="24"/>
      <c r="G232" s="14"/>
      <c r="H232" s="15"/>
      <c r="I232" s="13"/>
      <c r="K232" s="3"/>
      <c r="L232" s="17"/>
      <c r="N232" s="7"/>
      <c r="O232" s="18"/>
    </row>
    <row r="233" spans="3:15" ht="14" x14ac:dyDescent="0.2">
      <c r="C233" s="1"/>
      <c r="D233" s="22"/>
      <c r="F233" s="24"/>
      <c r="G233" s="14"/>
      <c r="H233" s="15"/>
      <c r="I233" s="13"/>
      <c r="K233" s="3"/>
      <c r="L233" s="17"/>
      <c r="N233" s="7"/>
      <c r="O233" s="18"/>
    </row>
    <row r="234" spans="3:15" ht="14" x14ac:dyDescent="0.2">
      <c r="C234" s="1"/>
      <c r="D234" s="22"/>
      <c r="F234" s="24"/>
      <c r="G234" s="14"/>
      <c r="H234" s="15"/>
      <c r="I234" s="13"/>
      <c r="K234" s="3"/>
      <c r="L234" s="17"/>
      <c r="N234" s="7"/>
      <c r="O234" s="18"/>
    </row>
    <row r="235" spans="3:15" ht="14" x14ac:dyDescent="0.2">
      <c r="C235" s="1"/>
      <c r="D235" s="22"/>
      <c r="F235" s="24"/>
      <c r="G235" s="14"/>
      <c r="H235" s="15"/>
      <c r="I235" s="13"/>
      <c r="K235" s="3"/>
      <c r="L235" s="17"/>
      <c r="N235" s="7"/>
      <c r="O235" s="18"/>
    </row>
    <row r="236" spans="3:15" ht="14" x14ac:dyDescent="0.2">
      <c r="C236" s="1"/>
      <c r="D236" s="22"/>
      <c r="F236" s="24"/>
      <c r="G236" s="14"/>
      <c r="H236" s="15"/>
      <c r="I236" s="13"/>
      <c r="K236" s="3"/>
      <c r="L236" s="17"/>
      <c r="N236" s="7"/>
      <c r="O236" s="18"/>
    </row>
    <row r="237" spans="3:15" ht="14" x14ac:dyDescent="0.2">
      <c r="C237" s="1"/>
      <c r="D237" s="22"/>
      <c r="F237" s="24"/>
      <c r="G237" s="14"/>
      <c r="H237" s="15"/>
      <c r="I237" s="13"/>
      <c r="K237" s="3"/>
      <c r="L237" s="17"/>
      <c r="N237" s="7"/>
      <c r="O237" s="18"/>
    </row>
    <row r="238" spans="3:15" ht="14" x14ac:dyDescent="0.2">
      <c r="C238" s="1"/>
      <c r="D238" s="22"/>
      <c r="F238" s="24"/>
      <c r="G238" s="14"/>
      <c r="H238" s="15"/>
      <c r="I238" s="13"/>
      <c r="K238" s="3"/>
      <c r="L238" s="17"/>
      <c r="N238" s="7"/>
      <c r="O238" s="18"/>
    </row>
    <row r="239" spans="3:15" ht="14" x14ac:dyDescent="0.2">
      <c r="C239" s="1"/>
      <c r="D239" s="22"/>
      <c r="F239" s="24"/>
      <c r="G239" s="14"/>
      <c r="H239" s="15"/>
      <c r="I239" s="13"/>
      <c r="K239" s="3"/>
      <c r="L239" s="17"/>
      <c r="N239" s="7"/>
      <c r="O239" s="18"/>
    </row>
    <row r="240" spans="3:15" ht="14" x14ac:dyDescent="0.2">
      <c r="C240" s="1"/>
      <c r="D240" s="22"/>
      <c r="F240" s="24"/>
      <c r="G240" s="14"/>
      <c r="H240" s="15"/>
      <c r="I240" s="13"/>
      <c r="K240" s="3"/>
      <c r="L240" s="17"/>
      <c r="N240" s="7"/>
      <c r="O240" s="18"/>
    </row>
    <row r="241" spans="3:15" ht="14" x14ac:dyDescent="0.2">
      <c r="C241" s="1"/>
      <c r="D241" s="22"/>
      <c r="F241" s="24"/>
      <c r="G241" s="14"/>
      <c r="H241" s="15"/>
      <c r="I241" s="13"/>
      <c r="K241" s="3"/>
      <c r="L241" s="17"/>
      <c r="N241" s="7"/>
      <c r="O241" s="18"/>
    </row>
    <row r="242" spans="3:15" ht="14" x14ac:dyDescent="0.2">
      <c r="C242" s="1"/>
      <c r="D242" s="22"/>
      <c r="F242" s="24"/>
      <c r="G242" s="14"/>
      <c r="H242" s="15"/>
      <c r="I242" s="13"/>
      <c r="K242" s="3"/>
      <c r="L242" s="17"/>
      <c r="N242" s="7"/>
      <c r="O242" s="18"/>
    </row>
    <row r="243" spans="3:15" ht="14" x14ac:dyDescent="0.2">
      <c r="C243" s="1"/>
      <c r="D243" s="22"/>
      <c r="F243" s="24"/>
      <c r="G243" s="14"/>
      <c r="H243" s="15"/>
      <c r="I243" s="13"/>
      <c r="K243" s="3"/>
      <c r="L243" s="17"/>
      <c r="N243" s="7"/>
      <c r="O243" s="18"/>
    </row>
    <row r="244" spans="3:15" ht="14" x14ac:dyDescent="0.2">
      <c r="C244" s="1"/>
      <c r="D244" s="22"/>
      <c r="F244" s="24"/>
      <c r="G244" s="14"/>
      <c r="H244" s="15"/>
      <c r="I244" s="13"/>
      <c r="K244" s="3"/>
      <c r="L244" s="17"/>
      <c r="N244" s="7"/>
      <c r="O244" s="18"/>
    </row>
    <row r="245" spans="3:15" ht="14" x14ac:dyDescent="0.2">
      <c r="C245" s="1"/>
      <c r="D245" s="22"/>
      <c r="F245" s="24"/>
      <c r="G245" s="14"/>
      <c r="H245" s="15"/>
      <c r="I245" s="13"/>
      <c r="K245" s="3"/>
      <c r="L245" s="17"/>
      <c r="N245" s="7"/>
      <c r="O245" s="18"/>
    </row>
    <row r="246" spans="3:15" ht="14" x14ac:dyDescent="0.2">
      <c r="C246" s="1"/>
      <c r="D246" s="22"/>
      <c r="F246" s="24"/>
      <c r="G246" s="14"/>
      <c r="H246" s="15"/>
      <c r="I246" s="13"/>
      <c r="K246" s="3"/>
      <c r="L246" s="17"/>
      <c r="N246" s="7"/>
      <c r="O246" s="18"/>
    </row>
    <row r="247" spans="3:15" ht="14" x14ac:dyDescent="0.2">
      <c r="C247" s="1"/>
      <c r="D247" s="22"/>
      <c r="F247" s="24"/>
      <c r="G247" s="14"/>
      <c r="H247" s="15"/>
      <c r="I247" s="13"/>
      <c r="K247" s="3"/>
      <c r="L247" s="17"/>
      <c r="N247" s="7"/>
      <c r="O247" s="18"/>
    </row>
    <row r="248" spans="3:15" ht="14" x14ac:dyDescent="0.2">
      <c r="C248" s="1"/>
      <c r="D248" s="22"/>
      <c r="F248" s="24"/>
      <c r="G248" s="14"/>
      <c r="H248" s="15"/>
      <c r="I248" s="13"/>
      <c r="K248" s="3"/>
      <c r="L248" s="17"/>
      <c r="N248" s="7"/>
      <c r="O248" s="18"/>
    </row>
    <row r="249" spans="3:15" ht="14" x14ac:dyDescent="0.2">
      <c r="C249" s="1"/>
      <c r="D249" s="22"/>
      <c r="F249" s="24"/>
      <c r="G249" s="14"/>
      <c r="H249" s="15"/>
      <c r="I249" s="13"/>
      <c r="K249" s="3"/>
      <c r="L249" s="17"/>
      <c r="N249" s="7"/>
      <c r="O249" s="18"/>
    </row>
    <row r="250" spans="3:15" ht="14" x14ac:dyDescent="0.2">
      <c r="C250" s="1"/>
      <c r="D250" s="22"/>
      <c r="F250" s="24"/>
      <c r="G250" s="14"/>
      <c r="H250" s="15"/>
      <c r="I250" s="13"/>
      <c r="K250" s="3"/>
      <c r="L250" s="17"/>
      <c r="N250" s="7"/>
      <c r="O250" s="18"/>
    </row>
    <row r="251" spans="3:15" ht="14" x14ac:dyDescent="0.2">
      <c r="C251" s="1"/>
      <c r="D251" s="22"/>
      <c r="F251" s="24"/>
      <c r="G251" s="14"/>
      <c r="H251" s="15"/>
      <c r="I251" s="13"/>
      <c r="K251" s="3"/>
      <c r="L251" s="17"/>
      <c r="N251" s="7"/>
      <c r="O251" s="18"/>
    </row>
    <row r="252" spans="3:15" ht="14" x14ac:dyDescent="0.2">
      <c r="C252" s="1"/>
      <c r="D252" s="22"/>
      <c r="F252" s="24"/>
      <c r="G252" s="14"/>
      <c r="H252" s="15"/>
      <c r="I252" s="13"/>
      <c r="K252" s="3"/>
      <c r="L252" s="17"/>
      <c r="N252" s="7"/>
      <c r="O252" s="18"/>
    </row>
    <row r="253" spans="3:15" ht="14" x14ac:dyDescent="0.2">
      <c r="C253" s="1"/>
      <c r="D253" s="22"/>
      <c r="F253" s="24"/>
      <c r="G253" s="14"/>
      <c r="H253" s="15"/>
      <c r="I253" s="13"/>
      <c r="K253" s="3"/>
      <c r="L253" s="17"/>
      <c r="N253" s="7"/>
      <c r="O253" s="18"/>
    </row>
    <row r="254" spans="3:15" ht="14" x14ac:dyDescent="0.2">
      <c r="C254" s="1"/>
      <c r="D254" s="22"/>
      <c r="F254" s="24"/>
      <c r="G254" s="14"/>
      <c r="H254" s="15"/>
      <c r="I254" s="13"/>
      <c r="K254" s="3"/>
      <c r="L254" s="17"/>
      <c r="N254" s="7"/>
      <c r="O254" s="18"/>
    </row>
    <row r="255" spans="3:15" ht="14" x14ac:dyDescent="0.2">
      <c r="C255" s="1"/>
      <c r="D255" s="22"/>
      <c r="F255" s="24"/>
      <c r="G255" s="14"/>
      <c r="H255" s="15"/>
      <c r="I255" s="13"/>
      <c r="K255" s="3"/>
      <c r="L255" s="17"/>
      <c r="N255" s="7"/>
      <c r="O255" s="18"/>
    </row>
    <row r="256" spans="3:15" ht="14" x14ac:dyDescent="0.2">
      <c r="C256" s="1"/>
      <c r="D256" s="22"/>
      <c r="F256" s="24"/>
      <c r="G256" s="14"/>
      <c r="H256" s="15"/>
      <c r="I256" s="13"/>
      <c r="K256" s="3"/>
      <c r="L256" s="17"/>
      <c r="N256" s="7"/>
      <c r="O256" s="18"/>
    </row>
    <row r="257" spans="3:15" ht="14" x14ac:dyDescent="0.2">
      <c r="C257" s="1"/>
      <c r="D257" s="22"/>
      <c r="F257" s="24"/>
      <c r="G257" s="14"/>
      <c r="H257" s="15"/>
      <c r="I257" s="13"/>
      <c r="K257" s="3"/>
      <c r="L257" s="17"/>
      <c r="N257" s="7"/>
      <c r="O257" s="18"/>
    </row>
    <row r="258" spans="3:15" ht="14" x14ac:dyDescent="0.2">
      <c r="C258" s="1"/>
      <c r="D258" s="22"/>
      <c r="F258" s="24"/>
      <c r="G258" s="14"/>
      <c r="H258" s="15"/>
      <c r="I258" s="13"/>
      <c r="K258" s="3"/>
      <c r="L258" s="17"/>
      <c r="N258" s="7"/>
      <c r="O258" s="18"/>
    </row>
    <row r="259" spans="3:15" ht="14" x14ac:dyDescent="0.2">
      <c r="C259" s="1"/>
      <c r="D259" s="22"/>
      <c r="F259" s="24"/>
      <c r="G259" s="14"/>
      <c r="H259" s="15"/>
      <c r="I259" s="13"/>
      <c r="K259" s="3"/>
      <c r="L259" s="17"/>
      <c r="N259" s="7"/>
      <c r="O259" s="18"/>
    </row>
    <row r="260" spans="3:15" ht="14" x14ac:dyDescent="0.2">
      <c r="C260" s="1"/>
      <c r="D260" s="22"/>
      <c r="F260" s="24"/>
      <c r="G260" s="14"/>
      <c r="H260" s="15"/>
      <c r="I260" s="13"/>
      <c r="K260" s="3"/>
      <c r="L260" s="17"/>
      <c r="N260" s="7"/>
      <c r="O260" s="18"/>
    </row>
    <row r="261" spans="3:15" ht="14" x14ac:dyDescent="0.2">
      <c r="C261" s="1"/>
      <c r="D261" s="22"/>
      <c r="F261" s="24"/>
      <c r="G261" s="14"/>
      <c r="H261" s="15"/>
      <c r="I261" s="13"/>
      <c r="K261" s="3"/>
      <c r="L261" s="17"/>
      <c r="N261" s="7"/>
      <c r="O261" s="18"/>
    </row>
    <row r="262" spans="3:15" ht="14" x14ac:dyDescent="0.2">
      <c r="C262" s="1"/>
      <c r="D262" s="22"/>
      <c r="F262" s="24"/>
      <c r="G262" s="14"/>
      <c r="H262" s="15"/>
      <c r="I262" s="13"/>
      <c r="K262" s="3"/>
      <c r="L262" s="17"/>
      <c r="N262" s="7"/>
      <c r="O262" s="18"/>
    </row>
    <row r="263" spans="3:15" ht="14" x14ac:dyDescent="0.2">
      <c r="C263" s="1"/>
      <c r="D263" s="22"/>
      <c r="F263" s="24"/>
      <c r="G263" s="14"/>
      <c r="H263" s="15"/>
      <c r="I263" s="13"/>
      <c r="K263" s="3"/>
      <c r="L263" s="17"/>
      <c r="N263" s="7"/>
      <c r="O263" s="18"/>
    </row>
    <row r="264" spans="3:15" ht="14" x14ac:dyDescent="0.2">
      <c r="C264" s="1"/>
      <c r="D264" s="22"/>
      <c r="F264" s="24"/>
      <c r="G264" s="14"/>
      <c r="H264" s="15"/>
      <c r="I264" s="13"/>
      <c r="K264" s="3"/>
      <c r="L264" s="17"/>
      <c r="N264" s="7"/>
      <c r="O264" s="18"/>
    </row>
    <row r="265" spans="3:15" ht="14" x14ac:dyDescent="0.2">
      <c r="C265" s="1"/>
      <c r="D265" s="22"/>
      <c r="F265" s="24"/>
      <c r="G265" s="14"/>
      <c r="H265" s="15"/>
      <c r="I265" s="13"/>
      <c r="K265" s="3"/>
      <c r="L265" s="17"/>
      <c r="N265" s="7"/>
      <c r="O265" s="18"/>
    </row>
    <row r="266" spans="3:15" ht="14" x14ac:dyDescent="0.2">
      <c r="C266" s="1"/>
      <c r="D266" s="22"/>
      <c r="F266" s="24"/>
      <c r="G266" s="14"/>
      <c r="H266" s="15"/>
      <c r="I266" s="13"/>
      <c r="K266" s="3"/>
      <c r="L266" s="17"/>
      <c r="N266" s="7"/>
      <c r="O266" s="18"/>
    </row>
    <row r="267" spans="3:15" ht="14" x14ac:dyDescent="0.2">
      <c r="C267" s="1"/>
      <c r="D267" s="22"/>
      <c r="F267" s="24"/>
      <c r="G267" s="14"/>
      <c r="H267" s="15"/>
      <c r="I267" s="13"/>
      <c r="K267" s="3"/>
      <c r="L267" s="17"/>
      <c r="N267" s="7"/>
      <c r="O267" s="18"/>
    </row>
    <row r="268" spans="3:15" ht="14" x14ac:dyDescent="0.2">
      <c r="C268" s="1"/>
      <c r="D268" s="22"/>
      <c r="F268" s="24"/>
      <c r="G268" s="14"/>
      <c r="H268" s="15"/>
      <c r="I268" s="13"/>
      <c r="K268" s="3"/>
      <c r="L268" s="17"/>
      <c r="N268" s="7"/>
      <c r="O268" s="18"/>
    </row>
    <row r="269" spans="3:15" ht="14" x14ac:dyDescent="0.2">
      <c r="C269" s="1"/>
      <c r="D269" s="22"/>
      <c r="F269" s="24"/>
      <c r="G269" s="14"/>
      <c r="H269" s="15"/>
      <c r="I269" s="13"/>
      <c r="K269" s="3"/>
      <c r="L269" s="17"/>
      <c r="N269" s="7"/>
      <c r="O269" s="18"/>
    </row>
    <row r="270" spans="3:15" ht="14" x14ac:dyDescent="0.2">
      <c r="C270" s="1"/>
      <c r="D270" s="22"/>
      <c r="F270" s="24"/>
      <c r="G270" s="14"/>
      <c r="H270" s="15"/>
      <c r="I270" s="13"/>
      <c r="K270" s="3"/>
      <c r="L270" s="17"/>
      <c r="N270" s="7"/>
      <c r="O270" s="18"/>
    </row>
    <row r="271" spans="3:15" ht="14" x14ac:dyDescent="0.2">
      <c r="C271" s="1"/>
      <c r="D271" s="22"/>
      <c r="F271" s="24"/>
      <c r="G271" s="14"/>
      <c r="H271" s="15"/>
      <c r="I271" s="13"/>
      <c r="K271" s="3"/>
      <c r="L271" s="17"/>
      <c r="N271" s="7"/>
      <c r="O271" s="18"/>
    </row>
    <row r="272" spans="3:15" ht="14" x14ac:dyDescent="0.2">
      <c r="C272" s="1"/>
      <c r="D272" s="22"/>
      <c r="F272" s="24"/>
      <c r="G272" s="14"/>
      <c r="H272" s="15"/>
      <c r="I272" s="13"/>
      <c r="K272" s="3"/>
      <c r="L272" s="17"/>
      <c r="N272" s="7"/>
      <c r="O272" s="18"/>
    </row>
    <row r="273" spans="3:15" ht="14" x14ac:dyDescent="0.2">
      <c r="C273" s="1"/>
      <c r="D273" s="22"/>
      <c r="F273" s="24"/>
      <c r="G273" s="14"/>
      <c r="H273" s="15"/>
      <c r="I273" s="13"/>
      <c r="K273" s="3"/>
      <c r="L273" s="17"/>
      <c r="N273" s="7"/>
      <c r="O273" s="18"/>
    </row>
    <row r="274" spans="3:15" ht="14" x14ac:dyDescent="0.2">
      <c r="C274" s="1"/>
      <c r="D274" s="22"/>
      <c r="F274" s="24"/>
      <c r="G274" s="14"/>
      <c r="H274" s="15"/>
      <c r="I274" s="13"/>
      <c r="K274" s="3"/>
      <c r="L274" s="17"/>
      <c r="N274" s="7"/>
      <c r="O274" s="18"/>
    </row>
    <row r="275" spans="3:15" ht="14" x14ac:dyDescent="0.2">
      <c r="C275" s="1"/>
      <c r="D275" s="22"/>
      <c r="F275" s="24"/>
      <c r="G275" s="14"/>
      <c r="H275" s="15"/>
      <c r="I275" s="13"/>
      <c r="K275" s="3"/>
      <c r="L275" s="17"/>
      <c r="N275" s="7"/>
      <c r="O275" s="18"/>
    </row>
    <row r="276" spans="3:15" ht="14" x14ac:dyDescent="0.2">
      <c r="C276" s="1"/>
      <c r="D276" s="22"/>
      <c r="F276" s="24"/>
      <c r="G276" s="14"/>
      <c r="H276" s="15"/>
      <c r="I276" s="13"/>
      <c r="K276" s="3"/>
      <c r="L276" s="17"/>
      <c r="N276" s="7"/>
      <c r="O276" s="18"/>
    </row>
    <row r="277" spans="3:15" ht="14" x14ac:dyDescent="0.2">
      <c r="C277" s="1"/>
      <c r="D277" s="22"/>
      <c r="F277" s="24"/>
      <c r="G277" s="14"/>
      <c r="H277" s="15"/>
      <c r="I277" s="13"/>
      <c r="K277" s="3"/>
      <c r="L277" s="17"/>
      <c r="N277" s="7"/>
      <c r="O277" s="18"/>
    </row>
    <row r="278" spans="3:15" ht="14" x14ac:dyDescent="0.2">
      <c r="C278" s="1"/>
      <c r="D278" s="22"/>
      <c r="F278" s="24"/>
      <c r="G278" s="14"/>
      <c r="H278" s="15"/>
      <c r="I278" s="13"/>
      <c r="K278" s="3"/>
      <c r="L278" s="17"/>
      <c r="N278" s="7"/>
      <c r="O278" s="18"/>
    </row>
    <row r="279" spans="3:15" ht="14" x14ac:dyDescent="0.2">
      <c r="C279" s="1"/>
      <c r="D279" s="22"/>
      <c r="F279" s="24"/>
      <c r="G279" s="14"/>
      <c r="H279" s="15"/>
      <c r="I279" s="13"/>
      <c r="K279" s="3"/>
      <c r="L279" s="17"/>
      <c r="N279" s="7"/>
      <c r="O279" s="18"/>
    </row>
    <row r="280" spans="3:15" ht="14" x14ac:dyDescent="0.2">
      <c r="C280" s="1"/>
      <c r="D280" s="22"/>
      <c r="F280" s="24"/>
      <c r="G280" s="14"/>
      <c r="H280" s="15"/>
      <c r="I280" s="13"/>
      <c r="K280" s="3"/>
      <c r="L280" s="17"/>
      <c r="N280" s="7"/>
      <c r="O280" s="18"/>
    </row>
    <row r="281" spans="3:15" ht="14" x14ac:dyDescent="0.2">
      <c r="C281" s="1"/>
      <c r="D281" s="22"/>
      <c r="F281" s="24"/>
      <c r="G281" s="14"/>
      <c r="H281" s="15"/>
      <c r="I281" s="13"/>
      <c r="K281" s="3"/>
      <c r="L281" s="17"/>
      <c r="N281" s="7"/>
      <c r="O281" s="18"/>
    </row>
    <row r="282" spans="3:15" ht="14" x14ac:dyDescent="0.2">
      <c r="C282" s="1"/>
      <c r="D282" s="22"/>
      <c r="F282" s="24"/>
      <c r="G282" s="14"/>
      <c r="H282" s="15"/>
      <c r="I282" s="13"/>
      <c r="K282" s="3"/>
      <c r="L282" s="17"/>
      <c r="N282" s="7"/>
      <c r="O282" s="18"/>
    </row>
    <row r="283" spans="3:15" ht="14" x14ac:dyDescent="0.2">
      <c r="C283" s="1"/>
      <c r="D283" s="22"/>
      <c r="F283" s="24"/>
      <c r="G283" s="14"/>
      <c r="H283" s="15"/>
      <c r="I283" s="13"/>
      <c r="K283" s="3"/>
      <c r="L283" s="17"/>
      <c r="N283" s="7"/>
      <c r="O283" s="18"/>
    </row>
    <row r="284" spans="3:15" ht="14" x14ac:dyDescent="0.2">
      <c r="C284" s="1"/>
      <c r="D284" s="22"/>
      <c r="F284" s="24"/>
      <c r="G284" s="14"/>
      <c r="H284" s="15"/>
      <c r="I284" s="13"/>
      <c r="K284" s="3"/>
      <c r="L284" s="17"/>
      <c r="N284" s="7"/>
      <c r="O284" s="18"/>
    </row>
    <row r="285" spans="3:15" ht="14" x14ac:dyDescent="0.2">
      <c r="C285" s="1"/>
      <c r="D285" s="22"/>
      <c r="F285" s="24"/>
      <c r="G285" s="14"/>
      <c r="H285" s="15"/>
      <c r="I285" s="13"/>
      <c r="K285" s="3"/>
      <c r="L285" s="17"/>
      <c r="N285" s="7"/>
      <c r="O285" s="18"/>
    </row>
    <row r="286" spans="3:15" ht="14" x14ac:dyDescent="0.2">
      <c r="C286" s="1"/>
      <c r="D286" s="22"/>
      <c r="F286" s="24"/>
      <c r="G286" s="14"/>
      <c r="H286" s="15"/>
      <c r="I286" s="13"/>
      <c r="K286" s="3"/>
      <c r="L286" s="17"/>
      <c r="N286" s="7"/>
      <c r="O286" s="18"/>
    </row>
    <row r="287" spans="3:15" ht="14" x14ac:dyDescent="0.2">
      <c r="C287" s="1"/>
      <c r="D287" s="22"/>
      <c r="F287" s="24"/>
      <c r="G287" s="14"/>
      <c r="H287" s="15"/>
      <c r="I287" s="13"/>
      <c r="K287" s="3"/>
      <c r="L287" s="17"/>
      <c r="N287" s="7"/>
      <c r="O287" s="18"/>
    </row>
    <row r="288" spans="3:15" ht="14" x14ac:dyDescent="0.2">
      <c r="C288" s="1"/>
      <c r="D288" s="22"/>
      <c r="F288" s="24"/>
      <c r="G288" s="14"/>
      <c r="H288" s="15"/>
      <c r="I288" s="13"/>
      <c r="K288" s="3"/>
      <c r="L288" s="17"/>
      <c r="N288" s="7"/>
      <c r="O288" s="18"/>
    </row>
    <row r="289" spans="3:15" ht="14" x14ac:dyDescent="0.2">
      <c r="C289" s="1"/>
      <c r="D289" s="22"/>
      <c r="F289" s="24"/>
      <c r="G289" s="14"/>
      <c r="H289" s="15"/>
      <c r="I289" s="13"/>
      <c r="K289" s="3"/>
      <c r="L289" s="17"/>
      <c r="N289" s="7"/>
      <c r="O289" s="18"/>
    </row>
    <row r="290" spans="3:15" ht="14" x14ac:dyDescent="0.2">
      <c r="C290" s="1"/>
      <c r="D290" s="22"/>
      <c r="F290" s="24"/>
      <c r="G290" s="14"/>
      <c r="H290" s="15"/>
      <c r="I290" s="13"/>
      <c r="K290" s="3"/>
      <c r="L290" s="17"/>
      <c r="N290" s="7"/>
      <c r="O290" s="18"/>
    </row>
    <row r="291" spans="3:15" ht="14" x14ac:dyDescent="0.2">
      <c r="C291" s="1"/>
      <c r="D291" s="22"/>
      <c r="F291" s="24"/>
      <c r="G291" s="14"/>
      <c r="H291" s="15"/>
      <c r="I291" s="13"/>
      <c r="K291" s="3"/>
      <c r="L291" s="17"/>
      <c r="N291" s="7"/>
      <c r="O291" s="18"/>
    </row>
    <row r="292" spans="3:15" ht="14" x14ac:dyDescent="0.2">
      <c r="C292" s="1"/>
      <c r="D292" s="22"/>
      <c r="F292" s="24"/>
      <c r="G292" s="14"/>
      <c r="H292" s="15"/>
      <c r="I292" s="13"/>
      <c r="K292" s="3"/>
      <c r="L292" s="17"/>
      <c r="N292" s="7"/>
      <c r="O292" s="18"/>
    </row>
    <row r="293" spans="3:15" ht="14" x14ac:dyDescent="0.2">
      <c r="C293" s="1"/>
      <c r="D293" s="22"/>
      <c r="F293" s="24"/>
      <c r="G293" s="14"/>
      <c r="H293" s="15"/>
      <c r="I293" s="13"/>
      <c r="K293" s="3"/>
      <c r="L293" s="17"/>
      <c r="N293" s="7"/>
      <c r="O293" s="18"/>
    </row>
    <row r="294" spans="3:15" ht="14" x14ac:dyDescent="0.2">
      <c r="C294" s="1"/>
      <c r="D294" s="22"/>
      <c r="F294" s="24"/>
      <c r="G294" s="14"/>
      <c r="H294" s="15"/>
      <c r="I294" s="13"/>
      <c r="K294" s="3"/>
      <c r="L294" s="17"/>
      <c r="N294" s="7"/>
      <c r="O294" s="18"/>
    </row>
    <row r="295" spans="3:15" ht="14" x14ac:dyDescent="0.2">
      <c r="C295" s="1"/>
      <c r="D295" s="22"/>
      <c r="F295" s="24"/>
      <c r="G295" s="14"/>
      <c r="H295" s="15"/>
      <c r="I295" s="13"/>
      <c r="K295" s="3"/>
      <c r="L295" s="17"/>
      <c r="N295" s="7"/>
      <c r="O295" s="18"/>
    </row>
    <row r="296" spans="3:15" ht="14" x14ac:dyDescent="0.2">
      <c r="C296" s="1"/>
      <c r="D296" s="22"/>
      <c r="F296" s="24"/>
      <c r="G296" s="14"/>
      <c r="H296" s="15"/>
      <c r="I296" s="13"/>
      <c r="K296" s="3"/>
      <c r="L296" s="17"/>
      <c r="N296" s="7"/>
      <c r="O296" s="18"/>
    </row>
    <row r="297" spans="3:15" ht="14" x14ac:dyDescent="0.2">
      <c r="C297" s="1"/>
      <c r="D297" s="22"/>
      <c r="F297" s="24"/>
      <c r="G297" s="14"/>
      <c r="H297" s="15"/>
      <c r="I297" s="13"/>
      <c r="K297" s="3"/>
      <c r="L297" s="17"/>
      <c r="N297" s="7"/>
      <c r="O297" s="18"/>
    </row>
    <row r="298" spans="3:15" ht="14" x14ac:dyDescent="0.2">
      <c r="C298" s="1"/>
      <c r="D298" s="22"/>
      <c r="F298" s="24"/>
      <c r="G298" s="14"/>
      <c r="H298" s="15"/>
      <c r="I298" s="13"/>
      <c r="K298" s="3"/>
      <c r="L298" s="17"/>
      <c r="N298" s="7"/>
      <c r="O298" s="18"/>
    </row>
    <row r="299" spans="3:15" ht="14" x14ac:dyDescent="0.2">
      <c r="C299" s="1"/>
      <c r="D299" s="22"/>
      <c r="F299" s="24"/>
      <c r="G299" s="14"/>
      <c r="H299" s="15"/>
      <c r="I299" s="13"/>
      <c r="K299" s="3"/>
      <c r="L299" s="17"/>
      <c r="N299" s="7"/>
      <c r="O299" s="18"/>
    </row>
    <row r="300" spans="3:15" ht="14" x14ac:dyDescent="0.2">
      <c r="C300" s="1"/>
      <c r="D300" s="22"/>
      <c r="F300" s="24"/>
      <c r="G300" s="14"/>
      <c r="H300" s="15"/>
      <c r="I300" s="13"/>
      <c r="K300" s="3"/>
      <c r="L300" s="17"/>
      <c r="N300" s="7"/>
      <c r="O300" s="18"/>
    </row>
    <row r="301" spans="3:15" ht="14" x14ac:dyDescent="0.2">
      <c r="C301" s="1"/>
      <c r="D301" s="22"/>
      <c r="F301" s="24"/>
      <c r="G301" s="14"/>
      <c r="H301" s="15"/>
      <c r="I301" s="13"/>
      <c r="K301" s="3"/>
      <c r="L301" s="17"/>
      <c r="N301" s="7"/>
      <c r="O301" s="18"/>
    </row>
    <row r="302" spans="3:15" ht="14" x14ac:dyDescent="0.2">
      <c r="C302" s="1"/>
      <c r="D302" s="22"/>
      <c r="F302" s="24"/>
      <c r="G302" s="14"/>
      <c r="H302" s="15"/>
      <c r="I302" s="13"/>
      <c r="K302" s="3"/>
      <c r="L302" s="17"/>
      <c r="N302" s="7"/>
      <c r="O302" s="18"/>
    </row>
    <row r="303" spans="3:15" ht="14" x14ac:dyDescent="0.2">
      <c r="C303" s="1"/>
      <c r="D303" s="22"/>
      <c r="F303" s="24"/>
      <c r="G303" s="14"/>
      <c r="H303" s="15"/>
      <c r="I303" s="13"/>
      <c r="K303" s="3"/>
      <c r="L303" s="17"/>
      <c r="N303" s="7"/>
      <c r="O303" s="18"/>
    </row>
    <row r="304" spans="3:15" ht="14" x14ac:dyDescent="0.2">
      <c r="C304" s="1"/>
      <c r="D304" s="22"/>
      <c r="F304" s="24"/>
      <c r="G304" s="14"/>
      <c r="H304" s="15"/>
      <c r="I304" s="13"/>
      <c r="K304" s="3"/>
      <c r="L304" s="17"/>
      <c r="N304" s="7"/>
      <c r="O304" s="18"/>
    </row>
    <row r="305" spans="3:15" ht="14" x14ac:dyDescent="0.2">
      <c r="C305" s="1"/>
      <c r="D305" s="22"/>
      <c r="F305" s="24"/>
      <c r="G305" s="14"/>
      <c r="H305" s="15"/>
      <c r="I305" s="13"/>
      <c r="K305" s="3"/>
      <c r="L305" s="17"/>
      <c r="N305" s="7"/>
      <c r="O305" s="18"/>
    </row>
    <row r="306" spans="3:15" ht="14" x14ac:dyDescent="0.2">
      <c r="C306" s="1"/>
      <c r="D306" s="22"/>
      <c r="F306" s="24"/>
      <c r="G306" s="14"/>
      <c r="H306" s="15"/>
      <c r="I306" s="13"/>
      <c r="K306" s="3"/>
      <c r="L306" s="17"/>
      <c r="N306" s="7"/>
      <c r="O306" s="18"/>
    </row>
    <row r="307" spans="3:15" ht="14" x14ac:dyDescent="0.2">
      <c r="C307" s="1"/>
      <c r="D307" s="22"/>
      <c r="F307" s="24"/>
      <c r="G307" s="14"/>
      <c r="H307" s="15"/>
      <c r="I307" s="13"/>
      <c r="K307" s="3"/>
      <c r="L307" s="17"/>
      <c r="N307" s="7"/>
      <c r="O307" s="18"/>
    </row>
    <row r="308" spans="3:15" ht="14" x14ac:dyDescent="0.2">
      <c r="C308" s="1"/>
      <c r="D308" s="22"/>
      <c r="F308" s="24"/>
      <c r="G308" s="14"/>
      <c r="H308" s="15"/>
      <c r="I308" s="13"/>
      <c r="K308" s="3"/>
      <c r="L308" s="17"/>
      <c r="N308" s="7"/>
      <c r="O308" s="18"/>
    </row>
    <row r="309" spans="3:15" ht="14" x14ac:dyDescent="0.2">
      <c r="C309" s="1"/>
      <c r="D309" s="22"/>
      <c r="F309" s="24"/>
      <c r="G309" s="14"/>
      <c r="H309" s="15"/>
      <c r="I309" s="13"/>
      <c r="K309" s="3"/>
      <c r="L309" s="17"/>
      <c r="N309" s="7"/>
      <c r="O309" s="18"/>
    </row>
    <row r="310" spans="3:15" ht="14" x14ac:dyDescent="0.2">
      <c r="C310" s="1"/>
      <c r="D310" s="22"/>
      <c r="F310" s="24"/>
      <c r="G310" s="14"/>
      <c r="H310" s="15"/>
      <c r="I310" s="13"/>
      <c r="K310" s="3"/>
      <c r="L310" s="17"/>
      <c r="N310" s="7"/>
      <c r="O310" s="18"/>
    </row>
    <row r="311" spans="3:15" ht="14" x14ac:dyDescent="0.2">
      <c r="C311" s="1"/>
      <c r="D311" s="22"/>
      <c r="F311" s="24"/>
      <c r="G311" s="14"/>
      <c r="H311" s="15"/>
      <c r="I311" s="13"/>
      <c r="K311" s="3"/>
      <c r="L311" s="17"/>
      <c r="N311" s="7"/>
      <c r="O311" s="18"/>
    </row>
    <row r="312" spans="3:15" ht="14" x14ac:dyDescent="0.2">
      <c r="C312" s="1"/>
      <c r="D312" s="22"/>
      <c r="F312" s="24"/>
      <c r="G312" s="14"/>
      <c r="H312" s="15"/>
      <c r="I312" s="13"/>
      <c r="K312" s="3"/>
      <c r="L312" s="17"/>
      <c r="N312" s="7"/>
      <c r="O312" s="18"/>
    </row>
    <row r="313" spans="3:15" ht="14" x14ac:dyDescent="0.2">
      <c r="C313" s="1"/>
      <c r="D313" s="22"/>
      <c r="F313" s="24"/>
      <c r="G313" s="14"/>
      <c r="H313" s="15"/>
      <c r="I313" s="13"/>
      <c r="K313" s="3"/>
      <c r="L313" s="17"/>
      <c r="N313" s="7"/>
      <c r="O313" s="18"/>
    </row>
    <row r="314" spans="3:15" ht="14" x14ac:dyDescent="0.2">
      <c r="C314" s="1"/>
      <c r="D314" s="22"/>
      <c r="F314" s="24"/>
      <c r="G314" s="14"/>
      <c r="H314" s="15"/>
      <c r="I314" s="13"/>
      <c r="K314" s="3"/>
      <c r="L314" s="17"/>
      <c r="N314" s="7"/>
      <c r="O314" s="18"/>
    </row>
    <row r="315" spans="3:15" ht="14" x14ac:dyDescent="0.2">
      <c r="C315" s="1"/>
      <c r="D315" s="22"/>
      <c r="F315" s="24"/>
      <c r="G315" s="14"/>
      <c r="H315" s="15"/>
      <c r="I315" s="13"/>
      <c r="K315" s="3"/>
      <c r="L315" s="17"/>
      <c r="N315" s="7"/>
      <c r="O315" s="18"/>
    </row>
    <row r="316" spans="3:15" ht="14" x14ac:dyDescent="0.2">
      <c r="C316" s="1"/>
      <c r="D316" s="22"/>
      <c r="F316" s="24"/>
      <c r="G316" s="14"/>
      <c r="H316" s="15"/>
      <c r="I316" s="13"/>
      <c r="K316" s="3"/>
      <c r="L316" s="17"/>
      <c r="N316" s="7"/>
      <c r="O316" s="18"/>
    </row>
    <row r="317" spans="3:15" ht="14" x14ac:dyDescent="0.2">
      <c r="C317" s="1"/>
      <c r="D317" s="22"/>
      <c r="F317" s="24"/>
      <c r="G317" s="14"/>
      <c r="H317" s="15"/>
      <c r="I317" s="13"/>
      <c r="K317" s="3"/>
      <c r="L317" s="17"/>
      <c r="N317" s="7"/>
      <c r="O317" s="18"/>
    </row>
    <row r="318" spans="3:15" ht="14" x14ac:dyDescent="0.2">
      <c r="C318" s="1"/>
      <c r="D318" s="22"/>
      <c r="F318" s="24"/>
      <c r="G318" s="14"/>
      <c r="H318" s="15"/>
      <c r="I318" s="13"/>
      <c r="K318" s="3"/>
      <c r="L318" s="17"/>
      <c r="N318" s="7"/>
      <c r="O318" s="18"/>
    </row>
    <row r="319" spans="3:15" ht="14" x14ac:dyDescent="0.2">
      <c r="C319" s="1"/>
      <c r="D319" s="22"/>
      <c r="F319" s="24"/>
      <c r="G319" s="14"/>
      <c r="H319" s="15"/>
      <c r="I319" s="13"/>
      <c r="K319" s="3"/>
      <c r="L319" s="17"/>
      <c r="N319" s="7"/>
      <c r="O319" s="18"/>
    </row>
    <row r="320" spans="3:15" ht="14" x14ac:dyDescent="0.2">
      <c r="C320" s="1"/>
      <c r="D320" s="22"/>
      <c r="F320" s="24"/>
      <c r="G320" s="14"/>
      <c r="H320" s="15"/>
      <c r="I320" s="13"/>
      <c r="K320" s="3"/>
      <c r="L320" s="17"/>
      <c r="N320" s="7"/>
      <c r="O320" s="18"/>
    </row>
    <row r="321" spans="3:15" ht="14" x14ac:dyDescent="0.2">
      <c r="C321" s="1"/>
      <c r="D321" s="22"/>
      <c r="F321" s="24"/>
      <c r="G321" s="14"/>
      <c r="H321" s="15"/>
      <c r="I321" s="13"/>
      <c r="K321" s="3"/>
      <c r="L321" s="17"/>
      <c r="N321" s="7"/>
      <c r="O321" s="18"/>
    </row>
    <row r="322" spans="3:15" ht="14" x14ac:dyDescent="0.2">
      <c r="C322" s="1"/>
      <c r="D322" s="22"/>
      <c r="F322" s="24"/>
      <c r="G322" s="14"/>
      <c r="H322" s="15"/>
      <c r="I322" s="13"/>
      <c r="K322" s="3"/>
      <c r="L322" s="17"/>
      <c r="N322" s="7"/>
      <c r="O322" s="18"/>
    </row>
    <row r="323" spans="3:15" ht="14" x14ac:dyDescent="0.2">
      <c r="C323" s="1"/>
      <c r="D323" s="22"/>
      <c r="F323" s="24"/>
      <c r="G323" s="14"/>
      <c r="H323" s="15"/>
      <c r="I323" s="13"/>
      <c r="K323" s="3"/>
      <c r="L323" s="17"/>
      <c r="N323" s="7"/>
      <c r="O323" s="18"/>
    </row>
    <row r="324" spans="3:15" ht="14" x14ac:dyDescent="0.2">
      <c r="C324" s="1"/>
      <c r="D324" s="22"/>
      <c r="F324" s="24"/>
      <c r="G324" s="14"/>
      <c r="H324" s="15"/>
      <c r="I324" s="13"/>
      <c r="K324" s="3"/>
      <c r="L324" s="17"/>
      <c r="N324" s="7"/>
      <c r="O324" s="18"/>
    </row>
    <row r="325" spans="3:15" ht="14" x14ac:dyDescent="0.2">
      <c r="C325" s="1"/>
      <c r="D325" s="22"/>
      <c r="F325" s="24"/>
      <c r="G325" s="14"/>
      <c r="H325" s="15"/>
      <c r="I325" s="13"/>
      <c r="K325" s="3"/>
      <c r="L325" s="17"/>
      <c r="N325" s="7"/>
      <c r="O325" s="18"/>
    </row>
    <row r="326" spans="3:15" ht="14" x14ac:dyDescent="0.2">
      <c r="C326" s="1"/>
      <c r="D326" s="22"/>
      <c r="F326" s="24"/>
      <c r="G326" s="14"/>
      <c r="H326" s="15"/>
      <c r="I326" s="13"/>
      <c r="K326" s="3"/>
      <c r="L326" s="17"/>
      <c r="N326" s="7"/>
      <c r="O326" s="18"/>
    </row>
    <row r="327" spans="3:15" ht="14" x14ac:dyDescent="0.2">
      <c r="C327" s="1"/>
      <c r="D327" s="22"/>
      <c r="F327" s="24"/>
      <c r="G327" s="14"/>
      <c r="H327" s="15"/>
      <c r="I327" s="13"/>
      <c r="K327" s="3"/>
      <c r="L327" s="17"/>
      <c r="N327" s="7"/>
      <c r="O327" s="18"/>
    </row>
    <row r="328" spans="3:15" ht="14" x14ac:dyDescent="0.2">
      <c r="C328" s="1"/>
      <c r="D328" s="22"/>
      <c r="F328" s="24"/>
      <c r="G328" s="14"/>
      <c r="H328" s="15"/>
      <c r="I328" s="13"/>
      <c r="K328" s="3"/>
      <c r="L328" s="17"/>
      <c r="N328" s="7"/>
      <c r="O328" s="18"/>
    </row>
    <row r="329" spans="3:15" ht="14" x14ac:dyDescent="0.2">
      <c r="C329" s="1"/>
      <c r="D329" s="22"/>
      <c r="F329" s="24"/>
      <c r="G329" s="14"/>
      <c r="H329" s="15"/>
      <c r="I329" s="13"/>
      <c r="K329" s="3"/>
      <c r="L329" s="17"/>
      <c r="N329" s="7"/>
      <c r="O329" s="18"/>
    </row>
    <row r="330" spans="3:15" ht="14" x14ac:dyDescent="0.2">
      <c r="C330" s="1"/>
      <c r="D330" s="22"/>
      <c r="F330" s="24"/>
      <c r="G330" s="14"/>
      <c r="H330" s="15"/>
      <c r="I330" s="13"/>
      <c r="K330" s="3"/>
      <c r="L330" s="17"/>
      <c r="N330" s="7"/>
      <c r="O330" s="18"/>
    </row>
    <row r="331" spans="3:15" ht="14" x14ac:dyDescent="0.2">
      <c r="C331" s="1"/>
      <c r="D331" s="22"/>
      <c r="F331" s="24"/>
      <c r="G331" s="14"/>
      <c r="H331" s="15"/>
      <c r="I331" s="13"/>
      <c r="K331" s="3"/>
      <c r="L331" s="17"/>
      <c r="N331" s="7"/>
      <c r="O331" s="18"/>
    </row>
    <row r="332" spans="3:15" ht="14" x14ac:dyDescent="0.2">
      <c r="C332" s="1"/>
      <c r="D332" s="22"/>
      <c r="F332" s="24"/>
      <c r="G332" s="14"/>
      <c r="H332" s="15"/>
      <c r="I332" s="13"/>
      <c r="K332" s="3"/>
      <c r="L332" s="17"/>
      <c r="N332" s="7"/>
      <c r="O332" s="18"/>
    </row>
    <row r="333" spans="3:15" ht="14" x14ac:dyDescent="0.2">
      <c r="C333" s="1"/>
      <c r="D333" s="22"/>
      <c r="F333" s="24"/>
      <c r="G333" s="14"/>
      <c r="H333" s="15"/>
      <c r="I333" s="13"/>
      <c r="K333" s="3"/>
      <c r="L333" s="17"/>
      <c r="N333" s="7"/>
      <c r="O333" s="18"/>
    </row>
    <row r="334" spans="3:15" ht="14" x14ac:dyDescent="0.2">
      <c r="C334" s="1"/>
      <c r="D334" s="22"/>
      <c r="F334" s="24"/>
      <c r="G334" s="14"/>
      <c r="H334" s="15"/>
      <c r="I334" s="13"/>
      <c r="K334" s="3"/>
      <c r="L334" s="17"/>
      <c r="N334" s="7"/>
      <c r="O334" s="18"/>
    </row>
    <row r="335" spans="3:15" ht="14" x14ac:dyDescent="0.2">
      <c r="C335" s="1"/>
      <c r="D335" s="22"/>
      <c r="F335" s="24"/>
      <c r="G335" s="14"/>
      <c r="H335" s="15"/>
      <c r="I335" s="13"/>
      <c r="K335" s="3"/>
      <c r="L335" s="17"/>
      <c r="N335" s="7"/>
      <c r="O335" s="18"/>
    </row>
    <row r="336" spans="3:15" ht="14" x14ac:dyDescent="0.2">
      <c r="C336" s="1"/>
      <c r="D336" s="22"/>
      <c r="F336" s="24"/>
      <c r="G336" s="14"/>
      <c r="H336" s="15"/>
      <c r="I336" s="13"/>
      <c r="K336" s="3"/>
      <c r="L336" s="17"/>
      <c r="N336" s="7"/>
      <c r="O336" s="18"/>
    </row>
    <row r="337" spans="3:15" ht="14" x14ac:dyDescent="0.2">
      <c r="C337" s="1"/>
      <c r="D337" s="22"/>
      <c r="F337" s="24"/>
      <c r="G337" s="14"/>
      <c r="H337" s="15"/>
      <c r="I337" s="13"/>
      <c r="K337" s="3"/>
      <c r="L337" s="17"/>
      <c r="N337" s="7"/>
      <c r="O337" s="18"/>
    </row>
    <row r="338" spans="3:15" ht="14" x14ac:dyDescent="0.2">
      <c r="C338" s="1"/>
      <c r="D338" s="22"/>
      <c r="F338" s="24"/>
      <c r="G338" s="14"/>
      <c r="H338" s="15"/>
      <c r="I338" s="13"/>
      <c r="K338" s="3"/>
      <c r="L338" s="17"/>
      <c r="N338" s="7"/>
      <c r="O338" s="18"/>
    </row>
    <row r="339" spans="3:15" ht="14" x14ac:dyDescent="0.2">
      <c r="C339" s="1"/>
      <c r="D339" s="22"/>
      <c r="F339" s="24"/>
      <c r="G339" s="14"/>
      <c r="H339" s="15"/>
      <c r="I339" s="13"/>
      <c r="K339" s="3"/>
      <c r="L339" s="17"/>
      <c r="N339" s="7"/>
      <c r="O339" s="18"/>
    </row>
    <row r="340" spans="3:15" ht="14" x14ac:dyDescent="0.2">
      <c r="C340" s="1"/>
      <c r="D340" s="22"/>
      <c r="F340" s="24"/>
      <c r="G340" s="14"/>
      <c r="H340" s="15"/>
      <c r="I340" s="13"/>
      <c r="K340" s="3"/>
      <c r="L340" s="17"/>
      <c r="N340" s="7"/>
      <c r="O340" s="18"/>
    </row>
    <row r="341" spans="3:15" ht="14" x14ac:dyDescent="0.2">
      <c r="C341" s="1"/>
      <c r="D341" s="22"/>
      <c r="F341" s="24"/>
      <c r="G341" s="14"/>
      <c r="H341" s="15"/>
      <c r="I341" s="13"/>
      <c r="K341" s="3"/>
      <c r="L341" s="17"/>
      <c r="N341" s="7"/>
      <c r="O341" s="18"/>
    </row>
    <row r="342" spans="3:15" ht="14" x14ac:dyDescent="0.2">
      <c r="C342" s="1"/>
      <c r="D342" s="22"/>
      <c r="F342" s="24"/>
      <c r="G342" s="14"/>
      <c r="H342" s="15"/>
      <c r="I342" s="13"/>
      <c r="K342" s="3"/>
      <c r="L342" s="17"/>
      <c r="N342" s="7"/>
      <c r="O342" s="18"/>
    </row>
    <row r="343" spans="3:15" ht="14" x14ac:dyDescent="0.2">
      <c r="C343" s="1"/>
      <c r="D343" s="22"/>
      <c r="F343" s="24"/>
      <c r="G343" s="14"/>
      <c r="H343" s="15"/>
      <c r="I343" s="13"/>
      <c r="K343" s="3"/>
      <c r="L343" s="17"/>
      <c r="N343" s="7"/>
      <c r="O343" s="18"/>
    </row>
    <row r="344" spans="3:15" ht="14" x14ac:dyDescent="0.2">
      <c r="C344" s="1"/>
      <c r="D344" s="22"/>
      <c r="F344" s="24"/>
      <c r="G344" s="14"/>
      <c r="H344" s="15"/>
      <c r="I344" s="13"/>
      <c r="K344" s="3"/>
      <c r="L344" s="17"/>
      <c r="N344" s="7"/>
      <c r="O344" s="18"/>
    </row>
    <row r="345" spans="3:15" ht="14" x14ac:dyDescent="0.2">
      <c r="C345" s="1"/>
      <c r="D345" s="22"/>
      <c r="F345" s="24"/>
      <c r="G345" s="14"/>
      <c r="H345" s="15"/>
      <c r="I345" s="13"/>
      <c r="K345" s="3"/>
      <c r="L345" s="17"/>
      <c r="N345" s="7"/>
      <c r="O345" s="18"/>
    </row>
    <row r="346" spans="3:15" ht="14" x14ac:dyDescent="0.2">
      <c r="C346" s="1"/>
      <c r="D346" s="22"/>
      <c r="F346" s="24"/>
      <c r="G346" s="14"/>
      <c r="H346" s="15"/>
      <c r="I346" s="13"/>
      <c r="K346" s="3"/>
      <c r="L346" s="17"/>
      <c r="N346" s="7"/>
      <c r="O346" s="18"/>
    </row>
    <row r="347" spans="3:15" ht="14" x14ac:dyDescent="0.2">
      <c r="C347" s="1"/>
      <c r="D347" s="22"/>
      <c r="F347" s="24"/>
      <c r="G347" s="14"/>
      <c r="H347" s="15"/>
      <c r="I347" s="13"/>
      <c r="K347" s="3"/>
      <c r="L347" s="17"/>
      <c r="N347" s="7"/>
      <c r="O347" s="18"/>
    </row>
    <row r="348" spans="3:15" ht="14" x14ac:dyDescent="0.2">
      <c r="C348" s="1"/>
      <c r="D348" s="22"/>
      <c r="F348" s="24"/>
      <c r="G348" s="14"/>
      <c r="H348" s="15"/>
      <c r="I348" s="13"/>
      <c r="K348" s="3"/>
      <c r="L348" s="17"/>
      <c r="N348" s="7"/>
      <c r="O348" s="18"/>
    </row>
    <row r="349" spans="3:15" ht="14" x14ac:dyDescent="0.2">
      <c r="C349" s="1"/>
      <c r="D349" s="22"/>
      <c r="F349" s="24"/>
      <c r="G349" s="14"/>
      <c r="H349" s="15"/>
      <c r="I349" s="13"/>
      <c r="K349" s="3"/>
      <c r="L349" s="17"/>
      <c r="N349" s="7"/>
      <c r="O349" s="18"/>
    </row>
    <row r="350" spans="3:15" ht="14" x14ac:dyDescent="0.2">
      <c r="C350" s="1"/>
      <c r="D350" s="22"/>
      <c r="F350" s="24"/>
      <c r="G350" s="14"/>
      <c r="H350" s="15"/>
      <c r="I350" s="13"/>
      <c r="K350" s="3"/>
      <c r="L350" s="17"/>
      <c r="N350" s="7"/>
      <c r="O350" s="18"/>
    </row>
    <row r="351" spans="3:15" ht="14" x14ac:dyDescent="0.2">
      <c r="C351" s="1"/>
      <c r="D351" s="22"/>
      <c r="F351" s="24"/>
      <c r="G351" s="14"/>
      <c r="H351" s="15"/>
      <c r="I351" s="13"/>
      <c r="K351" s="3"/>
      <c r="L351" s="17"/>
      <c r="N351" s="7"/>
      <c r="O351" s="18"/>
    </row>
    <row r="352" spans="3:15" ht="14" x14ac:dyDescent="0.2">
      <c r="C352" s="1"/>
      <c r="D352" s="22"/>
      <c r="F352" s="24"/>
      <c r="G352" s="14"/>
      <c r="H352" s="15"/>
      <c r="I352" s="13"/>
      <c r="K352" s="3"/>
      <c r="L352" s="17"/>
      <c r="N352" s="7"/>
      <c r="O352" s="18"/>
    </row>
    <row r="353" spans="3:15" ht="14" x14ac:dyDescent="0.2">
      <c r="C353" s="1"/>
      <c r="D353" s="22"/>
      <c r="F353" s="24"/>
      <c r="G353" s="14"/>
      <c r="H353" s="15"/>
      <c r="I353" s="13"/>
      <c r="K353" s="3"/>
      <c r="L353" s="17"/>
      <c r="N353" s="7"/>
      <c r="O353" s="18"/>
    </row>
    <row r="354" spans="3:15" ht="14" x14ac:dyDescent="0.2">
      <c r="C354" s="1"/>
      <c r="D354" s="22"/>
      <c r="F354" s="24"/>
      <c r="G354" s="14"/>
      <c r="H354" s="15"/>
      <c r="I354" s="13"/>
      <c r="K354" s="3"/>
      <c r="L354" s="17"/>
      <c r="N354" s="7"/>
      <c r="O354" s="18"/>
    </row>
    <row r="355" spans="3:15" ht="14" x14ac:dyDescent="0.2">
      <c r="C355" s="1"/>
      <c r="D355" s="22"/>
      <c r="F355" s="24"/>
      <c r="G355" s="14"/>
      <c r="H355" s="15"/>
      <c r="I355" s="13"/>
      <c r="K355" s="3"/>
      <c r="L355" s="17"/>
      <c r="N355" s="7"/>
      <c r="O355" s="18"/>
    </row>
    <row r="356" spans="3:15" ht="14" x14ac:dyDescent="0.2">
      <c r="C356" s="1"/>
      <c r="D356" s="22"/>
      <c r="F356" s="24"/>
      <c r="G356" s="14"/>
      <c r="H356" s="15"/>
      <c r="I356" s="13"/>
      <c r="K356" s="3"/>
      <c r="L356" s="17"/>
      <c r="N356" s="7"/>
      <c r="O356" s="18"/>
    </row>
    <row r="357" spans="3:15" ht="14" x14ac:dyDescent="0.2">
      <c r="C357" s="1"/>
      <c r="D357" s="22"/>
      <c r="F357" s="24"/>
      <c r="G357" s="14"/>
      <c r="H357" s="15"/>
      <c r="I357" s="13"/>
      <c r="K357" s="3"/>
      <c r="L357" s="17"/>
      <c r="N357" s="7"/>
      <c r="O357" s="18"/>
    </row>
    <row r="358" spans="3:15" ht="14" x14ac:dyDescent="0.2">
      <c r="C358" s="1"/>
      <c r="D358" s="22"/>
      <c r="F358" s="24"/>
      <c r="G358" s="14"/>
      <c r="H358" s="15"/>
      <c r="I358" s="13"/>
      <c r="K358" s="3"/>
      <c r="L358" s="17"/>
      <c r="N358" s="7"/>
      <c r="O358" s="18"/>
    </row>
    <row r="359" spans="3:15" ht="14" x14ac:dyDescent="0.2">
      <c r="C359" s="1"/>
      <c r="D359" s="22"/>
      <c r="F359" s="24"/>
      <c r="G359" s="14"/>
      <c r="H359" s="15"/>
      <c r="I359" s="13"/>
      <c r="K359" s="3"/>
      <c r="L359" s="17"/>
      <c r="N359" s="7"/>
      <c r="O359" s="18"/>
    </row>
    <row r="360" spans="3:15" ht="14" x14ac:dyDescent="0.2">
      <c r="C360" s="1"/>
      <c r="D360" s="22"/>
      <c r="F360" s="24"/>
      <c r="G360" s="14"/>
      <c r="H360" s="15"/>
      <c r="I360" s="13"/>
      <c r="K360" s="3"/>
      <c r="L360" s="17"/>
      <c r="N360" s="7"/>
      <c r="O360" s="18"/>
    </row>
    <row r="361" spans="3:15" ht="14" x14ac:dyDescent="0.2">
      <c r="C361" s="1"/>
      <c r="D361" s="22"/>
      <c r="F361" s="24"/>
      <c r="G361" s="14"/>
      <c r="H361" s="15"/>
      <c r="I361" s="13"/>
      <c r="K361" s="3"/>
      <c r="L361" s="17"/>
      <c r="N361" s="7"/>
      <c r="O361" s="18"/>
    </row>
    <row r="362" spans="3:15" ht="14" x14ac:dyDescent="0.2">
      <c r="C362" s="1"/>
      <c r="D362" s="22"/>
      <c r="F362" s="24"/>
      <c r="G362" s="14"/>
      <c r="H362" s="15"/>
      <c r="I362" s="13"/>
      <c r="K362" s="3"/>
      <c r="L362" s="17"/>
      <c r="N362" s="7"/>
      <c r="O362" s="18"/>
    </row>
    <row r="363" spans="3:15" ht="14" x14ac:dyDescent="0.2">
      <c r="C363" s="1"/>
      <c r="D363" s="22"/>
      <c r="F363" s="24"/>
      <c r="G363" s="14"/>
      <c r="H363" s="15"/>
      <c r="I363" s="13"/>
      <c r="K363" s="3"/>
      <c r="L363" s="17"/>
      <c r="N363" s="7"/>
      <c r="O363" s="18"/>
    </row>
    <row r="364" spans="3:15" ht="14" x14ac:dyDescent="0.2">
      <c r="C364" s="1"/>
      <c r="D364" s="22"/>
      <c r="F364" s="24"/>
      <c r="G364" s="14"/>
      <c r="H364" s="15"/>
      <c r="I364" s="13"/>
      <c r="K364" s="3"/>
      <c r="L364" s="17"/>
      <c r="N364" s="7"/>
      <c r="O364" s="18"/>
    </row>
    <row r="365" spans="3:15" ht="14" x14ac:dyDescent="0.2">
      <c r="C365" s="1"/>
      <c r="D365" s="22"/>
      <c r="F365" s="24"/>
      <c r="G365" s="14"/>
      <c r="H365" s="15"/>
      <c r="I365" s="13"/>
      <c r="K365" s="3"/>
      <c r="L365" s="17"/>
      <c r="N365" s="7"/>
      <c r="O365" s="18"/>
    </row>
    <row r="366" spans="3:15" ht="14" x14ac:dyDescent="0.2">
      <c r="C366" s="1"/>
      <c r="D366" s="22"/>
      <c r="F366" s="24"/>
      <c r="G366" s="14"/>
      <c r="H366" s="15"/>
      <c r="I366" s="13"/>
      <c r="K366" s="3"/>
      <c r="L366" s="17"/>
      <c r="N366" s="7"/>
      <c r="O366" s="18"/>
    </row>
    <row r="367" spans="3:15" ht="14" x14ac:dyDescent="0.2">
      <c r="C367" s="1"/>
      <c r="D367" s="22"/>
      <c r="F367" s="24"/>
      <c r="G367" s="14"/>
      <c r="H367" s="15"/>
      <c r="I367" s="13"/>
      <c r="K367" s="3"/>
      <c r="L367" s="17"/>
      <c r="N367" s="7"/>
      <c r="O367" s="18"/>
    </row>
    <row r="368" spans="3:15" ht="14" x14ac:dyDescent="0.2">
      <c r="C368" s="1"/>
      <c r="D368" s="22"/>
      <c r="F368" s="24"/>
      <c r="G368" s="14"/>
      <c r="H368" s="15"/>
      <c r="I368" s="13"/>
      <c r="K368" s="3"/>
      <c r="L368" s="17"/>
      <c r="N368" s="7"/>
      <c r="O368" s="18"/>
    </row>
    <row r="369" spans="3:15" ht="14" x14ac:dyDescent="0.2">
      <c r="C369" s="1"/>
      <c r="D369" s="22"/>
      <c r="F369" s="24"/>
      <c r="G369" s="14"/>
      <c r="H369" s="15"/>
      <c r="I369" s="13"/>
      <c r="K369" s="3"/>
      <c r="L369" s="17"/>
      <c r="N369" s="7"/>
      <c r="O369" s="18"/>
    </row>
    <row r="370" spans="3:15" ht="14" x14ac:dyDescent="0.2">
      <c r="C370" s="1"/>
      <c r="D370" s="22"/>
      <c r="F370" s="24"/>
      <c r="G370" s="14"/>
      <c r="H370" s="15"/>
      <c r="I370" s="13"/>
      <c r="K370" s="3"/>
      <c r="L370" s="17"/>
      <c r="N370" s="7"/>
      <c r="O370" s="18"/>
    </row>
    <row r="371" spans="3:15" ht="14" x14ac:dyDescent="0.2">
      <c r="C371" s="1"/>
      <c r="D371" s="22"/>
      <c r="F371" s="24"/>
      <c r="G371" s="14"/>
      <c r="H371" s="15"/>
      <c r="I371" s="13"/>
      <c r="K371" s="3"/>
      <c r="L371" s="17"/>
      <c r="N371" s="7"/>
      <c r="O371" s="18"/>
    </row>
    <row r="372" spans="3:15" ht="14" x14ac:dyDescent="0.2">
      <c r="C372" s="1"/>
      <c r="D372" s="22"/>
      <c r="F372" s="24"/>
      <c r="G372" s="14"/>
      <c r="H372" s="15"/>
      <c r="I372" s="13"/>
      <c r="K372" s="3"/>
      <c r="L372" s="17"/>
      <c r="N372" s="7"/>
      <c r="O372" s="18"/>
    </row>
    <row r="373" spans="3:15" ht="14" x14ac:dyDescent="0.2">
      <c r="C373" s="1"/>
      <c r="D373" s="22"/>
      <c r="F373" s="24"/>
      <c r="G373" s="14"/>
      <c r="H373" s="15"/>
      <c r="I373" s="13"/>
      <c r="K373" s="3"/>
      <c r="L373" s="17"/>
      <c r="N373" s="7"/>
      <c r="O373" s="18"/>
    </row>
    <row r="374" spans="3:15" ht="14" x14ac:dyDescent="0.2">
      <c r="C374" s="1"/>
      <c r="D374" s="22"/>
      <c r="F374" s="24"/>
      <c r="G374" s="14"/>
      <c r="H374" s="15"/>
      <c r="I374" s="13"/>
      <c r="K374" s="3"/>
      <c r="L374" s="17"/>
      <c r="N374" s="7"/>
      <c r="O374" s="18"/>
    </row>
    <row r="375" spans="3:15" ht="14" x14ac:dyDescent="0.2">
      <c r="C375" s="1"/>
      <c r="D375" s="22"/>
      <c r="F375" s="24"/>
      <c r="G375" s="14"/>
      <c r="H375" s="15"/>
      <c r="I375" s="13"/>
      <c r="K375" s="3"/>
      <c r="L375" s="17"/>
      <c r="N375" s="7"/>
      <c r="O375" s="18"/>
    </row>
    <row r="376" spans="3:15" ht="14" x14ac:dyDescent="0.2">
      <c r="C376" s="1"/>
      <c r="D376" s="22"/>
      <c r="F376" s="24"/>
      <c r="G376" s="14"/>
      <c r="H376" s="15"/>
      <c r="I376" s="13"/>
      <c r="K376" s="3"/>
      <c r="L376" s="17"/>
      <c r="N376" s="7"/>
      <c r="O376" s="18"/>
    </row>
    <row r="377" spans="3:15" ht="14" x14ac:dyDescent="0.2">
      <c r="C377" s="1"/>
      <c r="D377" s="22"/>
      <c r="F377" s="24"/>
      <c r="G377" s="14"/>
      <c r="H377" s="15"/>
      <c r="I377" s="13"/>
      <c r="K377" s="3"/>
      <c r="L377" s="17"/>
      <c r="N377" s="7"/>
      <c r="O377" s="18"/>
    </row>
    <row r="378" spans="3:15" ht="14" x14ac:dyDescent="0.2">
      <c r="C378" s="1"/>
      <c r="D378" s="22"/>
      <c r="F378" s="24"/>
      <c r="G378" s="14"/>
      <c r="H378" s="15"/>
      <c r="I378" s="13"/>
      <c r="K378" s="3"/>
      <c r="L378" s="17"/>
      <c r="N378" s="7"/>
      <c r="O378" s="18"/>
    </row>
    <row r="379" spans="3:15" ht="14" x14ac:dyDescent="0.2">
      <c r="C379" s="1"/>
      <c r="D379" s="22"/>
      <c r="F379" s="24"/>
      <c r="G379" s="14"/>
      <c r="H379" s="15"/>
      <c r="I379" s="13"/>
      <c r="K379" s="3"/>
      <c r="L379" s="17"/>
      <c r="N379" s="7"/>
      <c r="O379" s="18"/>
    </row>
    <row r="380" spans="3:15" ht="14" x14ac:dyDescent="0.2">
      <c r="C380" s="1"/>
      <c r="D380" s="22"/>
      <c r="F380" s="24"/>
      <c r="G380" s="14"/>
      <c r="H380" s="15"/>
      <c r="I380" s="13"/>
      <c r="K380" s="3"/>
      <c r="L380" s="17"/>
      <c r="N380" s="7"/>
      <c r="O380" s="18"/>
    </row>
    <row r="381" spans="3:15" ht="14" x14ac:dyDescent="0.2">
      <c r="C381" s="1"/>
      <c r="D381" s="22"/>
      <c r="F381" s="24"/>
      <c r="G381" s="14"/>
      <c r="H381" s="15"/>
      <c r="I381" s="13"/>
      <c r="K381" s="3"/>
      <c r="L381" s="17"/>
      <c r="N381" s="7"/>
      <c r="O381" s="18"/>
    </row>
    <row r="382" spans="3:15" ht="14" x14ac:dyDescent="0.2">
      <c r="C382" s="1"/>
      <c r="D382" s="22"/>
      <c r="F382" s="24"/>
      <c r="G382" s="14"/>
      <c r="H382" s="15"/>
      <c r="I382" s="13"/>
      <c r="K382" s="3"/>
      <c r="L382" s="17"/>
      <c r="N382" s="7"/>
      <c r="O382" s="18"/>
    </row>
    <row r="383" spans="3:15" ht="14" x14ac:dyDescent="0.2">
      <c r="C383" s="1"/>
      <c r="D383" s="22"/>
      <c r="F383" s="24"/>
      <c r="G383" s="14"/>
      <c r="H383" s="15"/>
      <c r="I383" s="13"/>
      <c r="K383" s="3"/>
      <c r="L383" s="17"/>
      <c r="N383" s="7"/>
      <c r="O383" s="18"/>
    </row>
    <row r="384" spans="3:15" ht="14" x14ac:dyDescent="0.2">
      <c r="C384" s="1"/>
      <c r="D384" s="22"/>
      <c r="F384" s="24"/>
      <c r="G384" s="14"/>
      <c r="H384" s="15"/>
      <c r="I384" s="13"/>
      <c r="K384" s="3"/>
      <c r="L384" s="17"/>
      <c r="N384" s="7"/>
      <c r="O384" s="18"/>
    </row>
    <row r="385" spans="3:15" ht="14" x14ac:dyDescent="0.2">
      <c r="C385" s="1"/>
      <c r="D385" s="22"/>
      <c r="F385" s="24"/>
      <c r="G385" s="14"/>
      <c r="H385" s="15"/>
      <c r="I385" s="13"/>
      <c r="K385" s="3"/>
      <c r="L385" s="17"/>
      <c r="N385" s="7"/>
      <c r="O385" s="18"/>
    </row>
    <row r="386" spans="3:15" ht="14" x14ac:dyDescent="0.2">
      <c r="C386" s="1"/>
      <c r="D386" s="22"/>
      <c r="F386" s="24"/>
      <c r="G386" s="14"/>
      <c r="H386" s="15"/>
      <c r="I386" s="13"/>
      <c r="K386" s="3"/>
      <c r="L386" s="17"/>
      <c r="N386" s="7"/>
      <c r="O386" s="18"/>
    </row>
    <row r="387" spans="3:15" ht="14" x14ac:dyDescent="0.2">
      <c r="C387" s="1"/>
      <c r="D387" s="22"/>
      <c r="F387" s="24"/>
      <c r="G387" s="14"/>
      <c r="H387" s="15"/>
      <c r="I387" s="13"/>
      <c r="K387" s="3"/>
      <c r="L387" s="17"/>
      <c r="N387" s="7"/>
      <c r="O387" s="18"/>
    </row>
    <row r="388" spans="3:15" ht="14" x14ac:dyDescent="0.2">
      <c r="C388" s="1"/>
      <c r="D388" s="22"/>
      <c r="F388" s="24"/>
      <c r="G388" s="14"/>
      <c r="H388" s="15"/>
      <c r="I388" s="13"/>
      <c r="K388" s="3"/>
      <c r="L388" s="17"/>
      <c r="N388" s="7"/>
      <c r="O388" s="18"/>
    </row>
    <row r="389" spans="3:15" ht="14" x14ac:dyDescent="0.2">
      <c r="C389" s="1"/>
      <c r="D389" s="22"/>
      <c r="F389" s="24"/>
      <c r="G389" s="14"/>
      <c r="H389" s="15"/>
      <c r="I389" s="13"/>
      <c r="K389" s="3"/>
      <c r="L389" s="17"/>
      <c r="N389" s="7"/>
      <c r="O389" s="18"/>
    </row>
    <row r="390" spans="3:15" ht="14" x14ac:dyDescent="0.2">
      <c r="C390" s="1"/>
      <c r="D390" s="22"/>
      <c r="F390" s="24"/>
      <c r="G390" s="14"/>
      <c r="H390" s="15"/>
      <c r="I390" s="13"/>
      <c r="K390" s="3"/>
      <c r="L390" s="17"/>
      <c r="N390" s="7"/>
      <c r="O390" s="18"/>
    </row>
    <row r="391" spans="3:15" ht="14" x14ac:dyDescent="0.2">
      <c r="C391" s="1"/>
      <c r="D391" s="22"/>
      <c r="F391" s="24"/>
      <c r="G391" s="14"/>
      <c r="H391" s="15"/>
      <c r="I391" s="13"/>
      <c r="K391" s="3"/>
      <c r="L391" s="17"/>
      <c r="N391" s="7"/>
      <c r="O391" s="18"/>
    </row>
    <row r="392" spans="3:15" ht="14" x14ac:dyDescent="0.2">
      <c r="C392" s="1"/>
      <c r="D392" s="22"/>
      <c r="F392" s="24"/>
      <c r="G392" s="14"/>
      <c r="H392" s="15"/>
      <c r="I392" s="13"/>
      <c r="K392" s="3"/>
      <c r="L392" s="17"/>
      <c r="N392" s="7"/>
      <c r="O392" s="18"/>
    </row>
    <row r="393" spans="3:15" ht="14" x14ac:dyDescent="0.2">
      <c r="C393" s="1"/>
      <c r="D393" s="22"/>
      <c r="F393" s="24"/>
      <c r="G393" s="14"/>
      <c r="H393" s="15"/>
      <c r="I393" s="13"/>
      <c r="K393" s="3"/>
      <c r="L393" s="17"/>
      <c r="N393" s="7"/>
      <c r="O393" s="18"/>
    </row>
    <row r="394" spans="3:15" ht="14" x14ac:dyDescent="0.2">
      <c r="C394" s="1"/>
      <c r="D394" s="22"/>
      <c r="F394" s="24"/>
      <c r="G394" s="14"/>
      <c r="H394" s="15"/>
      <c r="I394" s="13"/>
      <c r="K394" s="3"/>
      <c r="L394" s="17"/>
      <c r="N394" s="7"/>
      <c r="O394" s="18"/>
    </row>
    <row r="395" spans="3:15" ht="14" x14ac:dyDescent="0.2">
      <c r="C395" s="1"/>
      <c r="D395" s="22"/>
      <c r="F395" s="24"/>
      <c r="G395" s="14"/>
      <c r="H395" s="15"/>
      <c r="I395" s="13"/>
      <c r="K395" s="3"/>
      <c r="L395" s="17"/>
      <c r="N395" s="7"/>
      <c r="O395" s="18"/>
    </row>
    <row r="396" spans="3:15" ht="14" x14ac:dyDescent="0.2">
      <c r="C396" s="1"/>
      <c r="D396" s="22"/>
      <c r="F396" s="24"/>
      <c r="G396" s="14"/>
      <c r="H396" s="15"/>
      <c r="I396" s="13"/>
      <c r="K396" s="3"/>
      <c r="L396" s="17"/>
      <c r="N396" s="7"/>
      <c r="O396" s="18"/>
    </row>
    <row r="397" spans="3:15" ht="14" x14ac:dyDescent="0.2">
      <c r="C397" s="1"/>
      <c r="D397" s="22"/>
      <c r="F397" s="24"/>
      <c r="G397" s="14"/>
      <c r="H397" s="15"/>
      <c r="I397" s="13"/>
      <c r="K397" s="3"/>
      <c r="L397" s="17"/>
      <c r="N397" s="7"/>
      <c r="O397" s="18"/>
    </row>
    <row r="398" spans="3:15" ht="14" x14ac:dyDescent="0.2">
      <c r="C398" s="1"/>
      <c r="D398" s="22"/>
      <c r="F398" s="24"/>
      <c r="G398" s="14"/>
      <c r="H398" s="15"/>
      <c r="I398" s="13"/>
      <c r="K398" s="3"/>
      <c r="L398" s="17"/>
      <c r="N398" s="7"/>
      <c r="O398" s="18"/>
    </row>
    <row r="399" spans="3:15" ht="14" x14ac:dyDescent="0.2">
      <c r="C399" s="1"/>
      <c r="D399" s="22"/>
      <c r="F399" s="24"/>
      <c r="G399" s="14"/>
      <c r="H399" s="15"/>
      <c r="I399" s="13"/>
      <c r="K399" s="3"/>
      <c r="L399" s="17"/>
      <c r="N399" s="7"/>
      <c r="O399" s="18"/>
    </row>
    <row r="400" spans="3:15" ht="14" x14ac:dyDescent="0.2">
      <c r="C400" s="1"/>
      <c r="D400" s="22"/>
      <c r="F400" s="24"/>
      <c r="G400" s="14"/>
      <c r="H400" s="15"/>
      <c r="I400" s="13"/>
      <c r="K400" s="3"/>
      <c r="L400" s="17"/>
      <c r="N400" s="7"/>
      <c r="O400" s="18"/>
    </row>
    <row r="401" spans="3:15" ht="14" x14ac:dyDescent="0.2">
      <c r="C401" s="1"/>
      <c r="D401" s="22"/>
      <c r="F401" s="24"/>
      <c r="G401" s="14"/>
      <c r="H401" s="15"/>
      <c r="I401" s="13"/>
      <c r="K401" s="3"/>
      <c r="L401" s="17"/>
      <c r="N401" s="7"/>
      <c r="O401" s="18"/>
    </row>
    <row r="402" spans="3:15" ht="14" x14ac:dyDescent="0.2">
      <c r="C402" s="1"/>
      <c r="D402" s="22"/>
      <c r="F402" s="24"/>
      <c r="G402" s="14"/>
      <c r="H402" s="15"/>
      <c r="I402" s="13"/>
      <c r="K402" s="3"/>
      <c r="L402" s="17"/>
      <c r="N402" s="7"/>
      <c r="O402" s="18"/>
    </row>
    <row r="403" spans="3:15" ht="14" x14ac:dyDescent="0.2">
      <c r="C403" s="1"/>
      <c r="D403" s="22"/>
      <c r="F403" s="24"/>
      <c r="G403" s="14"/>
      <c r="H403" s="15"/>
      <c r="I403" s="13"/>
      <c r="K403" s="3"/>
      <c r="L403" s="17"/>
      <c r="N403" s="7"/>
      <c r="O403" s="18"/>
    </row>
    <row r="404" spans="3:15" ht="14" x14ac:dyDescent="0.2">
      <c r="C404" s="1"/>
      <c r="D404" s="22"/>
      <c r="F404" s="24"/>
      <c r="G404" s="14"/>
      <c r="H404" s="15"/>
      <c r="I404" s="13"/>
      <c r="K404" s="3"/>
      <c r="L404" s="17"/>
      <c r="N404" s="7"/>
      <c r="O404" s="18"/>
    </row>
    <row r="405" spans="3:15" ht="14" x14ac:dyDescent="0.2">
      <c r="C405" s="1"/>
      <c r="D405" s="22"/>
      <c r="F405" s="24"/>
      <c r="G405" s="14"/>
      <c r="H405" s="15"/>
      <c r="I405" s="13"/>
      <c r="K405" s="3"/>
      <c r="L405" s="17"/>
      <c r="N405" s="7"/>
      <c r="O405" s="18"/>
    </row>
    <row r="406" spans="3:15" ht="14" x14ac:dyDescent="0.2">
      <c r="C406" s="1"/>
      <c r="D406" s="22"/>
      <c r="F406" s="24"/>
      <c r="G406" s="14"/>
      <c r="H406" s="15"/>
      <c r="I406" s="13"/>
      <c r="K406" s="3"/>
      <c r="L406" s="17"/>
      <c r="N406" s="7"/>
      <c r="O406" s="18"/>
    </row>
    <row r="407" spans="3:15" ht="14" x14ac:dyDescent="0.2">
      <c r="C407" s="1"/>
      <c r="D407" s="22"/>
      <c r="F407" s="24"/>
      <c r="G407" s="14"/>
      <c r="H407" s="15"/>
      <c r="I407" s="13"/>
      <c r="K407" s="3"/>
      <c r="L407" s="17"/>
      <c r="N407" s="7"/>
      <c r="O407" s="18"/>
    </row>
    <row r="408" spans="3:15" ht="14" x14ac:dyDescent="0.2">
      <c r="C408" s="1"/>
      <c r="D408" s="22"/>
      <c r="F408" s="24"/>
      <c r="G408" s="14"/>
      <c r="H408" s="15"/>
      <c r="I408" s="13"/>
      <c r="K408" s="3"/>
      <c r="L408" s="17"/>
      <c r="N408" s="7"/>
      <c r="O408" s="18"/>
    </row>
    <row r="409" spans="3:15" ht="14" x14ac:dyDescent="0.2">
      <c r="C409" s="1"/>
      <c r="D409" s="22"/>
      <c r="F409" s="24"/>
      <c r="G409" s="14"/>
      <c r="H409" s="15"/>
      <c r="I409" s="13"/>
      <c r="K409" s="3"/>
      <c r="L409" s="17"/>
      <c r="N409" s="7"/>
      <c r="O409" s="18"/>
    </row>
    <row r="410" spans="3:15" ht="14" x14ac:dyDescent="0.2">
      <c r="C410" s="1"/>
      <c r="D410" s="22"/>
      <c r="F410" s="24"/>
      <c r="G410" s="14"/>
      <c r="H410" s="15"/>
      <c r="I410" s="13"/>
      <c r="K410" s="3"/>
      <c r="L410" s="17"/>
      <c r="N410" s="7"/>
      <c r="O410" s="18"/>
    </row>
    <row r="411" spans="3:15" ht="14" x14ac:dyDescent="0.2">
      <c r="C411" s="1"/>
      <c r="D411" s="22"/>
      <c r="F411" s="24"/>
      <c r="G411" s="14"/>
      <c r="H411" s="15"/>
      <c r="I411" s="13"/>
      <c r="K411" s="3"/>
      <c r="L411" s="17"/>
      <c r="N411" s="7"/>
      <c r="O411" s="18"/>
    </row>
    <row r="412" spans="3:15" ht="14" x14ac:dyDescent="0.2">
      <c r="C412" s="1"/>
      <c r="D412" s="22"/>
      <c r="F412" s="24"/>
      <c r="G412" s="14"/>
      <c r="H412" s="15"/>
      <c r="I412" s="13"/>
      <c r="K412" s="3"/>
      <c r="L412" s="17"/>
      <c r="N412" s="7"/>
      <c r="O412" s="18"/>
    </row>
    <row r="413" spans="3:15" ht="14" x14ac:dyDescent="0.2">
      <c r="C413" s="1"/>
      <c r="D413" s="22"/>
      <c r="F413" s="24"/>
      <c r="G413" s="14"/>
      <c r="H413" s="15"/>
      <c r="I413" s="13"/>
      <c r="K413" s="3"/>
      <c r="L413" s="17"/>
      <c r="N413" s="7"/>
      <c r="O413" s="18"/>
    </row>
    <row r="414" spans="3:15" ht="14" x14ac:dyDescent="0.2">
      <c r="C414" s="1"/>
      <c r="D414" s="22"/>
      <c r="F414" s="24"/>
      <c r="G414" s="14"/>
      <c r="H414" s="15"/>
      <c r="I414" s="13"/>
      <c r="K414" s="3"/>
      <c r="L414" s="17"/>
      <c r="N414" s="7"/>
      <c r="O414" s="18"/>
    </row>
    <row r="415" spans="3:15" ht="14" x14ac:dyDescent="0.2">
      <c r="C415" s="1"/>
      <c r="D415" s="22"/>
      <c r="F415" s="24"/>
      <c r="G415" s="14"/>
      <c r="H415" s="15"/>
      <c r="I415" s="13"/>
      <c r="K415" s="3"/>
      <c r="L415" s="17"/>
      <c r="N415" s="7"/>
      <c r="O415" s="18"/>
    </row>
    <row r="416" spans="3:15" ht="14" x14ac:dyDescent="0.2">
      <c r="C416" s="1"/>
      <c r="D416" s="22"/>
      <c r="F416" s="24"/>
      <c r="G416" s="14"/>
      <c r="H416" s="15"/>
      <c r="I416" s="13"/>
      <c r="K416" s="3"/>
      <c r="L416" s="17"/>
      <c r="N416" s="7"/>
      <c r="O416" s="18"/>
    </row>
    <row r="417" spans="3:15" ht="14" x14ac:dyDescent="0.2">
      <c r="C417" s="1"/>
      <c r="D417" s="22"/>
      <c r="F417" s="24"/>
      <c r="G417" s="14"/>
      <c r="H417" s="15"/>
      <c r="I417" s="13"/>
      <c r="K417" s="3"/>
      <c r="L417" s="17"/>
      <c r="N417" s="7"/>
      <c r="O417" s="18"/>
    </row>
    <row r="418" spans="3:15" ht="14" x14ac:dyDescent="0.2">
      <c r="C418" s="1"/>
      <c r="D418" s="22"/>
      <c r="F418" s="24"/>
      <c r="G418" s="14"/>
      <c r="H418" s="15"/>
      <c r="I418" s="13"/>
      <c r="K418" s="3"/>
      <c r="L418" s="17"/>
      <c r="N418" s="7"/>
      <c r="O418" s="18"/>
    </row>
    <row r="419" spans="3:15" ht="14" x14ac:dyDescent="0.2">
      <c r="C419" s="1"/>
      <c r="D419" s="22"/>
      <c r="F419" s="24"/>
      <c r="G419" s="14"/>
      <c r="H419" s="15"/>
      <c r="I419" s="13"/>
      <c r="K419" s="3"/>
      <c r="L419" s="17"/>
      <c r="N419" s="7"/>
      <c r="O419" s="18"/>
    </row>
    <row r="420" spans="3:15" ht="14" x14ac:dyDescent="0.2">
      <c r="C420" s="1"/>
      <c r="D420" s="22"/>
      <c r="F420" s="24"/>
      <c r="G420" s="14"/>
      <c r="H420" s="15"/>
      <c r="I420" s="13"/>
      <c r="K420" s="3"/>
      <c r="L420" s="17"/>
      <c r="N420" s="7"/>
      <c r="O420" s="18"/>
    </row>
    <row r="421" spans="3:15" ht="14" x14ac:dyDescent="0.2">
      <c r="C421" s="1"/>
      <c r="D421" s="22"/>
      <c r="F421" s="24"/>
      <c r="G421" s="14"/>
      <c r="H421" s="15"/>
      <c r="I421" s="13"/>
      <c r="K421" s="3"/>
      <c r="L421" s="17"/>
      <c r="N421" s="7"/>
      <c r="O421" s="18"/>
    </row>
    <row r="422" spans="3:15" ht="14" x14ac:dyDescent="0.2">
      <c r="C422" s="1"/>
      <c r="D422" s="22"/>
      <c r="F422" s="24"/>
      <c r="G422" s="14"/>
      <c r="H422" s="15"/>
      <c r="I422" s="13"/>
      <c r="K422" s="3"/>
      <c r="L422" s="17"/>
      <c r="N422" s="7"/>
      <c r="O422" s="18"/>
    </row>
    <row r="423" spans="3:15" ht="14" x14ac:dyDescent="0.2">
      <c r="C423" s="1"/>
      <c r="D423" s="22"/>
      <c r="F423" s="24"/>
      <c r="G423" s="14"/>
      <c r="H423" s="15"/>
      <c r="I423" s="13"/>
      <c r="K423" s="3"/>
      <c r="L423" s="17"/>
      <c r="N423" s="7"/>
      <c r="O423" s="18"/>
    </row>
    <row r="424" spans="3:15" ht="14" x14ac:dyDescent="0.2">
      <c r="C424" s="1"/>
      <c r="D424" s="22"/>
      <c r="F424" s="24"/>
      <c r="G424" s="14"/>
      <c r="H424" s="15"/>
      <c r="I424" s="13"/>
      <c r="K424" s="3"/>
      <c r="L424" s="17"/>
      <c r="N424" s="7"/>
      <c r="O424" s="18"/>
    </row>
    <row r="425" spans="3:15" ht="14" x14ac:dyDescent="0.2">
      <c r="C425" s="1"/>
      <c r="D425" s="22"/>
      <c r="F425" s="24"/>
      <c r="G425" s="14"/>
      <c r="H425" s="15"/>
      <c r="I425" s="13"/>
      <c r="K425" s="3"/>
      <c r="L425" s="17"/>
      <c r="N425" s="7"/>
      <c r="O425" s="18"/>
    </row>
    <row r="426" spans="3:15" ht="14" x14ac:dyDescent="0.2">
      <c r="C426" s="1"/>
      <c r="D426" s="22"/>
      <c r="F426" s="24"/>
      <c r="G426" s="14"/>
      <c r="H426" s="15"/>
      <c r="I426" s="13"/>
      <c r="K426" s="3"/>
      <c r="L426" s="17"/>
      <c r="N426" s="7"/>
      <c r="O426" s="18"/>
    </row>
    <row r="427" spans="3:15" ht="14" x14ac:dyDescent="0.2">
      <c r="C427" s="1"/>
      <c r="D427" s="22"/>
      <c r="F427" s="24"/>
      <c r="G427" s="14"/>
      <c r="H427" s="15"/>
      <c r="I427" s="13"/>
      <c r="K427" s="3"/>
      <c r="L427" s="17"/>
      <c r="N427" s="7"/>
      <c r="O427" s="18"/>
    </row>
    <row r="428" spans="3:15" ht="14" x14ac:dyDescent="0.2">
      <c r="C428" s="1"/>
      <c r="D428" s="22"/>
      <c r="F428" s="24"/>
      <c r="G428" s="14"/>
      <c r="H428" s="15"/>
      <c r="I428" s="13"/>
      <c r="K428" s="3"/>
      <c r="L428" s="17"/>
      <c r="N428" s="7"/>
      <c r="O428" s="18"/>
    </row>
    <row r="429" spans="3:15" ht="14" x14ac:dyDescent="0.2">
      <c r="C429" s="1"/>
      <c r="D429" s="22"/>
      <c r="F429" s="24"/>
      <c r="G429" s="14"/>
      <c r="H429" s="15"/>
      <c r="I429" s="13"/>
      <c r="K429" s="3"/>
      <c r="L429" s="17"/>
      <c r="N429" s="7"/>
      <c r="O429" s="18"/>
    </row>
    <row r="430" spans="3:15" ht="14" x14ac:dyDescent="0.2">
      <c r="C430" s="1"/>
      <c r="D430" s="22"/>
      <c r="F430" s="24"/>
      <c r="G430" s="14"/>
      <c r="H430" s="15"/>
      <c r="I430" s="13"/>
      <c r="K430" s="3"/>
      <c r="L430" s="17"/>
      <c r="N430" s="7"/>
      <c r="O430" s="18"/>
    </row>
    <row r="431" spans="3:15" ht="14" x14ac:dyDescent="0.2">
      <c r="C431" s="1"/>
      <c r="D431" s="22"/>
      <c r="F431" s="24"/>
      <c r="G431" s="14"/>
      <c r="H431" s="15"/>
      <c r="I431" s="13"/>
      <c r="K431" s="3"/>
      <c r="L431" s="17"/>
      <c r="N431" s="7"/>
      <c r="O431" s="18"/>
    </row>
    <row r="432" spans="3:15" ht="14" x14ac:dyDescent="0.2">
      <c r="C432" s="1"/>
      <c r="D432" s="22"/>
      <c r="F432" s="24"/>
      <c r="G432" s="14"/>
      <c r="H432" s="15"/>
      <c r="I432" s="13"/>
      <c r="K432" s="3"/>
      <c r="L432" s="17"/>
      <c r="N432" s="7"/>
      <c r="O432" s="18"/>
    </row>
    <row r="433" spans="3:15" ht="14" x14ac:dyDescent="0.2">
      <c r="C433" s="1"/>
      <c r="D433" s="22"/>
      <c r="F433" s="24"/>
      <c r="G433" s="14"/>
      <c r="H433" s="15"/>
      <c r="I433" s="13"/>
      <c r="K433" s="3"/>
      <c r="L433" s="17"/>
      <c r="N433" s="7"/>
      <c r="O433" s="18"/>
    </row>
    <row r="434" spans="3:15" ht="14" x14ac:dyDescent="0.2">
      <c r="C434" s="1"/>
      <c r="D434" s="22"/>
      <c r="F434" s="24"/>
      <c r="G434" s="14"/>
      <c r="H434" s="15"/>
      <c r="I434" s="13"/>
      <c r="K434" s="3"/>
      <c r="L434" s="17"/>
      <c r="N434" s="7"/>
      <c r="O434" s="18"/>
    </row>
    <row r="435" spans="3:15" ht="14" x14ac:dyDescent="0.2">
      <c r="C435" s="1"/>
      <c r="D435" s="22"/>
      <c r="F435" s="24"/>
      <c r="G435" s="14"/>
      <c r="H435" s="15"/>
      <c r="I435" s="13"/>
      <c r="K435" s="3"/>
      <c r="L435" s="17"/>
      <c r="N435" s="7"/>
      <c r="O435" s="18"/>
    </row>
    <row r="436" spans="3:15" ht="14" x14ac:dyDescent="0.2">
      <c r="C436" s="1"/>
      <c r="D436" s="22"/>
      <c r="F436" s="24"/>
      <c r="G436" s="14"/>
      <c r="H436" s="15"/>
      <c r="I436" s="13"/>
      <c r="K436" s="3"/>
      <c r="L436" s="17"/>
      <c r="N436" s="7"/>
      <c r="O436" s="18"/>
    </row>
    <row r="437" spans="3:15" ht="14" x14ac:dyDescent="0.2">
      <c r="C437" s="1"/>
      <c r="D437" s="22"/>
      <c r="F437" s="24"/>
      <c r="G437" s="14"/>
      <c r="H437" s="15"/>
      <c r="I437" s="13"/>
      <c r="K437" s="3"/>
      <c r="L437" s="17"/>
      <c r="N437" s="7"/>
      <c r="O437" s="18"/>
    </row>
    <row r="438" spans="3:15" ht="14" x14ac:dyDescent="0.2">
      <c r="C438" s="1"/>
      <c r="D438" s="22"/>
      <c r="F438" s="24"/>
      <c r="G438" s="14"/>
      <c r="H438" s="15"/>
      <c r="I438" s="13"/>
      <c r="K438" s="3"/>
      <c r="L438" s="17"/>
      <c r="N438" s="7"/>
      <c r="O438" s="18"/>
    </row>
    <row r="439" spans="3:15" ht="14" x14ac:dyDescent="0.2">
      <c r="C439" s="1"/>
      <c r="D439" s="22"/>
      <c r="F439" s="24"/>
      <c r="G439" s="14"/>
      <c r="H439" s="15"/>
      <c r="I439" s="13"/>
      <c r="K439" s="3"/>
      <c r="L439" s="17"/>
      <c r="N439" s="7"/>
      <c r="O439" s="18"/>
    </row>
    <row r="440" spans="3:15" ht="14" x14ac:dyDescent="0.2">
      <c r="C440" s="1"/>
      <c r="D440" s="22"/>
      <c r="F440" s="24"/>
      <c r="G440" s="14"/>
      <c r="H440" s="15"/>
      <c r="I440" s="13"/>
      <c r="K440" s="3"/>
      <c r="L440" s="17"/>
      <c r="N440" s="7"/>
      <c r="O440" s="18"/>
    </row>
    <row r="441" spans="3:15" ht="14" x14ac:dyDescent="0.2">
      <c r="C441" s="1"/>
      <c r="D441" s="22"/>
      <c r="F441" s="24"/>
      <c r="G441" s="14"/>
      <c r="H441" s="15"/>
      <c r="I441" s="13"/>
      <c r="K441" s="3"/>
      <c r="L441" s="17"/>
      <c r="N441" s="7"/>
      <c r="O441" s="18"/>
    </row>
    <row r="442" spans="3:15" ht="14" x14ac:dyDescent="0.2">
      <c r="C442" s="1"/>
      <c r="D442" s="22"/>
      <c r="F442" s="24"/>
      <c r="G442" s="14"/>
      <c r="H442" s="15"/>
      <c r="I442" s="13"/>
      <c r="K442" s="3"/>
      <c r="L442" s="17"/>
      <c r="N442" s="7"/>
      <c r="O442" s="18"/>
    </row>
    <row r="443" spans="3:15" ht="14" x14ac:dyDescent="0.2">
      <c r="C443" s="1"/>
      <c r="D443" s="22"/>
      <c r="F443" s="24"/>
      <c r="G443" s="14"/>
      <c r="H443" s="15"/>
      <c r="I443" s="13"/>
      <c r="K443" s="3"/>
      <c r="L443" s="17"/>
      <c r="N443" s="7"/>
      <c r="O443" s="18"/>
    </row>
    <row r="444" spans="3:15" ht="14" x14ac:dyDescent="0.2">
      <c r="C444" s="1"/>
      <c r="D444" s="22"/>
      <c r="F444" s="24"/>
      <c r="G444" s="14"/>
      <c r="H444" s="15"/>
      <c r="I444" s="13"/>
      <c r="K444" s="3"/>
      <c r="L444" s="17"/>
      <c r="N444" s="7"/>
      <c r="O444" s="18"/>
    </row>
    <row r="445" spans="3:15" ht="14" x14ac:dyDescent="0.2">
      <c r="C445" s="1"/>
      <c r="D445" s="22"/>
      <c r="F445" s="24"/>
      <c r="G445" s="14"/>
      <c r="H445" s="15"/>
      <c r="I445" s="13"/>
      <c r="K445" s="3"/>
      <c r="L445" s="17"/>
      <c r="N445" s="7"/>
      <c r="O445" s="18"/>
    </row>
    <row r="446" spans="3:15" ht="14" x14ac:dyDescent="0.2">
      <c r="C446" s="1"/>
      <c r="D446" s="22"/>
      <c r="F446" s="24"/>
      <c r="G446" s="14"/>
      <c r="H446" s="15"/>
      <c r="I446" s="13"/>
      <c r="K446" s="3"/>
      <c r="L446" s="17"/>
      <c r="N446" s="7"/>
      <c r="O446" s="18"/>
    </row>
    <row r="447" spans="3:15" ht="14" x14ac:dyDescent="0.2">
      <c r="C447" s="1"/>
      <c r="D447" s="22"/>
      <c r="F447" s="24"/>
      <c r="G447" s="14"/>
      <c r="H447" s="15"/>
      <c r="I447" s="13"/>
      <c r="K447" s="3"/>
      <c r="L447" s="17"/>
      <c r="N447" s="7"/>
      <c r="O447" s="18"/>
    </row>
    <row r="448" spans="3:15" ht="14" x14ac:dyDescent="0.2">
      <c r="C448" s="1"/>
      <c r="D448" s="22"/>
      <c r="F448" s="24"/>
      <c r="G448" s="14"/>
      <c r="H448" s="15"/>
      <c r="I448" s="13"/>
      <c r="K448" s="3"/>
      <c r="L448" s="17"/>
      <c r="N448" s="7"/>
      <c r="O448" s="18"/>
    </row>
    <row r="449" spans="3:15" ht="14" x14ac:dyDescent="0.2">
      <c r="C449" s="1"/>
      <c r="D449" s="22"/>
      <c r="F449" s="24"/>
      <c r="G449" s="14"/>
      <c r="H449" s="15"/>
      <c r="I449" s="13"/>
      <c r="K449" s="3"/>
      <c r="L449" s="17"/>
      <c r="N449" s="7"/>
      <c r="O449" s="18"/>
    </row>
    <row r="450" spans="3:15" ht="14" x14ac:dyDescent="0.2">
      <c r="C450" s="1"/>
      <c r="D450" s="22"/>
      <c r="F450" s="24"/>
      <c r="G450" s="14"/>
      <c r="H450" s="15"/>
      <c r="I450" s="13"/>
      <c r="K450" s="3"/>
      <c r="L450" s="17"/>
      <c r="N450" s="7"/>
      <c r="O450" s="18"/>
    </row>
    <row r="451" spans="3:15" ht="14" x14ac:dyDescent="0.2">
      <c r="C451" s="1"/>
      <c r="D451" s="22"/>
      <c r="F451" s="24"/>
      <c r="G451" s="14"/>
      <c r="H451" s="15"/>
      <c r="I451" s="13"/>
      <c r="K451" s="3"/>
      <c r="L451" s="17"/>
      <c r="N451" s="7"/>
      <c r="O451" s="18"/>
    </row>
    <row r="452" spans="3:15" ht="14" x14ac:dyDescent="0.2">
      <c r="C452" s="1"/>
      <c r="D452" s="22"/>
      <c r="F452" s="24"/>
      <c r="G452" s="14"/>
      <c r="H452" s="15"/>
      <c r="I452" s="13"/>
      <c r="K452" s="3"/>
      <c r="L452" s="17"/>
      <c r="N452" s="7"/>
      <c r="O452" s="18"/>
    </row>
    <row r="453" spans="3:15" ht="14" x14ac:dyDescent="0.2">
      <c r="C453" s="1"/>
      <c r="D453" s="22"/>
      <c r="F453" s="24"/>
      <c r="G453" s="14"/>
      <c r="H453" s="15"/>
      <c r="I453" s="13"/>
      <c r="K453" s="3"/>
      <c r="L453" s="17"/>
      <c r="N453" s="7"/>
      <c r="O453" s="18"/>
    </row>
    <row r="454" spans="3:15" ht="14" x14ac:dyDescent="0.2">
      <c r="C454" s="1"/>
      <c r="D454" s="22"/>
      <c r="F454" s="24"/>
      <c r="G454" s="14"/>
      <c r="H454" s="15"/>
      <c r="I454" s="13"/>
      <c r="K454" s="3"/>
      <c r="L454" s="17"/>
      <c r="N454" s="7"/>
      <c r="O454" s="18"/>
    </row>
    <row r="455" spans="3:15" ht="14" x14ac:dyDescent="0.2">
      <c r="C455" s="1"/>
      <c r="D455" s="22"/>
      <c r="F455" s="24"/>
      <c r="G455" s="14"/>
      <c r="H455" s="15"/>
      <c r="I455" s="13"/>
      <c r="K455" s="3"/>
      <c r="L455" s="17"/>
      <c r="N455" s="7"/>
      <c r="O455" s="18"/>
    </row>
    <row r="456" spans="3:15" ht="14" x14ac:dyDescent="0.2">
      <c r="C456" s="1"/>
      <c r="D456" s="22"/>
      <c r="F456" s="24"/>
      <c r="G456" s="14"/>
      <c r="H456" s="15"/>
      <c r="I456" s="13"/>
      <c r="K456" s="3"/>
      <c r="L456" s="17"/>
      <c r="N456" s="7"/>
      <c r="O456" s="18"/>
    </row>
    <row r="457" spans="3:15" ht="14" x14ac:dyDescent="0.2">
      <c r="C457" s="1"/>
      <c r="D457" s="22"/>
      <c r="F457" s="24"/>
      <c r="G457" s="14"/>
      <c r="H457" s="15"/>
      <c r="I457" s="13"/>
      <c r="K457" s="3"/>
      <c r="L457" s="17"/>
      <c r="N457" s="7"/>
      <c r="O457" s="18"/>
    </row>
    <row r="458" spans="3:15" ht="14" x14ac:dyDescent="0.2">
      <c r="C458" s="1"/>
      <c r="D458" s="22"/>
      <c r="F458" s="24"/>
      <c r="G458" s="14"/>
      <c r="H458" s="15"/>
      <c r="I458" s="13"/>
      <c r="K458" s="3"/>
      <c r="L458" s="17"/>
      <c r="N458" s="7"/>
      <c r="O458" s="18"/>
    </row>
    <row r="459" spans="3:15" ht="14" x14ac:dyDescent="0.2">
      <c r="C459" s="1"/>
      <c r="D459" s="22"/>
      <c r="F459" s="24"/>
      <c r="G459" s="14"/>
      <c r="H459" s="15"/>
      <c r="I459" s="13"/>
      <c r="K459" s="3"/>
      <c r="L459" s="17"/>
      <c r="N459" s="7"/>
      <c r="O459" s="18"/>
    </row>
    <row r="460" spans="3:15" ht="14" x14ac:dyDescent="0.2">
      <c r="C460" s="1"/>
      <c r="D460" s="22"/>
      <c r="F460" s="24"/>
      <c r="G460" s="14"/>
      <c r="H460" s="15"/>
      <c r="I460" s="13"/>
      <c r="K460" s="3"/>
      <c r="L460" s="17"/>
      <c r="N460" s="7"/>
      <c r="O460" s="18"/>
    </row>
    <row r="461" spans="3:15" ht="14" x14ac:dyDescent="0.2">
      <c r="C461" s="1"/>
      <c r="D461" s="22"/>
      <c r="F461" s="24"/>
      <c r="G461" s="14"/>
      <c r="H461" s="15"/>
      <c r="I461" s="13"/>
      <c r="K461" s="3"/>
      <c r="L461" s="17"/>
      <c r="N461" s="7"/>
      <c r="O461" s="18"/>
    </row>
    <row r="462" spans="3:15" ht="14" x14ac:dyDescent="0.2">
      <c r="C462" s="1"/>
      <c r="D462" s="22"/>
      <c r="F462" s="24"/>
      <c r="G462" s="14"/>
      <c r="H462" s="15"/>
      <c r="I462" s="13"/>
      <c r="K462" s="3"/>
      <c r="L462" s="17"/>
      <c r="N462" s="7"/>
      <c r="O462" s="18"/>
    </row>
    <row r="463" spans="3:15" ht="14" x14ac:dyDescent="0.2">
      <c r="C463" s="1"/>
      <c r="D463" s="22"/>
      <c r="F463" s="24"/>
      <c r="G463" s="14"/>
      <c r="H463" s="15"/>
      <c r="I463" s="13"/>
      <c r="K463" s="3"/>
      <c r="L463" s="17"/>
      <c r="N463" s="7"/>
      <c r="O463" s="18"/>
    </row>
    <row r="464" spans="3:15" ht="14" x14ac:dyDescent="0.2">
      <c r="C464" s="1"/>
      <c r="D464" s="22"/>
      <c r="F464" s="24"/>
      <c r="G464" s="14"/>
      <c r="H464" s="15"/>
      <c r="I464" s="13"/>
      <c r="K464" s="3"/>
      <c r="L464" s="17"/>
      <c r="N464" s="7"/>
      <c r="O464" s="18"/>
    </row>
    <row r="465" spans="3:15" ht="14" x14ac:dyDescent="0.2">
      <c r="C465" s="1"/>
      <c r="D465" s="22"/>
      <c r="F465" s="24"/>
      <c r="G465" s="14"/>
      <c r="H465" s="15"/>
      <c r="I465" s="13"/>
      <c r="K465" s="3"/>
      <c r="L465" s="17"/>
      <c r="N465" s="7"/>
      <c r="O465" s="18"/>
    </row>
    <row r="466" spans="3:15" ht="14" x14ac:dyDescent="0.2">
      <c r="C466" s="1"/>
      <c r="D466" s="22"/>
      <c r="F466" s="24"/>
      <c r="G466" s="14"/>
      <c r="H466" s="15"/>
      <c r="I466" s="13"/>
      <c r="K466" s="3"/>
      <c r="L466" s="17"/>
      <c r="N466" s="7"/>
      <c r="O466" s="18"/>
    </row>
    <row r="467" spans="3:15" ht="14" x14ac:dyDescent="0.2">
      <c r="C467" s="1"/>
      <c r="D467" s="22"/>
      <c r="F467" s="24"/>
      <c r="G467" s="14"/>
      <c r="H467" s="15"/>
      <c r="I467" s="13"/>
      <c r="K467" s="3"/>
      <c r="L467" s="17"/>
      <c r="N467" s="7"/>
      <c r="O467" s="18"/>
    </row>
    <row r="468" spans="3:15" ht="14" x14ac:dyDescent="0.2">
      <c r="C468" s="1"/>
      <c r="D468" s="22"/>
      <c r="F468" s="24"/>
      <c r="G468" s="14"/>
      <c r="H468" s="15"/>
      <c r="I468" s="13"/>
      <c r="K468" s="3"/>
      <c r="L468" s="17"/>
      <c r="N468" s="7"/>
      <c r="O468" s="18"/>
    </row>
    <row r="469" spans="3:15" ht="14" x14ac:dyDescent="0.2">
      <c r="C469" s="1"/>
      <c r="D469" s="22"/>
      <c r="F469" s="24"/>
      <c r="G469" s="14"/>
      <c r="H469" s="15"/>
      <c r="I469" s="13"/>
      <c r="K469" s="3"/>
      <c r="L469" s="17"/>
      <c r="N469" s="7"/>
      <c r="O469" s="18"/>
    </row>
    <row r="470" spans="3:15" ht="14" x14ac:dyDescent="0.2">
      <c r="C470" s="1"/>
      <c r="D470" s="22"/>
      <c r="F470" s="24"/>
      <c r="G470" s="14"/>
      <c r="H470" s="15"/>
      <c r="I470" s="13"/>
      <c r="K470" s="3"/>
      <c r="L470" s="17"/>
      <c r="N470" s="7"/>
      <c r="O470" s="18"/>
    </row>
    <row r="471" spans="3:15" ht="14" x14ac:dyDescent="0.2">
      <c r="C471" s="1"/>
      <c r="D471" s="22"/>
      <c r="F471" s="24"/>
      <c r="G471" s="14"/>
      <c r="H471" s="15"/>
      <c r="I471" s="13"/>
      <c r="K471" s="3"/>
      <c r="L471" s="17"/>
      <c r="N471" s="7"/>
      <c r="O471" s="18"/>
    </row>
    <row r="472" spans="3:15" ht="14" x14ac:dyDescent="0.2">
      <c r="C472" s="1"/>
      <c r="D472" s="22"/>
      <c r="F472" s="24"/>
      <c r="G472" s="14"/>
      <c r="H472" s="15"/>
      <c r="I472" s="13"/>
      <c r="K472" s="3"/>
      <c r="L472" s="17"/>
      <c r="N472" s="7"/>
      <c r="O472" s="18"/>
    </row>
    <row r="473" spans="3:15" ht="14" x14ac:dyDescent="0.2">
      <c r="C473" s="1"/>
      <c r="D473" s="22"/>
      <c r="F473" s="24"/>
      <c r="G473" s="14"/>
      <c r="H473" s="15"/>
      <c r="I473" s="13"/>
      <c r="K473" s="3"/>
      <c r="L473" s="17"/>
      <c r="N473" s="7"/>
      <c r="O473" s="18"/>
    </row>
    <row r="474" spans="3:15" ht="14" x14ac:dyDescent="0.2">
      <c r="C474" s="1"/>
      <c r="D474" s="22"/>
      <c r="F474" s="24"/>
      <c r="G474" s="14"/>
      <c r="H474" s="15"/>
      <c r="I474" s="13"/>
      <c r="K474" s="3"/>
      <c r="L474" s="17"/>
      <c r="N474" s="7"/>
      <c r="O474" s="18"/>
    </row>
    <row r="475" spans="3:15" ht="14" x14ac:dyDescent="0.2">
      <c r="C475" s="1"/>
      <c r="D475" s="22"/>
      <c r="F475" s="24"/>
      <c r="G475" s="14"/>
      <c r="H475" s="15"/>
      <c r="I475" s="13"/>
      <c r="K475" s="3"/>
      <c r="L475" s="17"/>
      <c r="N475" s="7"/>
      <c r="O475" s="18"/>
    </row>
    <row r="476" spans="3:15" ht="14" x14ac:dyDescent="0.2">
      <c r="C476" s="1"/>
      <c r="D476" s="22"/>
      <c r="F476" s="24"/>
      <c r="G476" s="14"/>
      <c r="H476" s="15"/>
      <c r="I476" s="13"/>
      <c r="K476" s="3"/>
      <c r="L476" s="17"/>
      <c r="N476" s="7"/>
      <c r="O476" s="18"/>
    </row>
    <row r="477" spans="3:15" ht="14" x14ac:dyDescent="0.2">
      <c r="C477" s="1"/>
      <c r="D477" s="22"/>
      <c r="F477" s="24"/>
      <c r="G477" s="14"/>
      <c r="H477" s="15"/>
      <c r="I477" s="13"/>
      <c r="K477" s="3"/>
      <c r="L477" s="17"/>
      <c r="N477" s="7"/>
      <c r="O477" s="18"/>
    </row>
    <row r="478" spans="3:15" ht="14" x14ac:dyDescent="0.2">
      <c r="C478" s="1"/>
      <c r="D478" s="22"/>
      <c r="F478" s="24"/>
      <c r="G478" s="14"/>
      <c r="H478" s="15"/>
      <c r="I478" s="13"/>
      <c r="K478" s="3"/>
      <c r="L478" s="17"/>
      <c r="N478" s="7"/>
      <c r="O478" s="18"/>
    </row>
    <row r="479" spans="3:15" ht="14" x14ac:dyDescent="0.2">
      <c r="C479" s="1"/>
      <c r="D479" s="22"/>
      <c r="F479" s="24"/>
      <c r="G479" s="14"/>
      <c r="H479" s="15"/>
      <c r="I479" s="13"/>
      <c r="K479" s="3"/>
      <c r="L479" s="17"/>
      <c r="N479" s="7"/>
      <c r="O479" s="18"/>
    </row>
    <row r="480" spans="3:15" ht="14" x14ac:dyDescent="0.2">
      <c r="C480" s="1"/>
      <c r="D480" s="22"/>
      <c r="F480" s="24"/>
      <c r="G480" s="14"/>
      <c r="H480" s="15"/>
      <c r="I480" s="13"/>
      <c r="K480" s="3"/>
      <c r="L480" s="17"/>
      <c r="N480" s="7"/>
      <c r="O480" s="18"/>
    </row>
    <row r="481" spans="3:15" ht="14" x14ac:dyDescent="0.2">
      <c r="C481" s="1"/>
      <c r="D481" s="22"/>
      <c r="F481" s="24"/>
      <c r="G481" s="14"/>
      <c r="H481" s="15"/>
      <c r="I481" s="13"/>
      <c r="K481" s="3"/>
      <c r="L481" s="17"/>
      <c r="N481" s="7"/>
      <c r="O481" s="18"/>
    </row>
    <row r="482" spans="3:15" ht="14" x14ac:dyDescent="0.2">
      <c r="C482" s="1"/>
      <c r="D482" s="22"/>
      <c r="F482" s="24"/>
      <c r="G482" s="14"/>
      <c r="H482" s="15"/>
      <c r="I482" s="13"/>
      <c r="K482" s="3"/>
      <c r="L482" s="17"/>
      <c r="N482" s="7"/>
      <c r="O482" s="18"/>
    </row>
    <row r="483" spans="3:15" ht="14" x14ac:dyDescent="0.2">
      <c r="C483" s="1"/>
      <c r="D483" s="22"/>
      <c r="F483" s="24"/>
      <c r="G483" s="14"/>
      <c r="H483" s="15"/>
      <c r="I483" s="13"/>
      <c r="K483" s="3"/>
      <c r="L483" s="17"/>
      <c r="N483" s="7"/>
      <c r="O483" s="18"/>
    </row>
    <row r="484" spans="3:15" ht="14" x14ac:dyDescent="0.2">
      <c r="C484" s="1"/>
      <c r="D484" s="22"/>
      <c r="F484" s="24"/>
      <c r="G484" s="14"/>
      <c r="H484" s="15"/>
      <c r="I484" s="13"/>
      <c r="K484" s="3"/>
      <c r="L484" s="17"/>
      <c r="N484" s="7"/>
      <c r="O484" s="18"/>
    </row>
    <row r="485" spans="3:15" ht="14" x14ac:dyDescent="0.2">
      <c r="C485" s="1"/>
      <c r="D485" s="22"/>
      <c r="F485" s="24"/>
      <c r="G485" s="14"/>
      <c r="H485" s="15"/>
      <c r="I485" s="13"/>
      <c r="K485" s="3"/>
      <c r="L485" s="17"/>
      <c r="N485" s="7"/>
      <c r="O485" s="18"/>
    </row>
    <row r="486" spans="3:15" ht="14" x14ac:dyDescent="0.2">
      <c r="C486" s="1"/>
      <c r="D486" s="22"/>
      <c r="F486" s="24"/>
      <c r="G486" s="14"/>
      <c r="H486" s="15"/>
      <c r="I486" s="13"/>
      <c r="K486" s="3"/>
      <c r="L486" s="17"/>
      <c r="N486" s="7"/>
      <c r="O486" s="18"/>
    </row>
    <row r="487" spans="3:15" ht="14" x14ac:dyDescent="0.2">
      <c r="C487" s="1"/>
      <c r="D487" s="22"/>
      <c r="F487" s="24"/>
      <c r="G487" s="14"/>
      <c r="H487" s="15"/>
      <c r="I487" s="13"/>
      <c r="K487" s="3"/>
      <c r="L487" s="17"/>
      <c r="N487" s="7"/>
      <c r="O487" s="18"/>
    </row>
    <row r="488" spans="3:15" ht="14" x14ac:dyDescent="0.2">
      <c r="C488" s="1"/>
      <c r="D488" s="22"/>
      <c r="F488" s="24"/>
      <c r="G488" s="14"/>
      <c r="H488" s="15"/>
      <c r="I488" s="13"/>
      <c r="K488" s="3"/>
      <c r="L488" s="17"/>
      <c r="N488" s="7"/>
      <c r="O488" s="18"/>
    </row>
    <row r="489" spans="3:15" ht="14" x14ac:dyDescent="0.2">
      <c r="C489" s="1"/>
      <c r="D489" s="22"/>
      <c r="F489" s="24"/>
      <c r="G489" s="14"/>
      <c r="H489" s="15"/>
      <c r="I489" s="13"/>
      <c r="K489" s="3"/>
      <c r="L489" s="17"/>
      <c r="N489" s="7"/>
      <c r="O489" s="18"/>
    </row>
    <row r="490" spans="3:15" ht="14" x14ac:dyDescent="0.2">
      <c r="C490" s="1"/>
      <c r="D490" s="22"/>
      <c r="F490" s="24"/>
      <c r="G490" s="14"/>
      <c r="H490" s="15"/>
      <c r="I490" s="13"/>
      <c r="K490" s="3"/>
      <c r="L490" s="17"/>
      <c r="N490" s="7"/>
      <c r="O490" s="18"/>
    </row>
    <row r="491" spans="3:15" ht="14" x14ac:dyDescent="0.2">
      <c r="C491" s="1"/>
      <c r="D491" s="22"/>
      <c r="F491" s="24"/>
      <c r="G491" s="14"/>
      <c r="H491" s="15"/>
      <c r="I491" s="13"/>
      <c r="K491" s="3"/>
      <c r="L491" s="17"/>
      <c r="N491" s="7"/>
      <c r="O491" s="18"/>
    </row>
    <row r="492" spans="3:15" ht="14" x14ac:dyDescent="0.2">
      <c r="C492" s="1"/>
      <c r="D492" s="22"/>
      <c r="F492" s="24"/>
      <c r="G492" s="14"/>
      <c r="H492" s="15"/>
      <c r="I492" s="13"/>
      <c r="K492" s="3"/>
      <c r="L492" s="17"/>
      <c r="N492" s="7"/>
      <c r="O492" s="18"/>
    </row>
    <row r="493" spans="3:15" ht="14" x14ac:dyDescent="0.2">
      <c r="C493" s="1"/>
      <c r="D493" s="22"/>
      <c r="F493" s="24"/>
      <c r="G493" s="14"/>
      <c r="H493" s="15"/>
      <c r="I493" s="13"/>
      <c r="K493" s="3"/>
      <c r="L493" s="17"/>
      <c r="N493" s="7"/>
      <c r="O493" s="18"/>
    </row>
    <row r="494" spans="3:15" ht="14" x14ac:dyDescent="0.2">
      <c r="C494" s="1"/>
      <c r="D494" s="22"/>
      <c r="F494" s="24"/>
      <c r="G494" s="14"/>
      <c r="H494" s="15"/>
      <c r="I494" s="13"/>
      <c r="K494" s="3"/>
      <c r="L494" s="17"/>
      <c r="N494" s="7"/>
      <c r="O494" s="18"/>
    </row>
    <row r="495" spans="3:15" ht="14" x14ac:dyDescent="0.2">
      <c r="C495" s="1"/>
      <c r="D495" s="22"/>
      <c r="F495" s="24"/>
      <c r="G495" s="14"/>
      <c r="H495" s="15"/>
      <c r="I495" s="13"/>
      <c r="K495" s="3"/>
      <c r="L495" s="17"/>
      <c r="N495" s="7"/>
      <c r="O495" s="18"/>
    </row>
    <row r="496" spans="3:15" ht="14" x14ac:dyDescent="0.2">
      <c r="C496" s="1"/>
      <c r="D496" s="22"/>
      <c r="F496" s="24"/>
      <c r="G496" s="14"/>
      <c r="H496" s="15"/>
      <c r="I496" s="13"/>
      <c r="K496" s="3"/>
      <c r="L496" s="17"/>
      <c r="N496" s="7"/>
      <c r="O496" s="18"/>
    </row>
    <row r="497" spans="3:15" ht="14" x14ac:dyDescent="0.2">
      <c r="C497" s="1"/>
      <c r="D497" s="22"/>
      <c r="F497" s="24"/>
      <c r="G497" s="14"/>
      <c r="H497" s="15"/>
      <c r="I497" s="13"/>
      <c r="K497" s="3"/>
      <c r="L497" s="17"/>
      <c r="N497" s="7"/>
      <c r="O497" s="18"/>
    </row>
    <row r="498" spans="3:15" ht="14" x14ac:dyDescent="0.2">
      <c r="C498" s="1"/>
      <c r="D498" s="22"/>
      <c r="F498" s="24"/>
      <c r="G498" s="14"/>
      <c r="H498" s="15"/>
      <c r="I498" s="13"/>
      <c r="K498" s="3"/>
      <c r="L498" s="17"/>
      <c r="N498" s="7"/>
      <c r="O498" s="18"/>
    </row>
    <row r="499" spans="3:15" ht="14" x14ac:dyDescent="0.2">
      <c r="C499" s="1"/>
      <c r="D499" s="22"/>
      <c r="F499" s="24"/>
      <c r="G499" s="14"/>
      <c r="H499" s="15"/>
      <c r="I499" s="13"/>
      <c r="K499" s="3"/>
      <c r="L499" s="17"/>
      <c r="N499" s="7"/>
      <c r="O499" s="18"/>
    </row>
    <row r="500" spans="3:15" ht="14" x14ac:dyDescent="0.2">
      <c r="C500" s="1"/>
      <c r="D500" s="22"/>
      <c r="F500" s="24"/>
      <c r="G500" s="14"/>
      <c r="H500" s="15"/>
      <c r="I500" s="13"/>
      <c r="K500" s="3"/>
      <c r="L500" s="17"/>
      <c r="N500" s="7"/>
      <c r="O500" s="18"/>
    </row>
    <row r="501" spans="3:15" ht="14" x14ac:dyDescent="0.2">
      <c r="C501" s="1"/>
      <c r="D501" s="22"/>
      <c r="F501" s="24"/>
      <c r="G501" s="14"/>
      <c r="H501" s="15"/>
      <c r="I501" s="13"/>
      <c r="K501" s="3"/>
      <c r="L501" s="17"/>
      <c r="N501" s="7"/>
      <c r="O501" s="18"/>
    </row>
    <row r="502" spans="3:15" ht="14" x14ac:dyDescent="0.2">
      <c r="C502" s="1"/>
      <c r="D502" s="22"/>
      <c r="F502" s="24"/>
      <c r="G502" s="14"/>
      <c r="H502" s="15"/>
      <c r="I502" s="13"/>
      <c r="K502" s="3"/>
      <c r="L502" s="17"/>
      <c r="N502" s="7"/>
      <c r="O502" s="18"/>
    </row>
    <row r="503" spans="3:15" ht="14" x14ac:dyDescent="0.2">
      <c r="C503" s="1"/>
      <c r="D503" s="22"/>
      <c r="F503" s="24"/>
      <c r="G503" s="14"/>
      <c r="H503" s="15"/>
      <c r="I503" s="13"/>
      <c r="K503" s="3"/>
      <c r="L503" s="17"/>
      <c r="N503" s="7"/>
      <c r="O503" s="18"/>
    </row>
    <row r="504" spans="3:15" ht="14" x14ac:dyDescent="0.2">
      <c r="C504" s="1"/>
      <c r="D504" s="22"/>
      <c r="F504" s="24"/>
      <c r="G504" s="14"/>
      <c r="H504" s="15"/>
      <c r="I504" s="13"/>
      <c r="K504" s="3"/>
      <c r="L504" s="17"/>
      <c r="N504" s="7"/>
      <c r="O504" s="18"/>
    </row>
    <row r="505" spans="3:15" ht="14" x14ac:dyDescent="0.2">
      <c r="C505" s="1"/>
      <c r="D505" s="22"/>
      <c r="F505" s="24"/>
      <c r="G505" s="14"/>
      <c r="H505" s="15"/>
      <c r="I505" s="13"/>
      <c r="K505" s="3"/>
      <c r="L505" s="17"/>
      <c r="N505" s="7"/>
      <c r="O505" s="18"/>
    </row>
    <row r="506" spans="3:15" ht="14" x14ac:dyDescent="0.2">
      <c r="C506" s="1"/>
      <c r="D506" s="22"/>
      <c r="F506" s="24"/>
      <c r="G506" s="14"/>
      <c r="H506" s="15"/>
      <c r="I506" s="13"/>
      <c r="K506" s="3"/>
      <c r="L506" s="17"/>
      <c r="N506" s="7"/>
      <c r="O506" s="18"/>
    </row>
    <row r="507" spans="3:15" ht="14" x14ac:dyDescent="0.2">
      <c r="C507" s="1"/>
      <c r="D507" s="22"/>
      <c r="F507" s="24"/>
      <c r="G507" s="14"/>
      <c r="H507" s="15"/>
      <c r="I507" s="13"/>
      <c r="K507" s="3"/>
      <c r="L507" s="17"/>
      <c r="N507" s="7"/>
      <c r="O507" s="18"/>
    </row>
    <row r="508" spans="3:15" ht="14" x14ac:dyDescent="0.2">
      <c r="C508" s="1"/>
      <c r="D508" s="22"/>
      <c r="F508" s="24"/>
      <c r="G508" s="14"/>
      <c r="H508" s="15"/>
      <c r="I508" s="13"/>
      <c r="K508" s="3"/>
      <c r="L508" s="17"/>
      <c r="N508" s="7"/>
      <c r="O508" s="18"/>
    </row>
    <row r="509" spans="3:15" ht="14" x14ac:dyDescent="0.2">
      <c r="C509" s="1"/>
      <c r="D509" s="22"/>
      <c r="F509" s="24"/>
      <c r="G509" s="14"/>
      <c r="H509" s="15"/>
      <c r="I509" s="13"/>
      <c r="K509" s="3"/>
      <c r="L509" s="17"/>
      <c r="N509" s="7"/>
      <c r="O509" s="18"/>
    </row>
    <row r="510" spans="3:15" ht="14" x14ac:dyDescent="0.2">
      <c r="C510" s="1"/>
      <c r="D510" s="22"/>
      <c r="F510" s="24"/>
      <c r="G510" s="14"/>
      <c r="H510" s="15"/>
      <c r="I510" s="13"/>
      <c r="K510" s="3"/>
      <c r="L510" s="17"/>
      <c r="N510" s="7"/>
      <c r="O510" s="18"/>
    </row>
    <row r="511" spans="3:15" ht="14" x14ac:dyDescent="0.2">
      <c r="C511" s="1"/>
      <c r="D511" s="22"/>
      <c r="F511" s="24"/>
      <c r="G511" s="14"/>
      <c r="H511" s="15"/>
      <c r="I511" s="13"/>
      <c r="K511" s="3"/>
      <c r="L511" s="17"/>
      <c r="N511" s="7"/>
      <c r="O511" s="18"/>
    </row>
    <row r="512" spans="3:15" ht="14" x14ac:dyDescent="0.2">
      <c r="C512" s="1"/>
      <c r="D512" s="22"/>
      <c r="F512" s="24"/>
      <c r="G512" s="14"/>
      <c r="H512" s="15"/>
      <c r="I512" s="13"/>
      <c r="K512" s="3"/>
      <c r="L512" s="17"/>
      <c r="N512" s="7"/>
      <c r="O512" s="18"/>
    </row>
    <row r="513" spans="3:15" ht="14" x14ac:dyDescent="0.2">
      <c r="C513" s="1"/>
      <c r="D513" s="22"/>
      <c r="F513" s="24"/>
      <c r="G513" s="14"/>
      <c r="H513" s="15"/>
      <c r="I513" s="13"/>
      <c r="K513" s="3"/>
      <c r="L513" s="17"/>
      <c r="N513" s="7"/>
      <c r="O513" s="18"/>
    </row>
    <row r="514" spans="3:15" ht="14" x14ac:dyDescent="0.2">
      <c r="C514" s="1"/>
      <c r="D514" s="22"/>
      <c r="F514" s="24"/>
      <c r="G514" s="14"/>
      <c r="H514" s="15"/>
      <c r="I514" s="13"/>
      <c r="K514" s="3"/>
      <c r="L514" s="17"/>
      <c r="N514" s="7"/>
      <c r="O514" s="18"/>
    </row>
    <row r="515" spans="3:15" ht="14" x14ac:dyDescent="0.2">
      <c r="C515" s="1"/>
      <c r="D515" s="22"/>
      <c r="F515" s="24"/>
      <c r="G515" s="14"/>
      <c r="H515" s="15"/>
      <c r="I515" s="13"/>
      <c r="K515" s="3"/>
      <c r="L515" s="17"/>
      <c r="N515" s="7"/>
      <c r="O515" s="18"/>
    </row>
    <row r="516" spans="3:15" ht="14" x14ac:dyDescent="0.2">
      <c r="C516" s="1"/>
      <c r="D516" s="22"/>
      <c r="F516" s="24"/>
      <c r="G516" s="14"/>
      <c r="H516" s="15"/>
      <c r="I516" s="13"/>
      <c r="K516" s="3"/>
      <c r="L516" s="17"/>
      <c r="N516" s="7"/>
      <c r="O516" s="18"/>
    </row>
    <row r="517" spans="3:15" ht="14" x14ac:dyDescent="0.2">
      <c r="C517" s="1"/>
      <c r="D517" s="22"/>
      <c r="F517" s="24"/>
      <c r="G517" s="14"/>
      <c r="H517" s="15"/>
      <c r="I517" s="13"/>
      <c r="K517" s="3"/>
      <c r="L517" s="17"/>
      <c r="N517" s="7"/>
      <c r="O517" s="18"/>
    </row>
    <row r="518" spans="3:15" ht="14" x14ac:dyDescent="0.2">
      <c r="C518" s="1"/>
      <c r="D518" s="22"/>
      <c r="F518" s="24"/>
      <c r="G518" s="14"/>
      <c r="H518" s="15"/>
      <c r="I518" s="13"/>
      <c r="K518" s="3"/>
      <c r="L518" s="17"/>
      <c r="N518" s="7"/>
      <c r="O518" s="18"/>
    </row>
    <row r="519" spans="3:15" ht="14" x14ac:dyDescent="0.2">
      <c r="C519" s="1"/>
      <c r="D519" s="22"/>
      <c r="F519" s="24"/>
      <c r="G519" s="14"/>
      <c r="H519" s="15"/>
      <c r="I519" s="13"/>
      <c r="K519" s="3"/>
      <c r="L519" s="17"/>
      <c r="N519" s="7"/>
      <c r="O519" s="18"/>
    </row>
    <row r="520" spans="3:15" ht="14" x14ac:dyDescent="0.2">
      <c r="C520" s="1"/>
      <c r="D520" s="22"/>
      <c r="F520" s="24"/>
      <c r="G520" s="14"/>
      <c r="H520" s="15"/>
      <c r="I520" s="13"/>
      <c r="K520" s="3"/>
      <c r="L520" s="17"/>
      <c r="N520" s="7"/>
      <c r="O520" s="18"/>
    </row>
    <row r="521" spans="3:15" ht="14" x14ac:dyDescent="0.2">
      <c r="C521" s="1"/>
      <c r="D521" s="22"/>
      <c r="F521" s="24"/>
      <c r="G521" s="14"/>
      <c r="H521" s="15"/>
      <c r="I521" s="13"/>
      <c r="K521" s="3"/>
      <c r="L521" s="17"/>
      <c r="N521" s="7"/>
      <c r="O521" s="18"/>
    </row>
    <row r="522" spans="3:15" ht="14" x14ac:dyDescent="0.2">
      <c r="C522" s="1"/>
      <c r="D522" s="22"/>
      <c r="F522" s="24"/>
      <c r="G522" s="14"/>
      <c r="H522" s="15"/>
      <c r="I522" s="13"/>
      <c r="K522" s="3"/>
      <c r="L522" s="17"/>
      <c r="N522" s="7"/>
      <c r="O522" s="18"/>
    </row>
    <row r="523" spans="3:15" ht="14" x14ac:dyDescent="0.2">
      <c r="C523" s="1"/>
      <c r="D523" s="22"/>
      <c r="F523" s="24"/>
      <c r="G523" s="14"/>
      <c r="H523" s="15"/>
      <c r="I523" s="13"/>
      <c r="K523" s="3"/>
      <c r="L523" s="17"/>
      <c r="N523" s="7"/>
      <c r="O523" s="18"/>
    </row>
    <row r="524" spans="3:15" ht="14" x14ac:dyDescent="0.2">
      <c r="C524" s="1"/>
      <c r="D524" s="22"/>
      <c r="F524" s="24"/>
      <c r="G524" s="14"/>
      <c r="H524" s="15"/>
      <c r="I524" s="13"/>
      <c r="K524" s="3"/>
      <c r="L524" s="17"/>
      <c r="N524" s="7"/>
      <c r="O524" s="18"/>
    </row>
    <row r="525" spans="3:15" ht="14" x14ac:dyDescent="0.2">
      <c r="C525" s="1"/>
      <c r="D525" s="22"/>
      <c r="F525" s="24"/>
      <c r="G525" s="14"/>
      <c r="H525" s="15"/>
      <c r="I525" s="13"/>
      <c r="K525" s="3"/>
      <c r="L525" s="17"/>
      <c r="N525" s="7"/>
      <c r="O525" s="18"/>
    </row>
    <row r="526" spans="3:15" ht="14" x14ac:dyDescent="0.2">
      <c r="C526" s="1"/>
      <c r="D526" s="22"/>
      <c r="F526" s="24"/>
      <c r="G526" s="14"/>
      <c r="H526" s="15"/>
      <c r="I526" s="13"/>
      <c r="K526" s="3"/>
      <c r="L526" s="17"/>
      <c r="N526" s="7"/>
      <c r="O526" s="18"/>
    </row>
    <row r="527" spans="3:15" ht="14" x14ac:dyDescent="0.2">
      <c r="C527" s="1"/>
      <c r="D527" s="22"/>
      <c r="F527" s="24"/>
      <c r="G527" s="14"/>
      <c r="H527" s="15"/>
      <c r="I527" s="13"/>
      <c r="K527" s="3"/>
      <c r="L527" s="17"/>
      <c r="N527" s="7"/>
      <c r="O527" s="18"/>
    </row>
    <row r="528" spans="3:15" ht="14" x14ac:dyDescent="0.2">
      <c r="C528" s="1"/>
      <c r="D528" s="22"/>
      <c r="F528" s="24"/>
      <c r="G528" s="14"/>
      <c r="H528" s="15"/>
      <c r="I528" s="13"/>
      <c r="K528" s="3"/>
      <c r="L528" s="17"/>
      <c r="N528" s="7"/>
      <c r="O528" s="18"/>
    </row>
    <row r="529" spans="3:15" ht="14" x14ac:dyDescent="0.2">
      <c r="C529" s="1"/>
      <c r="D529" s="22"/>
      <c r="F529" s="24"/>
      <c r="G529" s="14"/>
      <c r="H529" s="15"/>
      <c r="I529" s="13"/>
      <c r="K529" s="3"/>
      <c r="L529" s="17"/>
      <c r="N529" s="7"/>
      <c r="O529" s="18"/>
    </row>
    <row r="530" spans="3:15" ht="14" x14ac:dyDescent="0.2">
      <c r="C530" s="1"/>
      <c r="D530" s="22"/>
      <c r="F530" s="24"/>
      <c r="G530" s="14"/>
      <c r="H530" s="15"/>
      <c r="I530" s="13"/>
      <c r="K530" s="3"/>
      <c r="L530" s="17"/>
      <c r="N530" s="7"/>
      <c r="O530" s="18"/>
    </row>
    <row r="531" spans="3:15" ht="14" x14ac:dyDescent="0.2">
      <c r="C531" s="1"/>
      <c r="D531" s="22"/>
      <c r="F531" s="24"/>
      <c r="G531" s="14"/>
      <c r="H531" s="15"/>
      <c r="I531" s="13"/>
      <c r="K531" s="3"/>
      <c r="L531" s="17"/>
      <c r="N531" s="7"/>
      <c r="O531" s="18"/>
    </row>
    <row r="532" spans="3:15" ht="14" x14ac:dyDescent="0.2">
      <c r="C532" s="1"/>
      <c r="D532" s="22"/>
      <c r="F532" s="24"/>
      <c r="G532" s="14"/>
      <c r="H532" s="15"/>
      <c r="I532" s="13"/>
      <c r="K532" s="3"/>
      <c r="L532" s="17"/>
      <c r="N532" s="7"/>
      <c r="O532" s="18"/>
    </row>
    <row r="533" spans="3:15" ht="14" x14ac:dyDescent="0.2">
      <c r="C533" s="1"/>
      <c r="D533" s="22"/>
      <c r="F533" s="24"/>
      <c r="G533" s="14"/>
      <c r="H533" s="15"/>
      <c r="I533" s="13"/>
      <c r="K533" s="3"/>
      <c r="L533" s="17"/>
      <c r="N533" s="7"/>
      <c r="O533" s="18"/>
    </row>
    <row r="534" spans="3:15" ht="14" x14ac:dyDescent="0.2">
      <c r="C534" s="1"/>
      <c r="D534" s="22"/>
      <c r="F534" s="24"/>
      <c r="G534" s="14"/>
      <c r="H534" s="15"/>
      <c r="I534" s="13"/>
      <c r="K534" s="3"/>
      <c r="L534" s="17"/>
      <c r="N534" s="7"/>
      <c r="O534" s="18"/>
    </row>
    <row r="535" spans="3:15" ht="14" x14ac:dyDescent="0.2">
      <c r="C535" s="1"/>
      <c r="D535" s="22"/>
      <c r="F535" s="24"/>
      <c r="G535" s="14"/>
      <c r="H535" s="15"/>
      <c r="I535" s="13"/>
      <c r="K535" s="3"/>
      <c r="L535" s="17"/>
      <c r="N535" s="7"/>
      <c r="O535" s="18"/>
    </row>
    <row r="536" spans="3:15" ht="14" x14ac:dyDescent="0.2">
      <c r="C536" s="1"/>
      <c r="D536" s="22"/>
      <c r="F536" s="24"/>
      <c r="G536" s="14"/>
      <c r="H536" s="15"/>
      <c r="I536" s="13"/>
      <c r="K536" s="3"/>
      <c r="L536" s="17"/>
      <c r="N536" s="7"/>
      <c r="O536" s="18"/>
    </row>
    <row r="537" spans="3:15" ht="14" x14ac:dyDescent="0.2">
      <c r="C537" s="1"/>
      <c r="D537" s="22"/>
      <c r="F537" s="24"/>
      <c r="G537" s="14"/>
      <c r="H537" s="15"/>
      <c r="I537" s="13"/>
      <c r="K537" s="3"/>
      <c r="L537" s="17"/>
      <c r="N537" s="7"/>
      <c r="O537" s="18"/>
    </row>
    <row r="538" spans="3:15" ht="14" x14ac:dyDescent="0.2">
      <c r="C538" s="1"/>
      <c r="D538" s="22"/>
      <c r="F538" s="24"/>
      <c r="G538" s="14"/>
      <c r="H538" s="15"/>
      <c r="I538" s="13"/>
      <c r="K538" s="3"/>
      <c r="L538" s="17"/>
      <c r="N538" s="7"/>
      <c r="O538" s="18"/>
    </row>
    <row r="539" spans="3:15" ht="14" x14ac:dyDescent="0.2">
      <c r="C539" s="1"/>
      <c r="D539" s="22"/>
      <c r="F539" s="24"/>
      <c r="G539" s="14"/>
      <c r="H539" s="15"/>
      <c r="I539" s="13"/>
      <c r="K539" s="3"/>
      <c r="L539" s="17"/>
      <c r="N539" s="7"/>
      <c r="O539" s="18"/>
    </row>
    <row r="540" spans="3:15" ht="14" x14ac:dyDescent="0.2">
      <c r="C540" s="1"/>
      <c r="D540" s="22"/>
      <c r="F540" s="24"/>
      <c r="G540" s="14"/>
      <c r="H540" s="15"/>
      <c r="I540" s="13"/>
      <c r="K540" s="3"/>
      <c r="L540" s="17"/>
      <c r="N540" s="7"/>
      <c r="O540" s="18"/>
    </row>
    <row r="541" spans="3:15" ht="14" x14ac:dyDescent="0.2">
      <c r="C541" s="1"/>
      <c r="D541" s="22"/>
      <c r="F541" s="24"/>
      <c r="G541" s="14"/>
      <c r="H541" s="15"/>
      <c r="I541" s="13"/>
      <c r="K541" s="3"/>
      <c r="L541" s="17"/>
      <c r="N541" s="7"/>
      <c r="O541" s="18"/>
    </row>
    <row r="542" spans="3:15" ht="14" x14ac:dyDescent="0.2">
      <c r="C542" s="1"/>
      <c r="D542" s="22"/>
      <c r="F542" s="24"/>
      <c r="G542" s="14"/>
      <c r="H542" s="15"/>
      <c r="I542" s="13"/>
      <c r="K542" s="3"/>
      <c r="L542" s="17"/>
      <c r="N542" s="7"/>
      <c r="O542" s="18"/>
    </row>
    <row r="543" spans="3:15" ht="14" x14ac:dyDescent="0.2">
      <c r="C543" s="1"/>
      <c r="D543" s="22"/>
      <c r="F543" s="24"/>
      <c r="G543" s="14"/>
      <c r="H543" s="15"/>
      <c r="I543" s="13"/>
      <c r="K543" s="3"/>
      <c r="L543" s="17"/>
      <c r="N543" s="7"/>
      <c r="O543" s="18"/>
    </row>
    <row r="544" spans="3:15" ht="14" x14ac:dyDescent="0.2">
      <c r="C544" s="1"/>
      <c r="D544" s="22"/>
      <c r="F544" s="24"/>
      <c r="G544" s="14"/>
      <c r="H544" s="15"/>
      <c r="I544" s="13"/>
      <c r="K544" s="3"/>
      <c r="L544" s="17"/>
      <c r="N544" s="7"/>
      <c r="O544" s="18"/>
    </row>
    <row r="545" spans="3:15" ht="14" x14ac:dyDescent="0.2">
      <c r="C545" s="1"/>
      <c r="D545" s="22"/>
      <c r="F545" s="24"/>
      <c r="G545" s="14"/>
      <c r="H545" s="15"/>
      <c r="I545" s="13"/>
      <c r="K545" s="3"/>
      <c r="L545" s="17"/>
      <c r="N545" s="7"/>
      <c r="O545" s="18"/>
    </row>
    <row r="546" spans="3:15" ht="14" x14ac:dyDescent="0.2">
      <c r="C546" s="1"/>
      <c r="D546" s="22"/>
      <c r="F546" s="24"/>
      <c r="G546" s="14"/>
      <c r="H546" s="15"/>
      <c r="I546" s="13"/>
      <c r="K546" s="3"/>
      <c r="L546" s="17"/>
      <c r="N546" s="7"/>
      <c r="O546" s="18"/>
    </row>
    <row r="547" spans="3:15" ht="14" x14ac:dyDescent="0.2">
      <c r="C547" s="1"/>
      <c r="D547" s="22"/>
      <c r="F547" s="24"/>
      <c r="G547" s="14"/>
      <c r="H547" s="15"/>
      <c r="I547" s="13"/>
      <c r="K547" s="3"/>
      <c r="L547" s="17"/>
      <c r="N547" s="7"/>
      <c r="O547" s="18"/>
    </row>
    <row r="548" spans="3:15" ht="14" x14ac:dyDescent="0.2">
      <c r="C548" s="1"/>
      <c r="D548" s="22"/>
      <c r="F548" s="24"/>
      <c r="G548" s="14"/>
      <c r="H548" s="15"/>
      <c r="I548" s="13"/>
      <c r="K548" s="3"/>
      <c r="L548" s="17"/>
      <c r="N548" s="7"/>
      <c r="O548" s="18"/>
    </row>
    <row r="549" spans="3:15" ht="14" x14ac:dyDescent="0.2">
      <c r="C549" s="1"/>
      <c r="D549" s="22"/>
      <c r="F549" s="24"/>
      <c r="G549" s="14"/>
      <c r="H549" s="15"/>
      <c r="I549" s="13"/>
      <c r="K549" s="3"/>
      <c r="L549" s="17"/>
      <c r="N549" s="7"/>
      <c r="O549" s="18"/>
    </row>
    <row r="550" spans="3:15" ht="14" x14ac:dyDescent="0.2">
      <c r="C550" s="1"/>
      <c r="D550" s="22"/>
      <c r="F550" s="24"/>
      <c r="G550" s="14"/>
      <c r="H550" s="15"/>
      <c r="I550" s="13"/>
      <c r="K550" s="3"/>
      <c r="L550" s="17"/>
      <c r="N550" s="7"/>
      <c r="O550" s="18"/>
    </row>
    <row r="551" spans="3:15" ht="14" x14ac:dyDescent="0.2">
      <c r="C551" s="1"/>
      <c r="D551" s="22"/>
      <c r="F551" s="24"/>
      <c r="G551" s="14"/>
      <c r="H551" s="15"/>
      <c r="I551" s="13"/>
      <c r="K551" s="3"/>
      <c r="L551" s="17"/>
      <c r="N551" s="7"/>
      <c r="O551" s="18"/>
    </row>
    <row r="552" spans="3:15" ht="14" x14ac:dyDescent="0.2">
      <c r="C552" s="1"/>
      <c r="D552" s="22"/>
      <c r="F552" s="24"/>
      <c r="G552" s="14"/>
      <c r="H552" s="15"/>
      <c r="I552" s="13"/>
      <c r="K552" s="3"/>
      <c r="L552" s="17"/>
      <c r="N552" s="7"/>
      <c r="O552" s="18"/>
    </row>
    <row r="553" spans="3:15" ht="14" x14ac:dyDescent="0.2">
      <c r="C553" s="1"/>
      <c r="D553" s="22"/>
      <c r="F553" s="24"/>
      <c r="G553" s="14"/>
      <c r="H553" s="15"/>
      <c r="I553" s="13"/>
      <c r="K553" s="3"/>
      <c r="L553" s="17"/>
      <c r="N553" s="7"/>
      <c r="O553" s="18"/>
    </row>
    <row r="554" spans="3:15" ht="14" x14ac:dyDescent="0.2">
      <c r="C554" s="1"/>
      <c r="D554" s="22"/>
      <c r="F554" s="24"/>
      <c r="G554" s="14"/>
      <c r="H554" s="15"/>
      <c r="I554" s="13"/>
      <c r="K554" s="3"/>
      <c r="L554" s="17"/>
      <c r="N554" s="7"/>
      <c r="O554" s="18"/>
    </row>
    <row r="555" spans="3:15" ht="14" x14ac:dyDescent="0.2">
      <c r="C555" s="1"/>
      <c r="D555" s="22"/>
      <c r="F555" s="24"/>
      <c r="G555" s="14"/>
      <c r="H555" s="15"/>
      <c r="I555" s="13"/>
      <c r="K555" s="3"/>
      <c r="L555" s="17"/>
      <c r="N555" s="7"/>
      <c r="O555" s="18"/>
    </row>
    <row r="556" spans="3:15" ht="14" x14ac:dyDescent="0.2">
      <c r="C556" s="1"/>
      <c r="D556" s="22"/>
      <c r="F556" s="24"/>
      <c r="G556" s="14"/>
      <c r="H556" s="15"/>
      <c r="I556" s="13"/>
      <c r="K556" s="3"/>
      <c r="L556" s="17"/>
      <c r="N556" s="7"/>
      <c r="O556" s="18"/>
    </row>
    <row r="557" spans="3:15" ht="14" x14ac:dyDescent="0.2">
      <c r="C557" s="1"/>
      <c r="D557" s="22"/>
      <c r="F557" s="24"/>
      <c r="G557" s="14"/>
      <c r="H557" s="15"/>
      <c r="I557" s="13"/>
      <c r="K557" s="3"/>
      <c r="L557" s="17"/>
      <c r="N557" s="7"/>
      <c r="O557" s="18"/>
    </row>
    <row r="558" spans="3:15" ht="14" x14ac:dyDescent="0.2">
      <c r="C558" s="1"/>
      <c r="D558" s="22"/>
      <c r="F558" s="24"/>
      <c r="G558" s="14"/>
      <c r="H558" s="15"/>
      <c r="I558" s="13"/>
      <c r="K558" s="3"/>
      <c r="L558" s="17"/>
      <c r="N558" s="7"/>
      <c r="O558" s="18"/>
    </row>
    <row r="559" spans="3:15" ht="14" x14ac:dyDescent="0.2">
      <c r="C559" s="1"/>
      <c r="D559" s="22"/>
      <c r="F559" s="24"/>
      <c r="G559" s="14"/>
      <c r="H559" s="15"/>
      <c r="I559" s="13"/>
      <c r="K559" s="3"/>
      <c r="L559" s="17"/>
      <c r="N559" s="7"/>
      <c r="O559" s="18"/>
    </row>
    <row r="560" spans="3:15" ht="14" x14ac:dyDescent="0.2">
      <c r="C560" s="1"/>
      <c r="D560" s="22"/>
      <c r="F560" s="24"/>
      <c r="G560" s="14"/>
      <c r="H560" s="15"/>
      <c r="I560" s="13"/>
      <c r="K560" s="3"/>
      <c r="L560" s="17"/>
      <c r="N560" s="7"/>
      <c r="O560" s="18"/>
    </row>
    <row r="561" spans="3:15" ht="14" x14ac:dyDescent="0.2">
      <c r="C561" s="1"/>
      <c r="D561" s="22"/>
      <c r="F561" s="24"/>
      <c r="G561" s="14"/>
      <c r="H561" s="15"/>
      <c r="I561" s="13"/>
      <c r="K561" s="3"/>
      <c r="L561" s="17"/>
      <c r="N561" s="7"/>
      <c r="O561" s="18"/>
    </row>
    <row r="562" spans="3:15" ht="14" x14ac:dyDescent="0.2">
      <c r="C562" s="1"/>
      <c r="D562" s="22"/>
      <c r="F562" s="24"/>
      <c r="G562" s="14"/>
      <c r="H562" s="15"/>
      <c r="I562" s="13"/>
      <c r="K562" s="3"/>
      <c r="L562" s="17"/>
      <c r="N562" s="7"/>
      <c r="O562" s="18"/>
    </row>
    <row r="563" spans="3:15" ht="14" x14ac:dyDescent="0.2">
      <c r="C563" s="1"/>
      <c r="D563" s="22"/>
      <c r="F563" s="24"/>
      <c r="G563" s="14"/>
      <c r="H563" s="15"/>
      <c r="I563" s="13"/>
      <c r="K563" s="3"/>
      <c r="L563" s="17"/>
      <c r="N563" s="7"/>
      <c r="O563" s="18"/>
    </row>
    <row r="564" spans="3:15" ht="14" x14ac:dyDescent="0.2">
      <c r="C564" s="1"/>
      <c r="D564" s="22"/>
      <c r="F564" s="24"/>
      <c r="G564" s="14"/>
      <c r="H564" s="15"/>
      <c r="I564" s="13"/>
      <c r="K564" s="3"/>
      <c r="L564" s="17"/>
      <c r="N564" s="7"/>
      <c r="O564" s="18"/>
    </row>
    <row r="565" spans="3:15" ht="14" x14ac:dyDescent="0.2">
      <c r="C565" s="1"/>
      <c r="D565" s="22"/>
      <c r="F565" s="24"/>
      <c r="G565" s="14"/>
      <c r="H565" s="15"/>
      <c r="I565" s="13"/>
      <c r="K565" s="3"/>
      <c r="L565" s="17"/>
      <c r="N565" s="7"/>
      <c r="O565" s="18"/>
    </row>
    <row r="566" spans="3:15" ht="14" x14ac:dyDescent="0.2">
      <c r="C566" s="1"/>
      <c r="D566" s="22"/>
      <c r="F566" s="24"/>
      <c r="G566" s="14"/>
      <c r="H566" s="15"/>
      <c r="I566" s="13"/>
      <c r="K566" s="3"/>
      <c r="L566" s="17"/>
      <c r="N566" s="7"/>
      <c r="O566" s="18"/>
    </row>
    <row r="567" spans="3:15" ht="14" x14ac:dyDescent="0.2">
      <c r="C567" s="1"/>
      <c r="D567" s="22"/>
      <c r="F567" s="24"/>
      <c r="G567" s="14"/>
      <c r="H567" s="15"/>
      <c r="I567" s="13"/>
      <c r="K567" s="3"/>
      <c r="L567" s="17"/>
      <c r="N567" s="7"/>
      <c r="O567" s="18"/>
    </row>
    <row r="568" spans="3:15" ht="14" x14ac:dyDescent="0.2">
      <c r="C568" s="1"/>
      <c r="D568" s="22"/>
      <c r="F568" s="24"/>
      <c r="G568" s="14"/>
      <c r="H568" s="15"/>
      <c r="I568" s="13"/>
      <c r="K568" s="3"/>
      <c r="L568" s="17"/>
      <c r="N568" s="7"/>
      <c r="O568" s="18"/>
    </row>
    <row r="569" spans="3:15" ht="14" x14ac:dyDescent="0.2">
      <c r="C569" s="1"/>
      <c r="D569" s="22"/>
      <c r="F569" s="24"/>
      <c r="G569" s="14"/>
      <c r="H569" s="15"/>
      <c r="I569" s="13"/>
      <c r="K569" s="3"/>
      <c r="L569" s="17"/>
      <c r="N569" s="7"/>
      <c r="O569" s="18"/>
    </row>
    <row r="570" spans="3:15" ht="14" x14ac:dyDescent="0.2">
      <c r="C570" s="1"/>
      <c r="D570" s="22"/>
      <c r="F570" s="24"/>
      <c r="G570" s="14"/>
      <c r="H570" s="15"/>
      <c r="I570" s="13"/>
      <c r="K570" s="3"/>
      <c r="L570" s="17"/>
      <c r="N570" s="7"/>
      <c r="O570" s="18"/>
    </row>
    <row r="571" spans="3:15" ht="14" x14ac:dyDescent="0.2">
      <c r="C571" s="1"/>
      <c r="D571" s="22"/>
      <c r="F571" s="24"/>
      <c r="G571" s="14"/>
      <c r="H571" s="15"/>
      <c r="I571" s="13"/>
      <c r="K571" s="3"/>
      <c r="L571" s="17"/>
      <c r="N571" s="7"/>
      <c r="O571" s="18"/>
    </row>
    <row r="572" spans="3:15" ht="14" x14ac:dyDescent="0.2">
      <c r="C572" s="1"/>
      <c r="D572" s="22"/>
      <c r="F572" s="24"/>
      <c r="G572" s="14"/>
      <c r="H572" s="15"/>
      <c r="I572" s="13"/>
      <c r="K572" s="3"/>
      <c r="L572" s="17"/>
      <c r="N572" s="7"/>
      <c r="O572" s="18"/>
    </row>
    <row r="573" spans="3:15" ht="14" x14ac:dyDescent="0.2">
      <c r="C573" s="1"/>
      <c r="D573" s="22"/>
      <c r="F573" s="24"/>
      <c r="G573" s="14"/>
      <c r="H573" s="15"/>
      <c r="I573" s="13"/>
      <c r="K573" s="3"/>
      <c r="L573" s="17"/>
      <c r="N573" s="7"/>
      <c r="O573" s="18"/>
    </row>
    <row r="574" spans="3:15" ht="14" x14ac:dyDescent="0.2">
      <c r="C574" s="1"/>
      <c r="D574" s="22"/>
      <c r="F574" s="24"/>
      <c r="G574" s="14"/>
      <c r="H574" s="15"/>
      <c r="I574" s="13"/>
      <c r="K574" s="3"/>
      <c r="L574" s="17"/>
      <c r="N574" s="7"/>
      <c r="O574" s="18"/>
    </row>
    <row r="575" spans="3:15" ht="14" x14ac:dyDescent="0.2">
      <c r="C575" s="1"/>
      <c r="D575" s="22"/>
      <c r="F575" s="24"/>
      <c r="G575" s="14"/>
      <c r="H575" s="15"/>
      <c r="I575" s="13"/>
      <c r="K575" s="3"/>
      <c r="L575" s="17"/>
      <c r="N575" s="7"/>
      <c r="O575" s="18"/>
    </row>
    <row r="576" spans="3:15" ht="14" x14ac:dyDescent="0.2">
      <c r="C576" s="1"/>
      <c r="D576" s="22"/>
      <c r="F576" s="24"/>
      <c r="G576" s="14"/>
      <c r="H576" s="15"/>
      <c r="I576" s="13"/>
      <c r="K576" s="3"/>
      <c r="L576" s="17"/>
      <c r="N576" s="7"/>
      <c r="O576" s="18"/>
    </row>
    <row r="577" spans="3:15" ht="14" x14ac:dyDescent="0.2">
      <c r="C577" s="1"/>
      <c r="D577" s="22"/>
      <c r="F577" s="24"/>
      <c r="G577" s="14"/>
      <c r="H577" s="15"/>
      <c r="I577" s="13"/>
      <c r="K577" s="3"/>
      <c r="L577" s="17"/>
      <c r="N577" s="7"/>
      <c r="O577" s="18"/>
    </row>
    <row r="578" spans="3:15" ht="14" x14ac:dyDescent="0.2">
      <c r="C578" s="1"/>
      <c r="D578" s="22"/>
      <c r="F578" s="24"/>
      <c r="G578" s="14"/>
      <c r="H578" s="15"/>
      <c r="I578" s="13"/>
      <c r="K578" s="3"/>
      <c r="L578" s="17"/>
      <c r="N578" s="7"/>
      <c r="O578" s="18"/>
    </row>
    <row r="579" spans="3:15" ht="14" x14ac:dyDescent="0.2">
      <c r="C579" s="1"/>
      <c r="D579" s="22"/>
      <c r="F579" s="24"/>
      <c r="G579" s="14"/>
      <c r="H579" s="15"/>
      <c r="I579" s="13"/>
      <c r="K579" s="3"/>
      <c r="L579" s="17"/>
      <c r="N579" s="7"/>
      <c r="O579" s="18"/>
    </row>
    <row r="580" spans="3:15" ht="14" x14ac:dyDescent="0.2">
      <c r="C580" s="1"/>
      <c r="D580" s="22"/>
      <c r="F580" s="24"/>
      <c r="G580" s="14"/>
      <c r="H580" s="15"/>
      <c r="I580" s="13"/>
      <c r="K580" s="3"/>
      <c r="L580" s="17"/>
      <c r="N580" s="7"/>
      <c r="O580" s="18"/>
    </row>
    <row r="581" spans="3:15" ht="14" x14ac:dyDescent="0.2">
      <c r="C581" s="1"/>
      <c r="D581" s="22"/>
      <c r="F581" s="24"/>
      <c r="G581" s="14"/>
      <c r="H581" s="15"/>
      <c r="I581" s="13"/>
      <c r="K581" s="3"/>
      <c r="L581" s="17"/>
      <c r="N581" s="7"/>
      <c r="O581" s="18"/>
    </row>
    <row r="582" spans="3:15" ht="14" x14ac:dyDescent="0.2">
      <c r="C582" s="1"/>
      <c r="D582" s="22"/>
      <c r="F582" s="24"/>
      <c r="G582" s="14"/>
      <c r="H582" s="15"/>
      <c r="I582" s="13"/>
      <c r="K582" s="3"/>
      <c r="L582" s="17"/>
      <c r="N582" s="7"/>
      <c r="O582" s="18"/>
    </row>
    <row r="583" spans="3:15" ht="14" x14ac:dyDescent="0.2">
      <c r="C583" s="1"/>
      <c r="D583" s="22"/>
      <c r="F583" s="24"/>
      <c r="G583" s="14"/>
      <c r="H583" s="15"/>
      <c r="I583" s="13"/>
      <c r="K583" s="3"/>
      <c r="L583" s="17"/>
      <c r="N583" s="7"/>
      <c r="O583" s="18"/>
    </row>
    <row r="584" spans="3:15" ht="14" x14ac:dyDescent="0.2">
      <c r="C584" s="1"/>
      <c r="D584" s="22"/>
      <c r="F584" s="24"/>
      <c r="G584" s="14"/>
      <c r="H584" s="15"/>
      <c r="I584" s="13"/>
      <c r="K584" s="3"/>
      <c r="L584" s="17"/>
      <c r="N584" s="7"/>
      <c r="O584" s="18"/>
    </row>
    <row r="585" spans="3:15" ht="14" x14ac:dyDescent="0.2">
      <c r="C585" s="1"/>
      <c r="D585" s="22"/>
      <c r="F585" s="24"/>
      <c r="G585" s="14"/>
      <c r="H585" s="15"/>
      <c r="I585" s="13"/>
      <c r="K585" s="3"/>
      <c r="L585" s="17"/>
      <c r="N585" s="7"/>
      <c r="O585" s="18"/>
    </row>
    <row r="586" spans="3:15" ht="14" x14ac:dyDescent="0.2">
      <c r="C586" s="1"/>
      <c r="D586" s="22"/>
      <c r="F586" s="24"/>
      <c r="G586" s="14"/>
      <c r="H586" s="15"/>
      <c r="I586" s="13"/>
      <c r="K586" s="3"/>
      <c r="L586" s="17"/>
      <c r="N586" s="7"/>
      <c r="O586" s="18"/>
    </row>
    <row r="587" spans="3:15" ht="14" x14ac:dyDescent="0.2">
      <c r="C587" s="1"/>
      <c r="D587" s="22"/>
      <c r="F587" s="24"/>
      <c r="G587" s="14"/>
      <c r="H587" s="15"/>
      <c r="I587" s="13"/>
      <c r="K587" s="3"/>
      <c r="L587" s="17"/>
      <c r="N587" s="7"/>
      <c r="O587" s="18"/>
    </row>
    <row r="588" spans="3:15" ht="14" x14ac:dyDescent="0.2">
      <c r="C588" s="1"/>
      <c r="D588" s="22"/>
      <c r="F588" s="24"/>
      <c r="G588" s="14"/>
      <c r="H588" s="15"/>
      <c r="I588" s="13"/>
      <c r="K588" s="3"/>
      <c r="L588" s="17"/>
      <c r="N588" s="7"/>
      <c r="O588" s="18"/>
    </row>
    <row r="589" spans="3:15" ht="14" x14ac:dyDescent="0.2">
      <c r="C589" s="1"/>
      <c r="D589" s="22"/>
      <c r="F589" s="24"/>
      <c r="G589" s="14"/>
      <c r="H589" s="15"/>
      <c r="I589" s="13"/>
      <c r="K589" s="3"/>
      <c r="L589" s="17"/>
      <c r="N589" s="7"/>
      <c r="O589" s="18"/>
    </row>
    <row r="590" spans="3:15" ht="14" x14ac:dyDescent="0.2">
      <c r="C590" s="1"/>
      <c r="D590" s="22"/>
      <c r="F590" s="24"/>
      <c r="G590" s="14"/>
      <c r="H590" s="15"/>
      <c r="I590" s="13"/>
      <c r="K590" s="3"/>
      <c r="L590" s="17"/>
      <c r="N590" s="7"/>
      <c r="O590" s="18"/>
    </row>
    <row r="591" spans="3:15" ht="14" x14ac:dyDescent="0.2">
      <c r="C591" s="1"/>
      <c r="D591" s="22"/>
      <c r="F591" s="24"/>
      <c r="G591" s="14"/>
      <c r="H591" s="15"/>
      <c r="I591" s="13"/>
      <c r="K591" s="3"/>
      <c r="L591" s="17"/>
      <c r="N591" s="7"/>
      <c r="O591" s="18"/>
    </row>
    <row r="592" spans="3:15" ht="14" x14ac:dyDescent="0.2">
      <c r="C592" s="1"/>
      <c r="D592" s="22"/>
      <c r="F592" s="24"/>
      <c r="G592" s="14"/>
      <c r="H592" s="15"/>
      <c r="I592" s="13"/>
      <c r="K592" s="3"/>
      <c r="L592" s="17"/>
      <c r="N592" s="7"/>
      <c r="O592" s="18"/>
    </row>
    <row r="593" spans="3:15" ht="14" x14ac:dyDescent="0.2">
      <c r="C593" s="1"/>
      <c r="D593" s="22"/>
      <c r="F593" s="24"/>
      <c r="G593" s="14"/>
      <c r="H593" s="15"/>
      <c r="I593" s="13"/>
      <c r="K593" s="3"/>
      <c r="L593" s="17"/>
      <c r="N593" s="7"/>
      <c r="O593" s="18"/>
    </row>
    <row r="594" spans="3:15" ht="14" x14ac:dyDescent="0.2">
      <c r="C594" s="1"/>
      <c r="D594" s="22"/>
      <c r="F594" s="24"/>
      <c r="G594" s="14"/>
      <c r="H594" s="15"/>
      <c r="I594" s="13"/>
      <c r="K594" s="3"/>
      <c r="L594" s="17"/>
      <c r="N594" s="7"/>
      <c r="O594" s="18"/>
    </row>
    <row r="595" spans="3:15" ht="14" x14ac:dyDescent="0.2">
      <c r="C595" s="1"/>
      <c r="D595" s="22"/>
      <c r="F595" s="24"/>
      <c r="G595" s="14"/>
      <c r="H595" s="15"/>
      <c r="I595" s="13"/>
      <c r="K595" s="3"/>
      <c r="L595" s="17"/>
      <c r="N595" s="7"/>
      <c r="O595" s="18"/>
    </row>
    <row r="596" spans="3:15" ht="14" x14ac:dyDescent="0.2">
      <c r="C596" s="1"/>
      <c r="D596" s="22"/>
      <c r="F596" s="24"/>
      <c r="G596" s="14"/>
      <c r="H596" s="15"/>
      <c r="I596" s="13"/>
      <c r="K596" s="3"/>
      <c r="L596" s="17"/>
      <c r="N596" s="7"/>
      <c r="O596" s="18"/>
    </row>
    <row r="597" spans="3:15" ht="14" x14ac:dyDescent="0.2">
      <c r="C597" s="1"/>
      <c r="D597" s="22"/>
      <c r="F597" s="24"/>
      <c r="G597" s="14"/>
      <c r="H597" s="15"/>
      <c r="I597" s="13"/>
      <c r="K597" s="3"/>
      <c r="L597" s="17"/>
      <c r="N597" s="7"/>
      <c r="O597" s="18"/>
    </row>
    <row r="598" spans="3:15" ht="14" x14ac:dyDescent="0.2">
      <c r="C598" s="1"/>
      <c r="D598" s="22"/>
      <c r="F598" s="24"/>
      <c r="G598" s="14"/>
      <c r="H598" s="15"/>
      <c r="I598" s="13"/>
      <c r="K598" s="3"/>
      <c r="L598" s="17"/>
      <c r="N598" s="7"/>
      <c r="O598" s="18"/>
    </row>
    <row r="599" spans="3:15" ht="14" x14ac:dyDescent="0.2">
      <c r="C599" s="1"/>
      <c r="D599" s="22"/>
      <c r="F599" s="24"/>
      <c r="G599" s="14"/>
      <c r="H599" s="15"/>
      <c r="I599" s="13"/>
      <c r="K599" s="3"/>
      <c r="L599" s="17"/>
      <c r="N599" s="7"/>
      <c r="O599" s="18"/>
    </row>
    <row r="600" spans="3:15" ht="14" x14ac:dyDescent="0.2">
      <c r="C600" s="1"/>
      <c r="D600" s="22"/>
      <c r="F600" s="24"/>
      <c r="G600" s="14"/>
      <c r="H600" s="15"/>
      <c r="I600" s="13"/>
      <c r="K600" s="3"/>
      <c r="L600" s="17"/>
      <c r="N600" s="7"/>
      <c r="O600" s="18"/>
    </row>
    <row r="601" spans="3:15" ht="14" x14ac:dyDescent="0.2">
      <c r="C601" s="1"/>
      <c r="D601" s="22"/>
      <c r="F601" s="24"/>
      <c r="G601" s="14"/>
      <c r="H601" s="15"/>
      <c r="I601" s="13"/>
      <c r="K601" s="3"/>
      <c r="L601" s="17"/>
      <c r="N601" s="7"/>
      <c r="O601" s="18"/>
    </row>
    <row r="602" spans="3:15" ht="14" x14ac:dyDescent="0.2">
      <c r="C602" s="1"/>
      <c r="D602" s="22"/>
      <c r="F602" s="24"/>
      <c r="G602" s="14"/>
      <c r="H602" s="15"/>
      <c r="I602" s="13"/>
      <c r="K602" s="3"/>
      <c r="L602" s="17"/>
      <c r="N602" s="7"/>
      <c r="O602" s="18"/>
    </row>
    <row r="603" spans="3:15" ht="14" x14ac:dyDescent="0.2">
      <c r="C603" s="1"/>
      <c r="D603" s="22"/>
      <c r="F603" s="24"/>
      <c r="G603" s="14"/>
      <c r="H603" s="15"/>
      <c r="I603" s="13"/>
      <c r="K603" s="3"/>
      <c r="L603" s="17"/>
      <c r="N603" s="7"/>
      <c r="O603" s="18"/>
    </row>
    <row r="604" spans="3:15" ht="14" x14ac:dyDescent="0.2">
      <c r="C604" s="1"/>
      <c r="D604" s="22"/>
      <c r="F604" s="24"/>
      <c r="G604" s="14"/>
      <c r="H604" s="15"/>
      <c r="I604" s="13"/>
      <c r="K604" s="3"/>
      <c r="L604" s="17"/>
      <c r="N604" s="7"/>
      <c r="O604" s="18"/>
    </row>
    <row r="605" spans="3:15" ht="14" x14ac:dyDescent="0.2">
      <c r="C605" s="1"/>
      <c r="D605" s="22"/>
      <c r="F605" s="24"/>
      <c r="G605" s="14"/>
      <c r="H605" s="15"/>
      <c r="I605" s="13"/>
      <c r="K605" s="3"/>
      <c r="L605" s="17"/>
      <c r="N605" s="7"/>
      <c r="O605" s="18"/>
    </row>
    <row r="606" spans="3:15" ht="14" x14ac:dyDescent="0.2">
      <c r="C606" s="1"/>
      <c r="D606" s="22"/>
      <c r="F606" s="24"/>
      <c r="G606" s="14"/>
      <c r="H606" s="15"/>
      <c r="I606" s="13"/>
      <c r="K606" s="3"/>
      <c r="L606" s="17"/>
      <c r="N606" s="7"/>
      <c r="O606" s="18"/>
    </row>
    <row r="607" spans="3:15" ht="14" x14ac:dyDescent="0.2">
      <c r="C607" s="1"/>
      <c r="D607" s="22"/>
      <c r="F607" s="24"/>
      <c r="G607" s="14"/>
      <c r="H607" s="15"/>
      <c r="I607" s="13"/>
      <c r="K607" s="3"/>
      <c r="L607" s="17"/>
      <c r="N607" s="7"/>
      <c r="O607" s="18"/>
    </row>
    <row r="608" spans="3:15" ht="14" x14ac:dyDescent="0.2">
      <c r="C608" s="1"/>
      <c r="D608" s="22"/>
      <c r="F608" s="24"/>
      <c r="G608" s="14"/>
      <c r="H608" s="15"/>
      <c r="I608" s="13"/>
      <c r="K608" s="3"/>
      <c r="L608" s="17"/>
      <c r="N608" s="7"/>
      <c r="O608" s="18"/>
    </row>
    <row r="609" spans="3:15" ht="14" x14ac:dyDescent="0.2">
      <c r="C609" s="1"/>
      <c r="D609" s="22"/>
      <c r="F609" s="24"/>
      <c r="G609" s="14"/>
      <c r="H609" s="15"/>
      <c r="I609" s="13"/>
      <c r="K609" s="3"/>
      <c r="L609" s="17"/>
      <c r="N609" s="7"/>
      <c r="O609" s="18"/>
    </row>
    <row r="610" spans="3:15" ht="14" x14ac:dyDescent="0.2">
      <c r="C610" s="1"/>
      <c r="D610" s="22"/>
      <c r="F610" s="24"/>
      <c r="G610" s="14"/>
      <c r="H610" s="15"/>
      <c r="I610" s="13"/>
      <c r="K610" s="3"/>
      <c r="L610" s="17"/>
      <c r="N610" s="7"/>
      <c r="O610" s="18"/>
    </row>
    <row r="611" spans="3:15" ht="14" x14ac:dyDescent="0.2">
      <c r="C611" s="1"/>
      <c r="D611" s="22"/>
      <c r="F611" s="24"/>
      <c r="G611" s="14"/>
      <c r="H611" s="15"/>
      <c r="I611" s="13"/>
      <c r="K611" s="3"/>
      <c r="L611" s="17"/>
      <c r="N611" s="7"/>
      <c r="O611" s="18"/>
    </row>
    <row r="612" spans="3:15" ht="14" x14ac:dyDescent="0.2">
      <c r="C612" s="1"/>
      <c r="D612" s="22"/>
      <c r="F612" s="24"/>
      <c r="G612" s="14"/>
      <c r="H612" s="15"/>
      <c r="I612" s="13"/>
      <c r="K612" s="3"/>
      <c r="L612" s="17"/>
      <c r="N612" s="7"/>
      <c r="O612" s="18"/>
    </row>
    <row r="613" spans="3:15" ht="14" x14ac:dyDescent="0.2">
      <c r="C613" s="1"/>
      <c r="D613" s="22"/>
      <c r="F613" s="24"/>
      <c r="G613" s="14"/>
      <c r="H613" s="15"/>
      <c r="I613" s="13"/>
      <c r="K613" s="3"/>
      <c r="L613" s="17"/>
      <c r="N613" s="7"/>
      <c r="O613" s="18"/>
    </row>
    <row r="614" spans="3:15" ht="14" x14ac:dyDescent="0.2">
      <c r="C614" s="1"/>
      <c r="D614" s="22"/>
      <c r="F614" s="24"/>
      <c r="G614" s="14"/>
      <c r="H614" s="15"/>
      <c r="I614" s="13"/>
      <c r="K614" s="3"/>
      <c r="L614" s="17"/>
      <c r="N614" s="7"/>
      <c r="O614" s="18"/>
    </row>
    <row r="615" spans="3:15" ht="14" x14ac:dyDescent="0.2">
      <c r="C615" s="1"/>
      <c r="D615" s="22"/>
      <c r="F615" s="24"/>
      <c r="G615" s="14"/>
      <c r="H615" s="15"/>
      <c r="I615" s="13"/>
      <c r="K615" s="3"/>
      <c r="L615" s="17"/>
      <c r="N615" s="7"/>
      <c r="O615" s="18"/>
    </row>
    <row r="616" spans="3:15" ht="14" x14ac:dyDescent="0.2">
      <c r="C616" s="1"/>
      <c r="D616" s="22"/>
      <c r="F616" s="24"/>
      <c r="G616" s="14"/>
      <c r="H616" s="15"/>
      <c r="I616" s="13"/>
      <c r="K616" s="3"/>
      <c r="L616" s="17"/>
      <c r="N616" s="7"/>
      <c r="O616" s="18"/>
    </row>
    <row r="617" spans="3:15" ht="14" x14ac:dyDescent="0.2">
      <c r="C617" s="1"/>
      <c r="D617" s="22"/>
      <c r="F617" s="24"/>
      <c r="G617" s="14"/>
      <c r="H617" s="15"/>
      <c r="I617" s="13"/>
      <c r="K617" s="3"/>
      <c r="L617" s="17"/>
      <c r="N617" s="7"/>
      <c r="O617" s="18"/>
    </row>
    <row r="618" spans="3:15" ht="14" x14ac:dyDescent="0.2">
      <c r="C618" s="1"/>
      <c r="D618" s="22"/>
      <c r="F618" s="24"/>
      <c r="G618" s="14"/>
      <c r="H618" s="15"/>
      <c r="I618" s="13"/>
      <c r="K618" s="3"/>
      <c r="L618" s="17"/>
      <c r="N618" s="7"/>
      <c r="O618" s="18"/>
    </row>
    <row r="619" spans="3:15" ht="14" x14ac:dyDescent="0.2">
      <c r="C619" s="1"/>
      <c r="D619" s="22"/>
      <c r="F619" s="24"/>
      <c r="G619" s="14"/>
      <c r="H619" s="15"/>
      <c r="I619" s="13"/>
      <c r="K619" s="3"/>
      <c r="L619" s="17"/>
      <c r="N619" s="7"/>
      <c r="O619" s="18"/>
    </row>
    <row r="620" spans="3:15" ht="14" x14ac:dyDescent="0.2">
      <c r="C620" s="1"/>
      <c r="D620" s="22"/>
      <c r="F620" s="24"/>
      <c r="G620" s="14"/>
      <c r="H620" s="15"/>
      <c r="I620" s="13"/>
      <c r="K620" s="3"/>
      <c r="L620" s="17"/>
      <c r="N620" s="7"/>
      <c r="O620" s="18"/>
    </row>
    <row r="621" spans="3:15" ht="14" x14ac:dyDescent="0.2">
      <c r="C621" s="1"/>
      <c r="D621" s="22"/>
      <c r="F621" s="24"/>
      <c r="G621" s="14"/>
      <c r="H621" s="15"/>
      <c r="I621" s="13"/>
      <c r="K621" s="3"/>
      <c r="L621" s="17"/>
      <c r="N621" s="7"/>
      <c r="O621" s="18"/>
    </row>
    <row r="622" spans="3:15" ht="14" x14ac:dyDescent="0.2">
      <c r="C622" s="1"/>
      <c r="D622" s="22"/>
      <c r="F622" s="24"/>
      <c r="G622" s="14"/>
      <c r="H622" s="15"/>
      <c r="I622" s="13"/>
      <c r="K622" s="3"/>
      <c r="L622" s="17"/>
      <c r="N622" s="7"/>
      <c r="O622" s="18"/>
    </row>
    <row r="623" spans="3:15" ht="14" x14ac:dyDescent="0.2">
      <c r="C623" s="1"/>
      <c r="D623" s="22"/>
      <c r="F623" s="24"/>
      <c r="G623" s="14"/>
      <c r="H623" s="15"/>
      <c r="I623" s="13"/>
      <c r="K623" s="3"/>
      <c r="L623" s="17"/>
      <c r="N623" s="7"/>
      <c r="O623" s="18"/>
    </row>
    <row r="624" spans="3:15" ht="14" x14ac:dyDescent="0.2">
      <c r="C624" s="1"/>
      <c r="D624" s="22"/>
      <c r="F624" s="24"/>
      <c r="G624" s="14"/>
      <c r="H624" s="15"/>
      <c r="I624" s="13"/>
      <c r="K624" s="3"/>
      <c r="L624" s="17"/>
      <c r="N624" s="7"/>
      <c r="O624" s="18"/>
    </row>
    <row r="625" spans="3:15" ht="14" x14ac:dyDescent="0.2">
      <c r="C625" s="1"/>
      <c r="D625" s="22"/>
      <c r="F625" s="24"/>
      <c r="G625" s="14"/>
      <c r="H625" s="15"/>
      <c r="I625" s="13"/>
      <c r="K625" s="3"/>
      <c r="L625" s="17"/>
      <c r="N625" s="7"/>
      <c r="O625" s="18"/>
    </row>
    <row r="626" spans="3:15" ht="14" x14ac:dyDescent="0.2">
      <c r="C626" s="1"/>
      <c r="D626" s="22"/>
      <c r="F626" s="24"/>
      <c r="G626" s="14"/>
      <c r="H626" s="15"/>
      <c r="I626" s="13"/>
      <c r="K626" s="3"/>
      <c r="L626" s="17"/>
      <c r="N626" s="7"/>
      <c r="O626" s="18"/>
    </row>
    <row r="627" spans="3:15" ht="14" x14ac:dyDescent="0.2">
      <c r="C627" s="1"/>
      <c r="D627" s="22"/>
      <c r="F627" s="24"/>
      <c r="G627" s="14"/>
      <c r="H627" s="15"/>
      <c r="I627" s="13"/>
      <c r="K627" s="3"/>
      <c r="L627" s="17"/>
      <c r="N627" s="7"/>
      <c r="O627" s="18"/>
    </row>
    <row r="628" spans="3:15" ht="14" x14ac:dyDescent="0.2">
      <c r="C628" s="1"/>
      <c r="D628" s="22"/>
      <c r="F628" s="24"/>
      <c r="G628" s="14"/>
      <c r="H628" s="15"/>
      <c r="I628" s="13"/>
      <c r="K628" s="3"/>
      <c r="L628" s="17"/>
      <c r="N628" s="7"/>
      <c r="O628" s="18"/>
    </row>
    <row r="629" spans="3:15" ht="14" x14ac:dyDescent="0.2">
      <c r="C629" s="1"/>
      <c r="D629" s="22"/>
      <c r="F629" s="24"/>
      <c r="G629" s="14"/>
      <c r="H629" s="15"/>
      <c r="I629" s="13"/>
      <c r="K629" s="3"/>
      <c r="L629" s="17"/>
      <c r="N629" s="7"/>
      <c r="O629" s="18"/>
    </row>
    <row r="630" spans="3:15" ht="14" x14ac:dyDescent="0.2">
      <c r="C630" s="1"/>
      <c r="D630" s="22"/>
      <c r="F630" s="24"/>
      <c r="G630" s="14"/>
      <c r="H630" s="15"/>
      <c r="I630" s="13"/>
      <c r="K630" s="3"/>
      <c r="L630" s="17"/>
      <c r="N630" s="7"/>
      <c r="O630" s="18"/>
    </row>
    <row r="631" spans="3:15" ht="14" x14ac:dyDescent="0.2">
      <c r="C631" s="1"/>
      <c r="D631" s="22"/>
      <c r="F631" s="24"/>
      <c r="G631" s="14"/>
      <c r="H631" s="15"/>
      <c r="I631" s="13"/>
      <c r="K631" s="3"/>
      <c r="L631" s="17"/>
      <c r="N631" s="7"/>
      <c r="O631" s="18"/>
    </row>
    <row r="632" spans="3:15" ht="14" x14ac:dyDescent="0.2">
      <c r="C632" s="1"/>
      <c r="D632" s="22"/>
      <c r="F632" s="24"/>
      <c r="G632" s="14"/>
      <c r="H632" s="15"/>
      <c r="I632" s="13"/>
      <c r="K632" s="3"/>
      <c r="L632" s="17"/>
      <c r="N632" s="7"/>
      <c r="O632" s="18"/>
    </row>
    <row r="633" spans="3:15" ht="14" x14ac:dyDescent="0.2">
      <c r="C633" s="1"/>
      <c r="D633" s="22"/>
      <c r="F633" s="24"/>
      <c r="G633" s="14"/>
      <c r="H633" s="15"/>
      <c r="I633" s="13"/>
      <c r="K633" s="3"/>
      <c r="L633" s="17"/>
      <c r="N633" s="7"/>
      <c r="O633" s="18"/>
    </row>
    <row r="634" spans="3:15" ht="14" x14ac:dyDescent="0.2">
      <c r="C634" s="1"/>
      <c r="D634" s="22"/>
      <c r="F634" s="24"/>
      <c r="G634" s="14"/>
      <c r="H634" s="15"/>
      <c r="I634" s="13"/>
      <c r="K634" s="3"/>
      <c r="L634" s="17"/>
      <c r="N634" s="7"/>
      <c r="O634" s="18"/>
    </row>
    <row r="635" spans="3:15" ht="14" x14ac:dyDescent="0.2">
      <c r="C635" s="1"/>
      <c r="D635" s="22"/>
      <c r="F635" s="24"/>
      <c r="G635" s="14"/>
      <c r="H635" s="15"/>
      <c r="I635" s="13"/>
      <c r="K635" s="3"/>
      <c r="L635" s="17"/>
      <c r="N635" s="7"/>
      <c r="O635" s="18"/>
    </row>
    <row r="636" spans="3:15" ht="14" x14ac:dyDescent="0.2">
      <c r="C636" s="1"/>
      <c r="D636" s="22"/>
      <c r="F636" s="24"/>
      <c r="G636" s="14"/>
      <c r="H636" s="15"/>
      <c r="I636" s="13"/>
      <c r="K636" s="3"/>
      <c r="L636" s="17"/>
      <c r="N636" s="7"/>
      <c r="O636" s="18"/>
    </row>
    <row r="637" spans="3:15" ht="14" x14ac:dyDescent="0.2">
      <c r="C637" s="1"/>
      <c r="D637" s="22"/>
      <c r="F637" s="24"/>
      <c r="G637" s="14"/>
      <c r="H637" s="15"/>
      <c r="I637" s="13"/>
      <c r="K637" s="3"/>
      <c r="L637" s="17"/>
      <c r="N637" s="7"/>
      <c r="O637" s="18"/>
    </row>
    <row r="638" spans="3:15" ht="14" x14ac:dyDescent="0.2">
      <c r="C638" s="1"/>
      <c r="D638" s="22"/>
      <c r="F638" s="24"/>
      <c r="G638" s="14"/>
      <c r="H638" s="15"/>
      <c r="I638" s="13"/>
      <c r="K638" s="3"/>
      <c r="L638" s="17"/>
      <c r="N638" s="7"/>
      <c r="O638" s="18"/>
    </row>
    <row r="639" spans="3:15" ht="14" x14ac:dyDescent="0.2">
      <c r="C639" s="1"/>
      <c r="D639" s="22"/>
      <c r="F639" s="24"/>
      <c r="G639" s="14"/>
      <c r="H639" s="15"/>
      <c r="I639" s="13"/>
      <c r="K639" s="3"/>
      <c r="L639" s="17"/>
      <c r="N639" s="7"/>
      <c r="O639" s="18"/>
    </row>
    <row r="640" spans="3:15" ht="14" x14ac:dyDescent="0.2">
      <c r="C640" s="1"/>
      <c r="D640" s="22"/>
      <c r="F640" s="24"/>
      <c r="G640" s="14"/>
      <c r="H640" s="15"/>
      <c r="I640" s="13"/>
      <c r="K640" s="3"/>
      <c r="L640" s="17"/>
      <c r="N640" s="7"/>
      <c r="O640" s="18"/>
    </row>
    <row r="641" spans="3:15" ht="14" x14ac:dyDescent="0.2">
      <c r="C641" s="1"/>
      <c r="D641" s="22"/>
      <c r="F641" s="24"/>
      <c r="G641" s="14"/>
      <c r="H641" s="15"/>
      <c r="I641" s="13"/>
      <c r="K641" s="3"/>
      <c r="L641" s="17"/>
      <c r="N641" s="7"/>
      <c r="O641" s="18"/>
    </row>
    <row r="642" spans="3:15" ht="14" x14ac:dyDescent="0.2">
      <c r="C642" s="1"/>
      <c r="D642" s="22"/>
      <c r="F642" s="24"/>
      <c r="G642" s="14"/>
      <c r="H642" s="15"/>
      <c r="I642" s="13"/>
      <c r="K642" s="3"/>
      <c r="L642" s="17"/>
      <c r="N642" s="7"/>
      <c r="O642" s="18"/>
    </row>
    <row r="643" spans="3:15" ht="14" x14ac:dyDescent="0.2">
      <c r="C643" s="1"/>
      <c r="D643" s="22"/>
      <c r="F643" s="24"/>
      <c r="G643" s="14"/>
      <c r="H643" s="15"/>
      <c r="I643" s="13"/>
      <c r="K643" s="3"/>
      <c r="L643" s="17"/>
      <c r="N643" s="7"/>
      <c r="O643" s="18"/>
    </row>
    <row r="644" spans="3:15" ht="14" x14ac:dyDescent="0.2">
      <c r="C644" s="1"/>
      <c r="D644" s="22"/>
      <c r="F644" s="24"/>
      <c r="G644" s="14"/>
      <c r="H644" s="15"/>
      <c r="I644" s="13"/>
      <c r="K644" s="3"/>
      <c r="L644" s="17"/>
      <c r="N644" s="7"/>
      <c r="O644" s="18"/>
    </row>
    <row r="645" spans="3:15" ht="14" x14ac:dyDescent="0.2">
      <c r="C645" s="1"/>
      <c r="D645" s="22"/>
      <c r="F645" s="24"/>
      <c r="G645" s="14"/>
      <c r="H645" s="15"/>
      <c r="I645" s="13"/>
      <c r="K645" s="3"/>
      <c r="L645" s="17"/>
      <c r="N645" s="7"/>
      <c r="O645" s="18"/>
    </row>
    <row r="646" spans="3:15" ht="14" x14ac:dyDescent="0.2">
      <c r="C646" s="1"/>
      <c r="D646" s="22"/>
      <c r="F646" s="24"/>
      <c r="G646" s="14"/>
      <c r="H646" s="15"/>
      <c r="I646" s="13"/>
      <c r="K646" s="3"/>
      <c r="L646" s="17"/>
      <c r="N646" s="7"/>
      <c r="O646" s="18"/>
    </row>
    <row r="647" spans="3:15" ht="14" x14ac:dyDescent="0.2">
      <c r="C647" s="1"/>
      <c r="D647" s="22"/>
      <c r="F647" s="24"/>
      <c r="G647" s="14"/>
      <c r="H647" s="15"/>
      <c r="I647" s="13"/>
      <c r="K647" s="3"/>
      <c r="L647" s="17"/>
      <c r="N647" s="7"/>
      <c r="O647" s="18"/>
    </row>
    <row r="648" spans="3:15" ht="14" x14ac:dyDescent="0.2">
      <c r="C648" s="1"/>
      <c r="D648" s="22"/>
      <c r="F648" s="24"/>
      <c r="G648" s="14"/>
      <c r="H648" s="15"/>
      <c r="I648" s="13"/>
      <c r="K648" s="3"/>
      <c r="L648" s="17"/>
      <c r="N648" s="7"/>
      <c r="O648" s="18"/>
    </row>
    <row r="649" spans="3:15" ht="14" x14ac:dyDescent="0.2">
      <c r="C649" s="1"/>
      <c r="D649" s="22"/>
      <c r="F649" s="24"/>
      <c r="G649" s="14"/>
      <c r="H649" s="15"/>
      <c r="I649" s="13"/>
      <c r="K649" s="3"/>
      <c r="L649" s="17"/>
      <c r="N649" s="7"/>
      <c r="O649" s="18"/>
    </row>
    <row r="650" spans="3:15" ht="14" x14ac:dyDescent="0.2">
      <c r="C650" s="1"/>
      <c r="D650" s="22"/>
      <c r="F650" s="24"/>
      <c r="G650" s="14"/>
      <c r="H650" s="15"/>
      <c r="I650" s="13"/>
      <c r="K650" s="3"/>
      <c r="L650" s="17"/>
      <c r="N650" s="7"/>
      <c r="O650" s="18"/>
    </row>
    <row r="651" spans="3:15" ht="14" x14ac:dyDescent="0.2">
      <c r="C651" s="1"/>
      <c r="D651" s="22"/>
      <c r="F651" s="24"/>
      <c r="G651" s="14"/>
      <c r="H651" s="15"/>
      <c r="I651" s="13"/>
      <c r="K651" s="3"/>
      <c r="L651" s="17"/>
      <c r="N651" s="7"/>
      <c r="O651" s="18"/>
    </row>
    <row r="652" spans="3:15" ht="14" x14ac:dyDescent="0.2">
      <c r="C652" s="1"/>
      <c r="D652" s="22"/>
      <c r="F652" s="24"/>
      <c r="G652" s="14"/>
      <c r="H652" s="15"/>
      <c r="I652" s="13"/>
      <c r="K652" s="3"/>
      <c r="L652" s="17"/>
      <c r="N652" s="7"/>
      <c r="O652" s="18"/>
    </row>
    <row r="653" spans="3:15" ht="14" x14ac:dyDescent="0.2">
      <c r="C653" s="1"/>
      <c r="D653" s="22"/>
      <c r="F653" s="24"/>
      <c r="G653" s="14"/>
      <c r="H653" s="15"/>
      <c r="I653" s="13"/>
      <c r="K653" s="3"/>
      <c r="L653" s="17"/>
      <c r="N653" s="7"/>
      <c r="O653" s="18"/>
    </row>
    <row r="654" spans="3:15" ht="14" x14ac:dyDescent="0.2">
      <c r="C654" s="1"/>
      <c r="D654" s="22"/>
      <c r="F654" s="24"/>
      <c r="G654" s="14"/>
      <c r="H654" s="15"/>
      <c r="I654" s="13"/>
      <c r="K654" s="3"/>
      <c r="L654" s="17"/>
      <c r="N654" s="7"/>
      <c r="O654" s="18"/>
    </row>
    <row r="655" spans="3:15" ht="14" x14ac:dyDescent="0.2">
      <c r="C655" s="1"/>
      <c r="D655" s="22"/>
      <c r="F655" s="24"/>
      <c r="G655" s="14"/>
      <c r="H655" s="15"/>
      <c r="I655" s="13"/>
      <c r="K655" s="3"/>
      <c r="L655" s="17"/>
      <c r="N655" s="7"/>
      <c r="O655" s="18"/>
    </row>
    <row r="656" spans="3:15" ht="14" x14ac:dyDescent="0.2">
      <c r="C656" s="1"/>
      <c r="D656" s="22"/>
      <c r="F656" s="24"/>
      <c r="G656" s="14"/>
      <c r="H656" s="15"/>
      <c r="I656" s="13"/>
      <c r="K656" s="3"/>
      <c r="L656" s="17"/>
      <c r="N656" s="7"/>
      <c r="O656" s="18"/>
    </row>
    <row r="657" spans="3:15" ht="14" x14ac:dyDescent="0.2">
      <c r="C657" s="1"/>
      <c r="D657" s="22"/>
      <c r="F657" s="24"/>
      <c r="G657" s="14"/>
      <c r="H657" s="15"/>
      <c r="I657" s="13"/>
      <c r="K657" s="3"/>
      <c r="L657" s="17"/>
      <c r="N657" s="7"/>
      <c r="O657" s="18"/>
    </row>
    <row r="658" spans="3:15" ht="14" x14ac:dyDescent="0.2">
      <c r="C658" s="1"/>
      <c r="D658" s="22"/>
      <c r="F658" s="24"/>
      <c r="G658" s="14"/>
      <c r="H658" s="15"/>
      <c r="I658" s="13"/>
      <c r="K658" s="3"/>
      <c r="L658" s="17"/>
      <c r="N658" s="7"/>
      <c r="O658" s="18"/>
    </row>
    <row r="659" spans="3:15" ht="14" x14ac:dyDescent="0.2">
      <c r="C659" s="1"/>
      <c r="D659" s="22"/>
      <c r="F659" s="24"/>
      <c r="G659" s="14"/>
      <c r="H659" s="15"/>
      <c r="I659" s="13"/>
      <c r="K659" s="3"/>
      <c r="L659" s="17"/>
      <c r="N659" s="7"/>
      <c r="O659" s="18"/>
    </row>
    <row r="660" spans="3:15" ht="14" x14ac:dyDescent="0.2">
      <c r="C660" s="1"/>
      <c r="D660" s="22"/>
      <c r="F660" s="24"/>
      <c r="G660" s="14"/>
      <c r="H660" s="15"/>
      <c r="I660" s="13"/>
      <c r="K660" s="3"/>
      <c r="L660" s="17"/>
      <c r="N660" s="7"/>
      <c r="O660" s="18"/>
    </row>
    <row r="661" spans="3:15" ht="14" x14ac:dyDescent="0.2">
      <c r="C661" s="1"/>
      <c r="D661" s="22"/>
      <c r="F661" s="24"/>
      <c r="G661" s="14"/>
      <c r="H661" s="15"/>
      <c r="I661" s="13"/>
      <c r="K661" s="3"/>
      <c r="L661" s="17"/>
      <c r="N661" s="7"/>
      <c r="O661" s="18"/>
    </row>
    <row r="662" spans="3:15" ht="14" x14ac:dyDescent="0.2">
      <c r="C662" s="1"/>
      <c r="D662" s="22"/>
      <c r="F662" s="24"/>
      <c r="G662" s="14"/>
      <c r="H662" s="15"/>
      <c r="I662" s="13"/>
      <c r="K662" s="3"/>
      <c r="L662" s="17"/>
      <c r="N662" s="7"/>
      <c r="O662" s="18"/>
    </row>
    <row r="663" spans="3:15" ht="14" x14ac:dyDescent="0.2">
      <c r="C663" s="1"/>
      <c r="D663" s="22"/>
      <c r="F663" s="24"/>
      <c r="G663" s="14"/>
      <c r="H663" s="15"/>
      <c r="I663" s="13"/>
      <c r="K663" s="3"/>
      <c r="L663" s="17"/>
      <c r="N663" s="7"/>
      <c r="O663" s="18"/>
    </row>
    <row r="664" spans="3:15" ht="14" x14ac:dyDescent="0.2">
      <c r="C664" s="1"/>
      <c r="D664" s="22"/>
      <c r="F664" s="24"/>
      <c r="G664" s="14"/>
      <c r="H664" s="15"/>
      <c r="I664" s="13"/>
      <c r="K664" s="3"/>
      <c r="L664" s="17"/>
      <c r="N664" s="7"/>
      <c r="O664" s="18"/>
    </row>
    <row r="665" spans="3:15" ht="14" x14ac:dyDescent="0.2">
      <c r="C665" s="1"/>
      <c r="D665" s="22"/>
      <c r="F665" s="24"/>
      <c r="G665" s="14"/>
      <c r="H665" s="15"/>
      <c r="I665" s="13"/>
      <c r="K665" s="3"/>
      <c r="L665" s="17"/>
      <c r="N665" s="7"/>
      <c r="O665" s="18"/>
    </row>
    <row r="666" spans="3:15" ht="14" x14ac:dyDescent="0.2">
      <c r="C666" s="1"/>
      <c r="D666" s="22"/>
      <c r="F666" s="24"/>
      <c r="G666" s="14"/>
      <c r="H666" s="15"/>
      <c r="I666" s="13"/>
      <c r="K666" s="3"/>
      <c r="L666" s="17"/>
      <c r="N666" s="7"/>
      <c r="O666" s="18"/>
    </row>
    <row r="667" spans="3:15" ht="14" x14ac:dyDescent="0.2">
      <c r="C667" s="1"/>
      <c r="D667" s="22"/>
      <c r="F667" s="24"/>
      <c r="G667" s="14"/>
      <c r="H667" s="15"/>
      <c r="I667" s="13"/>
      <c r="K667" s="3"/>
      <c r="L667" s="17"/>
      <c r="N667" s="7"/>
      <c r="O667" s="18"/>
    </row>
    <row r="668" spans="3:15" ht="14" x14ac:dyDescent="0.2">
      <c r="C668" s="1"/>
      <c r="D668" s="22"/>
      <c r="F668" s="24"/>
      <c r="G668" s="14"/>
      <c r="H668" s="15"/>
      <c r="I668" s="13"/>
      <c r="K668" s="3"/>
      <c r="L668" s="17"/>
      <c r="N668" s="7"/>
      <c r="O668" s="18"/>
    </row>
    <row r="669" spans="3:15" ht="14" x14ac:dyDescent="0.2">
      <c r="C669" s="1"/>
      <c r="D669" s="22"/>
      <c r="F669" s="24"/>
      <c r="G669" s="14"/>
      <c r="H669" s="15"/>
      <c r="I669" s="13"/>
      <c r="K669" s="3"/>
      <c r="L669" s="17"/>
      <c r="N669" s="7"/>
      <c r="O669" s="18"/>
    </row>
    <row r="670" spans="3:15" ht="14" x14ac:dyDescent="0.2">
      <c r="C670" s="1"/>
      <c r="D670" s="22"/>
      <c r="F670" s="24"/>
      <c r="G670" s="14"/>
      <c r="H670" s="15"/>
      <c r="I670" s="13"/>
      <c r="K670" s="3"/>
      <c r="L670" s="17"/>
      <c r="N670" s="7"/>
      <c r="O670" s="18"/>
    </row>
    <row r="671" spans="3:15" ht="14" x14ac:dyDescent="0.2">
      <c r="C671" s="1"/>
      <c r="D671" s="22"/>
      <c r="F671" s="24"/>
      <c r="G671" s="14"/>
      <c r="H671" s="15"/>
      <c r="I671" s="13"/>
      <c r="K671" s="3"/>
      <c r="L671" s="17"/>
      <c r="N671" s="7"/>
      <c r="O671" s="18"/>
    </row>
    <row r="672" spans="3:15" ht="14" x14ac:dyDescent="0.2">
      <c r="C672" s="1"/>
      <c r="D672" s="22"/>
      <c r="F672" s="24"/>
      <c r="G672" s="14"/>
      <c r="H672" s="15"/>
      <c r="I672" s="13"/>
      <c r="K672" s="3"/>
      <c r="L672" s="17"/>
      <c r="N672" s="7"/>
      <c r="O672" s="18"/>
    </row>
    <row r="673" spans="3:15" ht="14" x14ac:dyDescent="0.2">
      <c r="C673" s="1"/>
      <c r="D673" s="22"/>
      <c r="F673" s="24"/>
      <c r="G673" s="14"/>
      <c r="H673" s="15"/>
      <c r="I673" s="13"/>
      <c r="K673" s="3"/>
      <c r="L673" s="17"/>
      <c r="N673" s="7"/>
      <c r="O673" s="18"/>
    </row>
    <row r="674" spans="3:15" ht="14" x14ac:dyDescent="0.2">
      <c r="C674" s="1"/>
      <c r="D674" s="22"/>
      <c r="F674" s="24"/>
      <c r="G674" s="14"/>
      <c r="H674" s="15"/>
      <c r="I674" s="13"/>
      <c r="K674" s="3"/>
      <c r="L674" s="17"/>
      <c r="N674" s="7"/>
      <c r="O674" s="18"/>
    </row>
    <row r="675" spans="3:15" ht="14" x14ac:dyDescent="0.2">
      <c r="C675" s="1"/>
      <c r="D675" s="22"/>
      <c r="F675" s="24"/>
      <c r="G675" s="14"/>
      <c r="H675" s="15"/>
      <c r="I675" s="13"/>
      <c r="K675" s="3"/>
      <c r="L675" s="17"/>
      <c r="N675" s="7"/>
      <c r="O675" s="18"/>
    </row>
    <row r="676" spans="3:15" ht="14" x14ac:dyDescent="0.2">
      <c r="C676" s="1"/>
      <c r="D676" s="22"/>
      <c r="F676" s="24"/>
      <c r="G676" s="14"/>
      <c r="H676" s="15"/>
      <c r="I676" s="13"/>
      <c r="K676" s="3"/>
      <c r="L676" s="17"/>
      <c r="N676" s="7"/>
      <c r="O676" s="18"/>
    </row>
    <row r="677" spans="3:15" ht="14" x14ac:dyDescent="0.2">
      <c r="C677" s="1"/>
      <c r="D677" s="22"/>
      <c r="F677" s="24"/>
      <c r="G677" s="14"/>
      <c r="H677" s="15"/>
      <c r="I677" s="13"/>
      <c r="K677" s="3"/>
      <c r="L677" s="17"/>
      <c r="N677" s="7"/>
      <c r="O677" s="18"/>
    </row>
    <row r="678" spans="3:15" ht="14" x14ac:dyDescent="0.2">
      <c r="C678" s="1"/>
      <c r="D678" s="22"/>
      <c r="F678" s="24"/>
      <c r="G678" s="14"/>
      <c r="H678" s="15"/>
      <c r="I678" s="13"/>
      <c r="K678" s="3"/>
      <c r="L678" s="17"/>
      <c r="N678" s="7"/>
      <c r="O678" s="18"/>
    </row>
    <row r="679" spans="3:15" ht="14" x14ac:dyDescent="0.2">
      <c r="C679" s="1"/>
      <c r="D679" s="22"/>
      <c r="F679" s="24"/>
      <c r="G679" s="14"/>
      <c r="H679" s="15"/>
      <c r="I679" s="13"/>
      <c r="K679" s="3"/>
      <c r="L679" s="17"/>
      <c r="N679" s="7"/>
      <c r="O679" s="18"/>
    </row>
    <row r="680" spans="3:15" ht="14" x14ac:dyDescent="0.2">
      <c r="C680" s="1"/>
      <c r="D680" s="22"/>
      <c r="F680" s="24"/>
      <c r="G680" s="14"/>
      <c r="H680" s="15"/>
      <c r="I680" s="13"/>
      <c r="K680" s="3"/>
      <c r="L680" s="17"/>
      <c r="N680" s="7"/>
      <c r="O680" s="18"/>
    </row>
    <row r="681" spans="3:15" ht="14" x14ac:dyDescent="0.2">
      <c r="C681" s="1"/>
      <c r="D681" s="22"/>
      <c r="F681" s="24"/>
      <c r="G681" s="14"/>
      <c r="H681" s="15"/>
      <c r="I681" s="13"/>
      <c r="K681" s="3"/>
      <c r="L681" s="17"/>
      <c r="N681" s="7"/>
      <c r="O681" s="18"/>
    </row>
    <row r="682" spans="3:15" ht="14" x14ac:dyDescent="0.2">
      <c r="C682" s="1"/>
      <c r="D682" s="22"/>
      <c r="F682" s="24"/>
      <c r="G682" s="14"/>
      <c r="H682" s="15"/>
      <c r="I682" s="13"/>
      <c r="K682" s="3"/>
      <c r="L682" s="17"/>
      <c r="N682" s="7"/>
      <c r="O682" s="18"/>
    </row>
    <row r="683" spans="3:15" ht="14" x14ac:dyDescent="0.2">
      <c r="C683" s="1"/>
      <c r="D683" s="22"/>
      <c r="F683" s="24"/>
      <c r="G683" s="14"/>
      <c r="H683" s="15"/>
      <c r="I683" s="13"/>
      <c r="K683" s="3"/>
      <c r="L683" s="17"/>
      <c r="N683" s="7"/>
      <c r="O683" s="18"/>
    </row>
    <row r="684" spans="3:15" ht="14" x14ac:dyDescent="0.2">
      <c r="C684" s="1"/>
      <c r="D684" s="22"/>
      <c r="F684" s="24"/>
      <c r="G684" s="14"/>
      <c r="H684" s="15"/>
      <c r="I684" s="13"/>
      <c r="K684" s="3"/>
      <c r="L684" s="17"/>
      <c r="N684" s="7"/>
      <c r="O684" s="18"/>
    </row>
    <row r="685" spans="3:15" ht="14" x14ac:dyDescent="0.2">
      <c r="C685" s="1"/>
      <c r="D685" s="22"/>
      <c r="F685" s="24"/>
      <c r="G685" s="14"/>
      <c r="H685" s="15"/>
      <c r="I685" s="13"/>
      <c r="K685" s="3"/>
      <c r="L685" s="17"/>
      <c r="N685" s="7"/>
      <c r="O685" s="18"/>
    </row>
    <row r="686" spans="3:15" ht="14" x14ac:dyDescent="0.2">
      <c r="C686" s="1"/>
      <c r="D686" s="22"/>
      <c r="F686" s="24"/>
      <c r="G686" s="14"/>
      <c r="H686" s="15"/>
      <c r="I686" s="13"/>
      <c r="K686" s="3"/>
      <c r="L686" s="17"/>
      <c r="N686" s="7"/>
      <c r="O686" s="18"/>
    </row>
    <row r="687" spans="3:15" ht="14" x14ac:dyDescent="0.2">
      <c r="C687" s="1"/>
      <c r="D687" s="22"/>
      <c r="F687" s="24"/>
      <c r="G687" s="14"/>
      <c r="H687" s="15"/>
      <c r="I687" s="13"/>
      <c r="K687" s="3"/>
      <c r="L687" s="17"/>
      <c r="N687" s="7"/>
      <c r="O687" s="18"/>
    </row>
    <row r="688" spans="3:15" ht="14" x14ac:dyDescent="0.2">
      <c r="C688" s="1"/>
      <c r="D688" s="22"/>
      <c r="F688" s="24"/>
      <c r="G688" s="14"/>
      <c r="H688" s="15"/>
      <c r="I688" s="13"/>
      <c r="K688" s="3"/>
      <c r="L688" s="17"/>
      <c r="N688" s="7"/>
      <c r="O688" s="18"/>
    </row>
    <row r="689" spans="3:15" ht="14" x14ac:dyDescent="0.2">
      <c r="C689" s="1"/>
      <c r="D689" s="22"/>
      <c r="F689" s="24"/>
      <c r="G689" s="14"/>
      <c r="H689" s="15"/>
      <c r="I689" s="13"/>
      <c r="K689" s="3"/>
      <c r="L689" s="17"/>
      <c r="N689" s="7"/>
      <c r="O689" s="18"/>
    </row>
    <row r="690" spans="3:15" ht="14" x14ac:dyDescent="0.2">
      <c r="C690" s="1"/>
      <c r="D690" s="22"/>
      <c r="F690" s="24"/>
      <c r="G690" s="14"/>
      <c r="H690" s="15"/>
      <c r="I690" s="13"/>
      <c r="K690" s="3"/>
      <c r="L690" s="17"/>
      <c r="N690" s="7"/>
      <c r="O690" s="18"/>
    </row>
    <row r="691" spans="3:15" ht="14" x14ac:dyDescent="0.2">
      <c r="C691" s="1"/>
      <c r="D691" s="22"/>
      <c r="F691" s="24"/>
      <c r="G691" s="14"/>
      <c r="H691" s="15"/>
      <c r="I691" s="13"/>
      <c r="K691" s="3"/>
      <c r="L691" s="17"/>
      <c r="N691" s="7"/>
      <c r="O691" s="18"/>
    </row>
    <row r="692" spans="3:15" ht="14" x14ac:dyDescent="0.2">
      <c r="C692" s="1"/>
      <c r="D692" s="22"/>
      <c r="F692" s="24"/>
      <c r="G692" s="14"/>
      <c r="H692" s="15"/>
      <c r="I692" s="13"/>
      <c r="K692" s="3"/>
      <c r="L692" s="17"/>
      <c r="N692" s="7"/>
      <c r="O692" s="18"/>
    </row>
    <row r="693" spans="3:15" ht="14" x14ac:dyDescent="0.2">
      <c r="C693" s="1"/>
      <c r="D693" s="22"/>
      <c r="F693" s="24"/>
      <c r="G693" s="14"/>
      <c r="H693" s="15"/>
      <c r="I693" s="13"/>
      <c r="K693" s="3"/>
      <c r="L693" s="17"/>
      <c r="N693" s="7"/>
      <c r="O693" s="18"/>
    </row>
    <row r="694" spans="3:15" ht="14" x14ac:dyDescent="0.2">
      <c r="C694" s="1"/>
      <c r="D694" s="22"/>
      <c r="F694" s="24"/>
      <c r="G694" s="14"/>
      <c r="H694" s="15"/>
      <c r="I694" s="13"/>
      <c r="K694" s="3"/>
      <c r="L694" s="17"/>
      <c r="N694" s="7"/>
      <c r="O694" s="18"/>
    </row>
    <row r="695" spans="3:15" ht="14" x14ac:dyDescent="0.2">
      <c r="C695" s="1"/>
      <c r="D695" s="22"/>
      <c r="F695" s="24"/>
      <c r="G695" s="14"/>
      <c r="H695" s="15"/>
      <c r="I695" s="13"/>
      <c r="K695" s="3"/>
      <c r="L695" s="17"/>
      <c r="N695" s="7"/>
      <c r="O695" s="18"/>
    </row>
    <row r="696" spans="3:15" ht="14" x14ac:dyDescent="0.2">
      <c r="C696" s="1"/>
      <c r="D696" s="22"/>
      <c r="F696" s="24"/>
      <c r="G696" s="14"/>
      <c r="H696" s="15"/>
      <c r="I696" s="13"/>
      <c r="K696" s="3"/>
      <c r="L696" s="17"/>
      <c r="N696" s="7"/>
      <c r="O696" s="18"/>
    </row>
    <row r="697" spans="3:15" ht="14" x14ac:dyDescent="0.2">
      <c r="C697" s="1"/>
      <c r="D697" s="22"/>
      <c r="F697" s="24"/>
      <c r="G697" s="14"/>
      <c r="H697" s="15"/>
      <c r="I697" s="13"/>
      <c r="K697" s="3"/>
      <c r="L697" s="17"/>
      <c r="N697" s="7"/>
      <c r="O697" s="18"/>
    </row>
    <row r="698" spans="3:15" ht="14" x14ac:dyDescent="0.2">
      <c r="C698" s="1"/>
      <c r="D698" s="22"/>
      <c r="F698" s="24"/>
      <c r="G698" s="14"/>
      <c r="H698" s="15"/>
      <c r="I698" s="13"/>
      <c r="K698" s="3"/>
      <c r="L698" s="17"/>
      <c r="N698" s="7"/>
      <c r="O698" s="18"/>
    </row>
    <row r="699" spans="3:15" ht="14" x14ac:dyDescent="0.2">
      <c r="C699" s="1"/>
      <c r="D699" s="22"/>
      <c r="F699" s="24"/>
      <c r="G699" s="14"/>
      <c r="H699" s="15"/>
      <c r="I699" s="13"/>
      <c r="K699" s="3"/>
      <c r="L699" s="17"/>
      <c r="N699" s="7"/>
      <c r="O699" s="18"/>
    </row>
    <row r="700" spans="3:15" ht="14" x14ac:dyDescent="0.2">
      <c r="C700" s="1"/>
      <c r="D700" s="22"/>
      <c r="F700" s="24"/>
      <c r="G700" s="14"/>
      <c r="H700" s="15"/>
      <c r="I700" s="13"/>
      <c r="K700" s="3"/>
      <c r="L700" s="17"/>
      <c r="N700" s="7"/>
      <c r="O700" s="18"/>
    </row>
    <row r="701" spans="3:15" ht="14" x14ac:dyDescent="0.2">
      <c r="C701" s="1"/>
      <c r="D701" s="22"/>
      <c r="F701" s="24"/>
      <c r="G701" s="14"/>
      <c r="H701" s="15"/>
      <c r="I701" s="13"/>
      <c r="K701" s="3"/>
      <c r="L701" s="17"/>
      <c r="N701" s="7"/>
      <c r="O701" s="18"/>
    </row>
    <row r="702" spans="3:15" ht="14" x14ac:dyDescent="0.2">
      <c r="C702" s="1"/>
      <c r="D702" s="22"/>
      <c r="F702" s="24"/>
      <c r="G702" s="14"/>
      <c r="H702" s="15"/>
      <c r="I702" s="13"/>
      <c r="K702" s="3"/>
      <c r="L702" s="17"/>
      <c r="N702" s="7"/>
      <c r="O702" s="18"/>
    </row>
    <row r="703" spans="3:15" ht="14" x14ac:dyDescent="0.2">
      <c r="C703" s="1"/>
      <c r="D703" s="22"/>
      <c r="F703" s="24"/>
      <c r="G703" s="14"/>
      <c r="H703" s="15"/>
      <c r="I703" s="13"/>
      <c r="K703" s="3"/>
      <c r="L703" s="17"/>
      <c r="N703" s="7"/>
      <c r="O703" s="18"/>
    </row>
    <row r="704" spans="3:15" ht="14" x14ac:dyDescent="0.2">
      <c r="C704" s="1"/>
      <c r="D704" s="22"/>
      <c r="F704" s="24"/>
      <c r="G704" s="14"/>
      <c r="H704" s="15"/>
      <c r="I704" s="13"/>
      <c r="K704" s="3"/>
      <c r="L704" s="17"/>
      <c r="N704" s="7"/>
      <c r="O704" s="18"/>
    </row>
    <row r="705" spans="3:15" ht="14" x14ac:dyDescent="0.2">
      <c r="C705" s="1"/>
      <c r="D705" s="22"/>
      <c r="F705" s="24"/>
      <c r="G705" s="14"/>
      <c r="H705" s="15"/>
      <c r="I705" s="13"/>
      <c r="K705" s="3"/>
      <c r="L705" s="17"/>
      <c r="N705" s="7"/>
      <c r="O705" s="18"/>
    </row>
    <row r="706" spans="3:15" ht="14" x14ac:dyDescent="0.2">
      <c r="C706" s="1"/>
      <c r="D706" s="22"/>
      <c r="F706" s="24"/>
      <c r="G706" s="14"/>
      <c r="H706" s="15"/>
      <c r="I706" s="13"/>
      <c r="K706" s="3"/>
      <c r="L706" s="17"/>
      <c r="N706" s="7"/>
      <c r="O706" s="18"/>
    </row>
    <row r="707" spans="3:15" ht="14" x14ac:dyDescent="0.2">
      <c r="C707" s="1"/>
      <c r="D707" s="22"/>
      <c r="F707" s="24"/>
      <c r="G707" s="14"/>
      <c r="H707" s="15"/>
      <c r="I707" s="13"/>
      <c r="K707" s="3"/>
      <c r="L707" s="17"/>
      <c r="N707" s="7"/>
      <c r="O707" s="18"/>
    </row>
    <row r="708" spans="3:15" ht="14" x14ac:dyDescent="0.2">
      <c r="C708" s="1"/>
      <c r="D708" s="22"/>
      <c r="F708" s="24"/>
      <c r="G708" s="14"/>
      <c r="H708" s="15"/>
      <c r="I708" s="13"/>
      <c r="K708" s="3"/>
      <c r="L708" s="17"/>
      <c r="N708" s="7"/>
      <c r="O708" s="18"/>
    </row>
    <row r="709" spans="3:15" ht="14" x14ac:dyDescent="0.2">
      <c r="C709" s="1"/>
      <c r="D709" s="22"/>
      <c r="F709" s="24"/>
      <c r="G709" s="14"/>
      <c r="H709" s="15"/>
      <c r="I709" s="13"/>
      <c r="K709" s="3"/>
      <c r="L709" s="17"/>
      <c r="N709" s="7"/>
      <c r="O709" s="18"/>
    </row>
    <row r="710" spans="3:15" ht="14" x14ac:dyDescent="0.2">
      <c r="C710" s="1"/>
      <c r="D710" s="22"/>
      <c r="F710" s="24"/>
      <c r="G710" s="14"/>
      <c r="H710" s="15"/>
      <c r="I710" s="13"/>
      <c r="K710" s="3"/>
      <c r="L710" s="17"/>
      <c r="N710" s="7"/>
      <c r="O710" s="18"/>
    </row>
    <row r="711" spans="3:15" ht="14" x14ac:dyDescent="0.2">
      <c r="C711" s="1"/>
      <c r="D711" s="22"/>
      <c r="F711" s="24"/>
      <c r="G711" s="14"/>
      <c r="H711" s="15"/>
      <c r="I711" s="13"/>
      <c r="K711" s="3"/>
      <c r="L711" s="17"/>
      <c r="N711" s="7"/>
      <c r="O711" s="18"/>
    </row>
    <row r="712" spans="3:15" ht="14" x14ac:dyDescent="0.2">
      <c r="C712" s="1"/>
      <c r="D712" s="22"/>
      <c r="F712" s="24"/>
      <c r="G712" s="14"/>
      <c r="H712" s="15"/>
      <c r="I712" s="13"/>
      <c r="K712" s="3"/>
      <c r="L712" s="17"/>
      <c r="N712" s="7"/>
      <c r="O712" s="18"/>
    </row>
    <row r="713" spans="3:15" ht="14" x14ac:dyDescent="0.2">
      <c r="C713" s="1"/>
      <c r="D713" s="22"/>
      <c r="F713" s="24"/>
      <c r="G713" s="14"/>
      <c r="H713" s="15"/>
      <c r="I713" s="13"/>
      <c r="K713" s="3"/>
      <c r="L713" s="17"/>
      <c r="N713" s="7"/>
      <c r="O713" s="18"/>
    </row>
    <row r="714" spans="3:15" ht="14" x14ac:dyDescent="0.2">
      <c r="C714" s="1"/>
      <c r="D714" s="22"/>
      <c r="F714" s="24"/>
      <c r="G714" s="14"/>
      <c r="H714" s="15"/>
      <c r="I714" s="13"/>
      <c r="K714" s="3"/>
      <c r="L714" s="17"/>
      <c r="N714" s="7"/>
      <c r="O714" s="18"/>
    </row>
    <row r="715" spans="3:15" ht="14" x14ac:dyDescent="0.2">
      <c r="C715" s="1"/>
      <c r="D715" s="22"/>
      <c r="F715" s="24"/>
      <c r="G715" s="14"/>
      <c r="H715" s="15"/>
      <c r="I715" s="13"/>
      <c r="K715" s="3"/>
      <c r="L715" s="17"/>
      <c r="N715" s="7"/>
      <c r="O715" s="18"/>
    </row>
    <row r="716" spans="3:15" ht="14" x14ac:dyDescent="0.2">
      <c r="C716" s="1"/>
      <c r="D716" s="22"/>
      <c r="F716" s="24"/>
      <c r="G716" s="14"/>
      <c r="H716" s="15"/>
      <c r="I716" s="13"/>
      <c r="K716" s="3"/>
      <c r="L716" s="17"/>
      <c r="N716" s="7"/>
      <c r="O716" s="18"/>
    </row>
    <row r="717" spans="3:15" ht="14" x14ac:dyDescent="0.2">
      <c r="C717" s="1"/>
      <c r="D717" s="22"/>
      <c r="F717" s="24"/>
      <c r="G717" s="14"/>
      <c r="H717" s="15"/>
      <c r="I717" s="13"/>
      <c r="K717" s="3"/>
      <c r="L717" s="17"/>
      <c r="N717" s="7"/>
      <c r="O717" s="18"/>
    </row>
    <row r="718" spans="3:15" ht="14" x14ac:dyDescent="0.2">
      <c r="C718" s="1"/>
      <c r="D718" s="22"/>
      <c r="F718" s="24"/>
      <c r="G718" s="14"/>
      <c r="H718" s="15"/>
      <c r="I718" s="13"/>
      <c r="K718" s="3"/>
      <c r="L718" s="17"/>
      <c r="N718" s="7"/>
      <c r="O718" s="18"/>
    </row>
    <row r="719" spans="3:15" ht="14" x14ac:dyDescent="0.2">
      <c r="C719" s="1"/>
      <c r="D719" s="22"/>
      <c r="F719" s="24"/>
      <c r="G719" s="14"/>
      <c r="H719" s="15"/>
      <c r="I719" s="13"/>
      <c r="K719" s="3"/>
      <c r="L719" s="17"/>
      <c r="N719" s="7"/>
      <c r="O719" s="18"/>
    </row>
    <row r="720" spans="3:15" ht="14" x14ac:dyDescent="0.2">
      <c r="C720" s="1"/>
      <c r="D720" s="22"/>
      <c r="F720" s="24"/>
      <c r="G720" s="14"/>
      <c r="H720" s="15"/>
      <c r="I720" s="13"/>
      <c r="K720" s="3"/>
      <c r="L720" s="17"/>
      <c r="N720" s="7"/>
      <c r="O720" s="18"/>
    </row>
    <row r="721" spans="3:15" ht="14" x14ac:dyDescent="0.2">
      <c r="C721" s="1"/>
      <c r="D721" s="22"/>
      <c r="F721" s="24"/>
      <c r="G721" s="14"/>
      <c r="H721" s="15"/>
      <c r="I721" s="13"/>
      <c r="K721" s="3"/>
      <c r="L721" s="17"/>
      <c r="N721" s="7"/>
      <c r="O721" s="18"/>
    </row>
    <row r="722" spans="3:15" ht="14" x14ac:dyDescent="0.2">
      <c r="C722" s="1"/>
      <c r="D722" s="22"/>
      <c r="F722" s="24"/>
      <c r="G722" s="14"/>
      <c r="H722" s="15"/>
      <c r="I722" s="13"/>
      <c r="K722" s="3"/>
      <c r="L722" s="17"/>
      <c r="N722" s="7"/>
      <c r="O722" s="18"/>
    </row>
    <row r="723" spans="3:15" ht="14" x14ac:dyDescent="0.2">
      <c r="C723" s="1"/>
      <c r="D723" s="22"/>
      <c r="F723" s="24"/>
      <c r="G723" s="14"/>
      <c r="H723" s="15"/>
      <c r="I723" s="13"/>
      <c r="K723" s="3"/>
      <c r="L723" s="17"/>
      <c r="N723" s="7"/>
      <c r="O723" s="18"/>
    </row>
    <row r="724" spans="3:15" ht="14" x14ac:dyDescent="0.2">
      <c r="C724" s="1"/>
      <c r="D724" s="22"/>
      <c r="F724" s="24"/>
      <c r="G724" s="14"/>
      <c r="H724" s="15"/>
      <c r="I724" s="13"/>
      <c r="K724" s="3"/>
      <c r="L724" s="17"/>
      <c r="N724" s="7"/>
      <c r="O724" s="18"/>
    </row>
    <row r="725" spans="3:15" ht="14" x14ac:dyDescent="0.2">
      <c r="C725" s="1"/>
      <c r="D725" s="22"/>
      <c r="F725" s="24"/>
      <c r="G725" s="14"/>
      <c r="H725" s="15"/>
      <c r="I725" s="13"/>
      <c r="K725" s="3"/>
      <c r="L725" s="17"/>
      <c r="N725" s="7"/>
      <c r="O725" s="18"/>
    </row>
    <row r="726" spans="3:15" ht="14" x14ac:dyDescent="0.2">
      <c r="C726" s="1"/>
      <c r="D726" s="22"/>
      <c r="F726" s="24"/>
      <c r="G726" s="14"/>
      <c r="H726" s="15"/>
      <c r="I726" s="13"/>
      <c r="K726" s="3"/>
      <c r="L726" s="17"/>
      <c r="N726" s="7"/>
      <c r="O726" s="18"/>
    </row>
    <row r="727" spans="3:15" ht="14" x14ac:dyDescent="0.2">
      <c r="C727" s="1"/>
      <c r="D727" s="22"/>
      <c r="F727" s="24"/>
      <c r="G727" s="14"/>
      <c r="H727" s="15"/>
      <c r="I727" s="13"/>
      <c r="K727" s="3"/>
      <c r="L727" s="17"/>
      <c r="N727" s="7"/>
      <c r="O727" s="18"/>
    </row>
    <row r="728" spans="3:15" ht="14" x14ac:dyDescent="0.2">
      <c r="C728" s="1"/>
      <c r="D728" s="22"/>
      <c r="F728" s="24"/>
      <c r="G728" s="14"/>
      <c r="H728" s="15"/>
      <c r="I728" s="13"/>
      <c r="K728" s="3"/>
      <c r="L728" s="17"/>
      <c r="N728" s="7"/>
      <c r="O728" s="18"/>
    </row>
    <row r="729" spans="3:15" ht="14" x14ac:dyDescent="0.2">
      <c r="C729" s="1"/>
      <c r="D729" s="22"/>
      <c r="F729" s="24"/>
      <c r="G729" s="14"/>
      <c r="H729" s="15"/>
      <c r="I729" s="13"/>
      <c r="K729" s="3"/>
      <c r="L729" s="17"/>
      <c r="N729" s="7"/>
      <c r="O729" s="18"/>
    </row>
    <row r="730" spans="3:15" ht="14" x14ac:dyDescent="0.2">
      <c r="C730" s="1"/>
      <c r="D730" s="22"/>
      <c r="F730" s="24"/>
      <c r="G730" s="14"/>
      <c r="H730" s="15"/>
      <c r="I730" s="13"/>
      <c r="K730" s="3"/>
      <c r="L730" s="17"/>
      <c r="N730" s="7"/>
      <c r="O730" s="18"/>
    </row>
    <row r="731" spans="3:15" ht="14" x14ac:dyDescent="0.2">
      <c r="C731" s="1"/>
      <c r="D731" s="22"/>
      <c r="F731" s="24"/>
      <c r="G731" s="14"/>
      <c r="H731" s="15"/>
      <c r="I731" s="13"/>
      <c r="K731" s="3"/>
      <c r="L731" s="17"/>
      <c r="N731" s="7"/>
      <c r="O731" s="18"/>
    </row>
    <row r="732" spans="3:15" ht="14" x14ac:dyDescent="0.2">
      <c r="C732" s="1"/>
      <c r="D732" s="22"/>
      <c r="F732" s="24"/>
      <c r="G732" s="14"/>
      <c r="H732" s="15"/>
      <c r="I732" s="13"/>
      <c r="K732" s="3"/>
      <c r="L732" s="17"/>
      <c r="N732" s="7"/>
      <c r="O732" s="18"/>
    </row>
    <row r="733" spans="3:15" ht="14" x14ac:dyDescent="0.2">
      <c r="C733" s="1"/>
      <c r="D733" s="22"/>
      <c r="F733" s="24"/>
      <c r="G733" s="14"/>
      <c r="H733" s="15"/>
      <c r="I733" s="13"/>
      <c r="K733" s="3"/>
      <c r="L733" s="17"/>
      <c r="N733" s="7"/>
      <c r="O733" s="18"/>
    </row>
    <row r="734" spans="3:15" ht="14" x14ac:dyDescent="0.2">
      <c r="C734" s="1"/>
      <c r="D734" s="22"/>
      <c r="F734" s="24"/>
      <c r="G734" s="14"/>
      <c r="H734" s="15"/>
      <c r="I734" s="13"/>
      <c r="K734" s="3"/>
      <c r="L734" s="17"/>
      <c r="N734" s="7"/>
      <c r="O734" s="18"/>
    </row>
    <row r="735" spans="3:15" ht="14" x14ac:dyDescent="0.2">
      <c r="C735" s="1"/>
      <c r="D735" s="22"/>
      <c r="F735" s="24"/>
      <c r="G735" s="14"/>
      <c r="H735" s="15"/>
      <c r="I735" s="13"/>
      <c r="K735" s="3"/>
      <c r="L735" s="17"/>
      <c r="N735" s="7"/>
      <c r="O735" s="18"/>
    </row>
    <row r="736" spans="3:15" ht="14" x14ac:dyDescent="0.2">
      <c r="C736" s="1"/>
      <c r="D736" s="22"/>
      <c r="F736" s="24"/>
      <c r="G736" s="14"/>
      <c r="H736" s="15"/>
      <c r="I736" s="13"/>
      <c r="K736" s="3"/>
      <c r="L736" s="17"/>
      <c r="N736" s="7"/>
      <c r="O736" s="18"/>
    </row>
    <row r="737" spans="3:15" ht="14" x14ac:dyDescent="0.2">
      <c r="C737" s="1"/>
      <c r="D737" s="22"/>
      <c r="F737" s="24"/>
      <c r="G737" s="14"/>
      <c r="H737" s="15"/>
      <c r="I737" s="13"/>
      <c r="K737" s="3"/>
      <c r="L737" s="17"/>
      <c r="N737" s="7"/>
      <c r="O737" s="18"/>
    </row>
    <row r="738" spans="3:15" ht="14" x14ac:dyDescent="0.2">
      <c r="C738" s="1"/>
      <c r="D738" s="22"/>
      <c r="F738" s="24"/>
      <c r="G738" s="14"/>
      <c r="H738" s="15"/>
      <c r="I738" s="13"/>
      <c r="K738" s="3"/>
      <c r="L738" s="17"/>
      <c r="N738" s="7"/>
      <c r="O738" s="18"/>
    </row>
    <row r="739" spans="3:15" ht="14" x14ac:dyDescent="0.2">
      <c r="C739" s="1"/>
      <c r="D739" s="22"/>
      <c r="F739" s="24"/>
      <c r="G739" s="14"/>
      <c r="H739" s="15"/>
      <c r="I739" s="13"/>
      <c r="K739" s="3"/>
      <c r="L739" s="17"/>
      <c r="N739" s="7"/>
      <c r="O739" s="18"/>
    </row>
    <row r="740" spans="3:15" ht="14" x14ac:dyDescent="0.2">
      <c r="C740" s="1"/>
      <c r="D740" s="22"/>
      <c r="F740" s="24"/>
      <c r="G740" s="14"/>
      <c r="H740" s="15"/>
      <c r="I740" s="13"/>
      <c r="K740" s="3"/>
      <c r="L740" s="17"/>
      <c r="N740" s="7"/>
      <c r="O740" s="18"/>
    </row>
    <row r="741" spans="3:15" ht="14" x14ac:dyDescent="0.2">
      <c r="C741" s="1"/>
      <c r="D741" s="22"/>
      <c r="F741" s="24"/>
      <c r="G741" s="14"/>
      <c r="H741" s="15"/>
      <c r="I741" s="13"/>
      <c r="K741" s="3"/>
      <c r="L741" s="17"/>
      <c r="N741" s="7"/>
      <c r="O741" s="18"/>
    </row>
    <row r="742" spans="3:15" ht="14" x14ac:dyDescent="0.2">
      <c r="C742" s="1"/>
      <c r="D742" s="22"/>
      <c r="F742" s="24"/>
      <c r="G742" s="14"/>
      <c r="H742" s="15"/>
      <c r="I742" s="13"/>
      <c r="K742" s="3"/>
      <c r="L742" s="17"/>
      <c r="N742" s="7"/>
      <c r="O742" s="18"/>
    </row>
    <row r="743" spans="3:15" ht="14" x14ac:dyDescent="0.2">
      <c r="C743" s="1"/>
      <c r="D743" s="22"/>
      <c r="F743" s="24"/>
      <c r="G743" s="14"/>
      <c r="H743" s="15"/>
      <c r="I743" s="13"/>
      <c r="K743" s="3"/>
      <c r="L743" s="17"/>
      <c r="N743" s="7"/>
      <c r="O743" s="18"/>
    </row>
    <row r="744" spans="3:15" ht="14" x14ac:dyDescent="0.2">
      <c r="C744" s="1"/>
      <c r="D744" s="22"/>
      <c r="F744" s="24"/>
      <c r="G744" s="14"/>
      <c r="H744" s="15"/>
      <c r="I744" s="13"/>
      <c r="K744" s="3"/>
      <c r="L744" s="17"/>
      <c r="N744" s="7"/>
      <c r="O744" s="18"/>
    </row>
    <row r="745" spans="3:15" ht="14" x14ac:dyDescent="0.2">
      <c r="C745" s="1"/>
      <c r="D745" s="22"/>
      <c r="F745" s="24"/>
      <c r="G745" s="14"/>
      <c r="H745" s="15"/>
      <c r="I745" s="13"/>
      <c r="K745" s="3"/>
      <c r="L745" s="17"/>
      <c r="N745" s="7"/>
      <c r="O745" s="18"/>
    </row>
    <row r="746" spans="3:15" ht="14" x14ac:dyDescent="0.2">
      <c r="C746" s="1"/>
      <c r="D746" s="22"/>
      <c r="F746" s="24"/>
      <c r="G746" s="14"/>
      <c r="H746" s="15"/>
      <c r="I746" s="13"/>
      <c r="K746" s="3"/>
      <c r="L746" s="17"/>
      <c r="N746" s="7"/>
      <c r="O746" s="18"/>
    </row>
    <row r="747" spans="3:15" ht="14" x14ac:dyDescent="0.2">
      <c r="C747" s="1"/>
      <c r="D747" s="22"/>
      <c r="F747" s="24"/>
      <c r="G747" s="14"/>
      <c r="H747" s="15"/>
      <c r="I747" s="13"/>
      <c r="K747" s="3"/>
      <c r="L747" s="17"/>
      <c r="N747" s="7"/>
      <c r="O747" s="18"/>
    </row>
    <row r="748" spans="3:15" ht="14" x14ac:dyDescent="0.2">
      <c r="C748" s="1"/>
      <c r="D748" s="22"/>
      <c r="F748" s="24"/>
      <c r="G748" s="14"/>
      <c r="H748" s="15"/>
      <c r="I748" s="13"/>
      <c r="K748" s="3"/>
      <c r="L748" s="17"/>
      <c r="N748" s="7"/>
      <c r="O748" s="18"/>
    </row>
    <row r="749" spans="3:15" ht="14" x14ac:dyDescent="0.2">
      <c r="C749" s="1"/>
      <c r="D749" s="22"/>
      <c r="F749" s="24"/>
      <c r="G749" s="14"/>
      <c r="H749" s="15"/>
      <c r="I749" s="13"/>
      <c r="K749" s="3"/>
      <c r="L749" s="17"/>
      <c r="N749" s="7"/>
      <c r="O749" s="18"/>
    </row>
    <row r="750" spans="3:15" ht="14" x14ac:dyDescent="0.2">
      <c r="C750" s="1"/>
      <c r="D750" s="22"/>
      <c r="F750" s="24"/>
      <c r="G750" s="14"/>
      <c r="H750" s="15"/>
      <c r="I750" s="13"/>
      <c r="K750" s="3"/>
      <c r="L750" s="17"/>
      <c r="N750" s="7"/>
      <c r="O750" s="18"/>
    </row>
    <row r="751" spans="3:15" ht="14" x14ac:dyDescent="0.2">
      <c r="C751" s="1"/>
      <c r="D751" s="22"/>
      <c r="F751" s="24"/>
      <c r="G751" s="14"/>
      <c r="H751" s="15"/>
      <c r="I751" s="13"/>
      <c r="K751" s="3"/>
      <c r="L751" s="17"/>
      <c r="N751" s="7"/>
      <c r="O751" s="18"/>
    </row>
    <row r="752" spans="3:15" ht="14" x14ac:dyDescent="0.2">
      <c r="C752" s="1"/>
      <c r="D752" s="22"/>
      <c r="F752" s="24"/>
      <c r="G752" s="14"/>
      <c r="H752" s="15"/>
      <c r="I752" s="13"/>
      <c r="K752" s="3"/>
      <c r="L752" s="17"/>
      <c r="N752" s="7"/>
      <c r="O752" s="18"/>
    </row>
    <row r="753" spans="3:15" ht="14" x14ac:dyDescent="0.2">
      <c r="C753" s="1"/>
      <c r="D753" s="22"/>
      <c r="F753" s="24"/>
      <c r="G753" s="14"/>
      <c r="H753" s="15"/>
      <c r="I753" s="13"/>
      <c r="K753" s="3"/>
      <c r="L753" s="17"/>
      <c r="N753" s="7"/>
      <c r="O753" s="18"/>
    </row>
    <row r="754" spans="3:15" ht="14" x14ac:dyDescent="0.2">
      <c r="C754" s="1"/>
      <c r="D754" s="22"/>
      <c r="F754" s="24"/>
      <c r="G754" s="14"/>
      <c r="H754" s="15"/>
      <c r="I754" s="13"/>
      <c r="K754" s="3"/>
      <c r="L754" s="17"/>
      <c r="N754" s="7"/>
      <c r="O754" s="18"/>
    </row>
    <row r="755" spans="3:15" ht="14" x14ac:dyDescent="0.2">
      <c r="C755" s="1"/>
      <c r="D755" s="22"/>
      <c r="F755" s="24"/>
      <c r="G755" s="14"/>
      <c r="H755" s="15"/>
      <c r="I755" s="13"/>
      <c r="K755" s="3"/>
      <c r="L755" s="17"/>
      <c r="N755" s="7"/>
      <c r="O755" s="18"/>
    </row>
    <row r="756" spans="3:15" ht="14" x14ac:dyDescent="0.2">
      <c r="C756" s="1"/>
      <c r="D756" s="22"/>
      <c r="F756" s="24"/>
      <c r="G756" s="14"/>
      <c r="H756" s="15"/>
      <c r="I756" s="13"/>
      <c r="K756" s="3"/>
      <c r="L756" s="17"/>
      <c r="N756" s="7"/>
      <c r="O756" s="18"/>
    </row>
    <row r="757" spans="3:15" ht="14" x14ac:dyDescent="0.2">
      <c r="C757" s="1"/>
      <c r="D757" s="22"/>
      <c r="F757" s="24"/>
      <c r="G757" s="14"/>
      <c r="H757" s="15"/>
      <c r="I757" s="13"/>
      <c r="K757" s="3"/>
      <c r="L757" s="17"/>
      <c r="N757" s="7"/>
      <c r="O757" s="18"/>
    </row>
    <row r="758" spans="3:15" ht="14" x14ac:dyDescent="0.2">
      <c r="C758" s="1"/>
      <c r="D758" s="22"/>
      <c r="F758" s="24"/>
      <c r="G758" s="14"/>
      <c r="H758" s="15"/>
      <c r="I758" s="13"/>
      <c r="K758" s="3"/>
      <c r="L758" s="17"/>
      <c r="N758" s="7"/>
      <c r="O758" s="18"/>
    </row>
    <row r="759" spans="3:15" ht="14" x14ac:dyDescent="0.2">
      <c r="C759" s="1"/>
      <c r="D759" s="22"/>
      <c r="F759" s="24"/>
      <c r="G759" s="14"/>
      <c r="H759" s="15"/>
      <c r="I759" s="13"/>
      <c r="K759" s="3"/>
      <c r="L759" s="17"/>
      <c r="N759" s="7"/>
      <c r="O759" s="18"/>
    </row>
    <row r="760" spans="3:15" ht="14" x14ac:dyDescent="0.2">
      <c r="C760" s="1"/>
      <c r="D760" s="22"/>
      <c r="F760" s="24"/>
      <c r="G760" s="14"/>
      <c r="H760" s="15"/>
      <c r="I760" s="13"/>
      <c r="K760" s="3"/>
      <c r="L760" s="17"/>
      <c r="N760" s="7"/>
      <c r="O760" s="18"/>
    </row>
    <row r="761" spans="3:15" ht="14" x14ac:dyDescent="0.2">
      <c r="C761" s="1"/>
      <c r="D761" s="22"/>
      <c r="F761" s="24"/>
      <c r="G761" s="14"/>
      <c r="H761" s="15"/>
      <c r="I761" s="13"/>
      <c r="K761" s="3"/>
      <c r="L761" s="17"/>
      <c r="N761" s="7"/>
      <c r="O761" s="18"/>
    </row>
    <row r="762" spans="3:15" ht="14" x14ac:dyDescent="0.2">
      <c r="C762" s="1"/>
      <c r="D762" s="22"/>
      <c r="F762" s="24"/>
      <c r="G762" s="14"/>
      <c r="H762" s="15"/>
      <c r="I762" s="13"/>
      <c r="K762" s="3"/>
      <c r="L762" s="17"/>
      <c r="N762" s="7"/>
      <c r="O762" s="18"/>
    </row>
    <row r="763" spans="3:15" ht="14" x14ac:dyDescent="0.2">
      <c r="C763" s="1"/>
      <c r="D763" s="22"/>
      <c r="F763" s="24"/>
      <c r="G763" s="14"/>
      <c r="H763" s="15"/>
      <c r="I763" s="13"/>
      <c r="K763" s="3"/>
      <c r="L763" s="17"/>
      <c r="N763" s="7"/>
      <c r="O763" s="18"/>
    </row>
    <row r="764" spans="3:15" ht="14" x14ac:dyDescent="0.2">
      <c r="C764" s="1"/>
      <c r="D764" s="22"/>
      <c r="F764" s="24"/>
      <c r="G764" s="14"/>
      <c r="H764" s="15"/>
      <c r="I764" s="13"/>
      <c r="K764" s="3"/>
      <c r="L764" s="17"/>
      <c r="N764" s="7"/>
      <c r="O764" s="18"/>
    </row>
    <row r="765" spans="3:15" ht="14" x14ac:dyDescent="0.2">
      <c r="C765" s="1"/>
      <c r="D765" s="22"/>
      <c r="F765" s="24"/>
      <c r="G765" s="14"/>
      <c r="H765" s="15"/>
      <c r="I765" s="13"/>
      <c r="K765" s="3"/>
      <c r="L765" s="17"/>
      <c r="N765" s="7"/>
      <c r="O765" s="18"/>
    </row>
    <row r="766" spans="3:15" ht="14" x14ac:dyDescent="0.2">
      <c r="C766" s="1"/>
      <c r="D766" s="22"/>
      <c r="F766" s="24"/>
      <c r="G766" s="14"/>
      <c r="H766" s="15"/>
      <c r="I766" s="13"/>
      <c r="K766" s="3"/>
      <c r="L766" s="17"/>
      <c r="N766" s="7"/>
      <c r="O766" s="18"/>
    </row>
    <row r="767" spans="3:15" ht="14" x14ac:dyDescent="0.2">
      <c r="C767" s="1"/>
      <c r="D767" s="22"/>
      <c r="F767" s="24"/>
      <c r="G767" s="14"/>
      <c r="H767" s="15"/>
      <c r="I767" s="13"/>
      <c r="K767" s="3"/>
      <c r="L767" s="17"/>
      <c r="N767" s="7"/>
      <c r="O767" s="18"/>
    </row>
    <row r="768" spans="3:15" ht="14" x14ac:dyDescent="0.2">
      <c r="C768" s="1"/>
      <c r="D768" s="22"/>
      <c r="F768" s="24"/>
      <c r="G768" s="14"/>
      <c r="H768" s="15"/>
      <c r="I768" s="13"/>
      <c r="K768" s="3"/>
      <c r="L768" s="17"/>
      <c r="N768" s="7"/>
      <c r="O768" s="18"/>
    </row>
    <row r="769" spans="3:15" ht="14" x14ac:dyDescent="0.2">
      <c r="C769" s="1"/>
      <c r="D769" s="22"/>
      <c r="F769" s="24"/>
      <c r="G769" s="14"/>
      <c r="H769" s="15"/>
      <c r="I769" s="13"/>
      <c r="K769" s="3"/>
      <c r="L769" s="17"/>
      <c r="N769" s="7"/>
      <c r="O769" s="18"/>
    </row>
    <row r="770" spans="3:15" ht="14" x14ac:dyDescent="0.2">
      <c r="C770" s="1"/>
      <c r="D770" s="22"/>
      <c r="F770" s="24"/>
      <c r="G770" s="14"/>
      <c r="H770" s="15"/>
      <c r="I770" s="13"/>
      <c r="K770" s="3"/>
      <c r="L770" s="17"/>
      <c r="N770" s="7"/>
      <c r="O770" s="18"/>
    </row>
    <row r="771" spans="3:15" ht="14" x14ac:dyDescent="0.2">
      <c r="C771" s="1"/>
      <c r="D771" s="22"/>
      <c r="F771" s="24"/>
      <c r="G771" s="14"/>
      <c r="H771" s="15"/>
      <c r="I771" s="13"/>
      <c r="K771" s="3"/>
      <c r="L771" s="17"/>
      <c r="N771" s="7"/>
      <c r="O771" s="18"/>
    </row>
    <row r="772" spans="3:15" ht="14" x14ac:dyDescent="0.2">
      <c r="C772" s="1"/>
      <c r="D772" s="22"/>
      <c r="F772" s="24"/>
      <c r="G772" s="14"/>
      <c r="H772" s="15"/>
      <c r="I772" s="13"/>
      <c r="K772" s="3"/>
      <c r="L772" s="17"/>
      <c r="N772" s="7"/>
      <c r="O772" s="18"/>
    </row>
    <row r="773" spans="3:15" ht="14" x14ac:dyDescent="0.2">
      <c r="C773" s="1"/>
      <c r="D773" s="22"/>
      <c r="F773" s="24"/>
      <c r="G773" s="14"/>
      <c r="H773" s="15"/>
      <c r="I773" s="13"/>
      <c r="K773" s="3"/>
      <c r="L773" s="17"/>
      <c r="N773" s="7"/>
      <c r="O773" s="18"/>
    </row>
    <row r="774" spans="3:15" ht="14" x14ac:dyDescent="0.2">
      <c r="C774" s="1"/>
      <c r="D774" s="22"/>
      <c r="F774" s="24"/>
      <c r="G774" s="14"/>
      <c r="H774" s="15"/>
      <c r="I774" s="13"/>
      <c r="K774" s="3"/>
      <c r="L774" s="17"/>
      <c r="N774" s="7"/>
      <c r="O774" s="18"/>
    </row>
    <row r="775" spans="3:15" ht="14" x14ac:dyDescent="0.2">
      <c r="C775" s="1"/>
      <c r="D775" s="22"/>
      <c r="F775" s="24"/>
      <c r="G775" s="14"/>
      <c r="H775" s="15"/>
      <c r="I775" s="13"/>
      <c r="K775" s="3"/>
      <c r="L775" s="17"/>
      <c r="N775" s="7"/>
      <c r="O775" s="18"/>
    </row>
    <row r="776" spans="3:15" ht="14" x14ac:dyDescent="0.2">
      <c r="C776" s="1"/>
      <c r="D776" s="22"/>
      <c r="F776" s="24"/>
      <c r="G776" s="14"/>
      <c r="H776" s="15"/>
      <c r="I776" s="13"/>
      <c r="K776" s="3"/>
      <c r="L776" s="17"/>
      <c r="N776" s="7"/>
      <c r="O776" s="18"/>
    </row>
    <row r="777" spans="3:15" ht="14" x14ac:dyDescent="0.2">
      <c r="C777" s="1"/>
      <c r="D777" s="22"/>
      <c r="F777" s="24"/>
      <c r="G777" s="14"/>
      <c r="H777" s="15"/>
      <c r="I777" s="13"/>
      <c r="K777" s="3"/>
      <c r="L777" s="17"/>
      <c r="N777" s="7"/>
      <c r="O777" s="18"/>
    </row>
    <row r="778" spans="3:15" ht="14" x14ac:dyDescent="0.2">
      <c r="C778" s="1"/>
      <c r="D778" s="22"/>
      <c r="F778" s="24"/>
      <c r="G778" s="14"/>
      <c r="H778" s="15"/>
      <c r="I778" s="13"/>
      <c r="K778" s="3"/>
      <c r="L778" s="17"/>
      <c r="N778" s="7"/>
      <c r="O778" s="18"/>
    </row>
    <row r="779" spans="3:15" ht="14" x14ac:dyDescent="0.2">
      <c r="C779" s="1"/>
      <c r="D779" s="22"/>
      <c r="F779" s="24"/>
      <c r="G779" s="14"/>
      <c r="H779" s="15"/>
      <c r="I779" s="13"/>
      <c r="K779" s="3"/>
      <c r="L779" s="17"/>
      <c r="N779" s="7"/>
      <c r="O779" s="18"/>
    </row>
    <row r="780" spans="3:15" ht="14" x14ac:dyDescent="0.2">
      <c r="C780" s="1"/>
      <c r="D780" s="22"/>
      <c r="F780" s="24"/>
      <c r="G780" s="14"/>
      <c r="H780" s="15"/>
      <c r="I780" s="13"/>
      <c r="K780" s="3"/>
      <c r="L780" s="17"/>
      <c r="N780" s="7"/>
      <c r="O780" s="18"/>
    </row>
    <row r="781" spans="3:15" ht="14" x14ac:dyDescent="0.2">
      <c r="C781" s="1"/>
      <c r="D781" s="22"/>
      <c r="F781" s="24"/>
      <c r="G781" s="14"/>
      <c r="H781" s="15"/>
      <c r="I781" s="13"/>
      <c r="K781" s="3"/>
      <c r="L781" s="17"/>
      <c r="N781" s="7"/>
      <c r="O781" s="18"/>
    </row>
    <row r="782" spans="3:15" ht="14" x14ac:dyDescent="0.2">
      <c r="C782" s="1"/>
      <c r="D782" s="22"/>
      <c r="F782" s="24"/>
      <c r="G782" s="14"/>
      <c r="H782" s="15"/>
      <c r="I782" s="13"/>
      <c r="K782" s="3"/>
      <c r="L782" s="17"/>
      <c r="N782" s="7"/>
      <c r="O782" s="18"/>
    </row>
    <row r="783" spans="3:15" ht="14" x14ac:dyDescent="0.2">
      <c r="C783" s="1"/>
      <c r="D783" s="22"/>
      <c r="F783" s="24"/>
      <c r="G783" s="14"/>
      <c r="H783" s="15"/>
      <c r="I783" s="13"/>
      <c r="K783" s="3"/>
      <c r="L783" s="17"/>
      <c r="N783" s="7"/>
      <c r="O783" s="18"/>
    </row>
    <row r="784" spans="3:15" ht="14" x14ac:dyDescent="0.2">
      <c r="C784" s="1"/>
      <c r="D784" s="22"/>
      <c r="F784" s="24"/>
      <c r="G784" s="14"/>
      <c r="H784" s="15"/>
      <c r="I784" s="13"/>
      <c r="K784" s="3"/>
      <c r="L784" s="17"/>
      <c r="N784" s="7"/>
      <c r="O784" s="18"/>
    </row>
    <row r="785" spans="3:15" ht="14" x14ac:dyDescent="0.2">
      <c r="C785" s="1"/>
      <c r="D785" s="22"/>
      <c r="F785" s="24"/>
      <c r="G785" s="14"/>
      <c r="H785" s="15"/>
      <c r="I785" s="13"/>
      <c r="K785" s="3"/>
      <c r="L785" s="17"/>
      <c r="N785" s="7"/>
      <c r="O785" s="18"/>
    </row>
    <row r="786" spans="3:15" ht="14" x14ac:dyDescent="0.2">
      <c r="C786" s="1"/>
      <c r="D786" s="22"/>
      <c r="F786" s="24"/>
      <c r="G786" s="14"/>
      <c r="H786" s="15"/>
      <c r="I786" s="13"/>
      <c r="K786" s="3"/>
      <c r="L786" s="17"/>
      <c r="N786" s="7"/>
      <c r="O786" s="18"/>
    </row>
    <row r="787" spans="3:15" ht="14" x14ac:dyDescent="0.2">
      <c r="C787" s="1"/>
      <c r="D787" s="22"/>
      <c r="F787" s="24"/>
      <c r="G787" s="14"/>
      <c r="H787" s="15"/>
      <c r="I787" s="13"/>
      <c r="K787" s="3"/>
      <c r="L787" s="17"/>
      <c r="N787" s="7"/>
      <c r="O787" s="18"/>
    </row>
    <row r="788" spans="3:15" ht="14" x14ac:dyDescent="0.2">
      <c r="C788" s="1"/>
      <c r="D788" s="22"/>
      <c r="F788" s="24"/>
      <c r="G788" s="14"/>
      <c r="H788" s="15"/>
      <c r="I788" s="13"/>
      <c r="K788" s="3"/>
      <c r="L788" s="17"/>
      <c r="N788" s="7"/>
      <c r="O788" s="18"/>
    </row>
    <row r="789" spans="3:15" ht="14" x14ac:dyDescent="0.2">
      <c r="C789" s="1"/>
      <c r="D789" s="22"/>
      <c r="F789" s="24"/>
      <c r="G789" s="14"/>
      <c r="H789" s="15"/>
      <c r="I789" s="13"/>
      <c r="K789" s="3"/>
      <c r="L789" s="17"/>
      <c r="N789" s="7"/>
      <c r="O789" s="18"/>
    </row>
    <row r="790" spans="3:15" ht="14" x14ac:dyDescent="0.2">
      <c r="C790" s="1"/>
      <c r="D790" s="22"/>
      <c r="F790" s="24"/>
      <c r="G790" s="14"/>
      <c r="H790" s="15"/>
      <c r="I790" s="13"/>
      <c r="K790" s="3"/>
      <c r="L790" s="17"/>
      <c r="N790" s="7"/>
      <c r="O790" s="18"/>
    </row>
    <row r="791" spans="3:15" ht="14" x14ac:dyDescent="0.2">
      <c r="C791" s="1"/>
      <c r="D791" s="22"/>
      <c r="F791" s="24"/>
      <c r="G791" s="14"/>
      <c r="H791" s="15"/>
      <c r="I791" s="13"/>
      <c r="K791" s="3"/>
      <c r="L791" s="17"/>
      <c r="N791" s="7"/>
      <c r="O791" s="18"/>
    </row>
    <row r="792" spans="3:15" ht="14" x14ac:dyDescent="0.2">
      <c r="C792" s="1"/>
      <c r="D792" s="22"/>
      <c r="F792" s="24"/>
      <c r="G792" s="14"/>
      <c r="H792" s="15"/>
      <c r="I792" s="13"/>
      <c r="K792" s="3"/>
      <c r="L792" s="17"/>
      <c r="N792" s="7"/>
      <c r="O792" s="18"/>
    </row>
    <row r="793" spans="3:15" ht="14" x14ac:dyDescent="0.2">
      <c r="C793" s="1"/>
      <c r="D793" s="22"/>
      <c r="F793" s="24"/>
      <c r="G793" s="14"/>
      <c r="H793" s="15"/>
      <c r="I793" s="13"/>
      <c r="K793" s="3"/>
      <c r="L793" s="17"/>
      <c r="N793" s="7"/>
      <c r="O793" s="18"/>
    </row>
    <row r="794" spans="3:15" ht="14" x14ac:dyDescent="0.2">
      <c r="C794" s="1"/>
      <c r="D794" s="22"/>
      <c r="F794" s="24"/>
      <c r="G794" s="14"/>
      <c r="H794" s="15"/>
      <c r="I794" s="13"/>
      <c r="K794" s="3"/>
      <c r="L794" s="17"/>
      <c r="N794" s="7"/>
      <c r="O794" s="18"/>
    </row>
    <row r="795" spans="3:15" ht="14" x14ac:dyDescent="0.2">
      <c r="C795" s="1"/>
      <c r="D795" s="22"/>
      <c r="F795" s="24"/>
      <c r="G795" s="14"/>
      <c r="H795" s="15"/>
      <c r="I795" s="13"/>
      <c r="K795" s="3"/>
      <c r="L795" s="17"/>
      <c r="N795" s="7"/>
      <c r="O795" s="18"/>
    </row>
    <row r="796" spans="3:15" ht="14" x14ac:dyDescent="0.2">
      <c r="C796" s="1"/>
      <c r="D796" s="22"/>
      <c r="F796" s="24"/>
      <c r="G796" s="14"/>
      <c r="H796" s="15"/>
      <c r="I796" s="13"/>
      <c r="K796" s="3"/>
      <c r="L796" s="17"/>
      <c r="N796" s="7"/>
      <c r="O796" s="18"/>
    </row>
    <row r="797" spans="3:15" ht="14" x14ac:dyDescent="0.2">
      <c r="C797" s="1"/>
      <c r="D797" s="22"/>
      <c r="F797" s="24"/>
      <c r="G797" s="14"/>
      <c r="H797" s="15"/>
      <c r="I797" s="13"/>
      <c r="K797" s="3"/>
      <c r="L797" s="17"/>
      <c r="N797" s="7"/>
      <c r="O797" s="18"/>
    </row>
    <row r="798" spans="3:15" ht="14" x14ac:dyDescent="0.2">
      <c r="C798" s="1"/>
      <c r="D798" s="22"/>
      <c r="F798" s="24"/>
      <c r="G798" s="14"/>
      <c r="H798" s="15"/>
      <c r="I798" s="13"/>
      <c r="K798" s="3"/>
      <c r="L798" s="17"/>
      <c r="N798" s="7"/>
      <c r="O798" s="18"/>
    </row>
    <row r="799" spans="3:15" ht="14" x14ac:dyDescent="0.2">
      <c r="C799" s="1"/>
      <c r="D799" s="22"/>
      <c r="F799" s="24"/>
      <c r="G799" s="14"/>
      <c r="H799" s="15"/>
      <c r="I799" s="13"/>
      <c r="K799" s="3"/>
      <c r="L799" s="17"/>
      <c r="N799" s="7"/>
      <c r="O799" s="18"/>
    </row>
    <row r="800" spans="3:15" ht="14" x14ac:dyDescent="0.2">
      <c r="C800" s="1"/>
      <c r="D800" s="22"/>
      <c r="F800" s="24"/>
      <c r="G800" s="14"/>
      <c r="H800" s="15"/>
      <c r="I800" s="13"/>
      <c r="K800" s="3"/>
      <c r="L800" s="17"/>
      <c r="N800" s="7"/>
      <c r="O800" s="18"/>
    </row>
    <row r="801" spans="3:15" ht="14" x14ac:dyDescent="0.2">
      <c r="C801" s="1"/>
      <c r="D801" s="22"/>
      <c r="F801" s="24"/>
      <c r="G801" s="14"/>
      <c r="H801" s="15"/>
      <c r="I801" s="13"/>
      <c r="K801" s="3"/>
      <c r="L801" s="17"/>
      <c r="N801" s="7"/>
      <c r="O801" s="18"/>
    </row>
    <row r="802" spans="3:15" ht="14" x14ac:dyDescent="0.2">
      <c r="C802" s="1"/>
      <c r="D802" s="22"/>
      <c r="F802" s="24"/>
      <c r="G802" s="14"/>
      <c r="H802" s="15"/>
      <c r="I802" s="13"/>
      <c r="K802" s="3"/>
      <c r="L802" s="17"/>
      <c r="N802" s="7"/>
      <c r="O802" s="18"/>
    </row>
    <row r="803" spans="3:15" ht="14" x14ac:dyDescent="0.2">
      <c r="C803" s="1"/>
      <c r="D803" s="22"/>
      <c r="F803" s="24"/>
      <c r="G803" s="14"/>
      <c r="H803" s="15"/>
      <c r="I803" s="13"/>
      <c r="K803" s="3"/>
      <c r="L803" s="17"/>
      <c r="N803" s="7"/>
      <c r="O803" s="18"/>
    </row>
    <row r="804" spans="3:15" ht="14" x14ac:dyDescent="0.2">
      <c r="C804" s="1"/>
      <c r="D804" s="22"/>
      <c r="F804" s="24"/>
      <c r="G804" s="14"/>
      <c r="H804" s="15"/>
      <c r="I804" s="13"/>
      <c r="K804" s="3"/>
      <c r="L804" s="17"/>
      <c r="N804" s="7"/>
      <c r="O804" s="18"/>
    </row>
    <row r="805" spans="3:15" ht="14" x14ac:dyDescent="0.2">
      <c r="C805" s="1"/>
      <c r="D805" s="22"/>
      <c r="F805" s="24"/>
      <c r="G805" s="14"/>
      <c r="H805" s="15"/>
      <c r="I805" s="13"/>
      <c r="K805" s="3"/>
      <c r="L805" s="17"/>
      <c r="N805" s="7"/>
      <c r="O805" s="18"/>
    </row>
    <row r="806" spans="3:15" ht="14" x14ac:dyDescent="0.2">
      <c r="C806" s="1"/>
      <c r="D806" s="22"/>
      <c r="F806" s="24"/>
      <c r="G806" s="14"/>
      <c r="H806" s="15"/>
      <c r="I806" s="13"/>
      <c r="K806" s="3"/>
      <c r="L806" s="17"/>
      <c r="N806" s="7"/>
      <c r="O806" s="18"/>
    </row>
    <row r="807" spans="3:15" ht="14" x14ac:dyDescent="0.2">
      <c r="C807" s="1"/>
      <c r="D807" s="22"/>
      <c r="F807" s="24"/>
      <c r="G807" s="14"/>
      <c r="H807" s="15"/>
      <c r="I807" s="13"/>
      <c r="K807" s="3"/>
      <c r="L807" s="17"/>
      <c r="N807" s="7"/>
      <c r="O807" s="18"/>
    </row>
    <row r="808" spans="3:15" ht="14" x14ac:dyDescent="0.2">
      <c r="C808" s="1"/>
      <c r="D808" s="22"/>
      <c r="F808" s="24"/>
      <c r="G808" s="14"/>
      <c r="H808" s="15"/>
      <c r="I808" s="13"/>
      <c r="K808" s="3"/>
      <c r="L808" s="17"/>
      <c r="N808" s="7"/>
      <c r="O808" s="18"/>
    </row>
    <row r="809" spans="3:15" ht="14" x14ac:dyDescent="0.2">
      <c r="C809" s="1"/>
      <c r="D809" s="22"/>
      <c r="F809" s="24"/>
      <c r="G809" s="14"/>
      <c r="H809" s="15"/>
      <c r="I809" s="13"/>
      <c r="K809" s="3"/>
      <c r="L809" s="17"/>
      <c r="N809" s="7"/>
      <c r="O809" s="18"/>
    </row>
    <row r="810" spans="3:15" ht="14" x14ac:dyDescent="0.2">
      <c r="C810" s="1"/>
      <c r="D810" s="22"/>
      <c r="F810" s="24"/>
      <c r="G810" s="14"/>
      <c r="H810" s="15"/>
      <c r="I810" s="13"/>
      <c r="K810" s="3"/>
      <c r="L810" s="17"/>
      <c r="N810" s="7"/>
      <c r="O810" s="18"/>
    </row>
    <row r="811" spans="3:15" ht="14" x14ac:dyDescent="0.2">
      <c r="C811" s="1"/>
      <c r="D811" s="22"/>
      <c r="F811" s="24"/>
      <c r="G811" s="14"/>
      <c r="H811" s="15"/>
      <c r="I811" s="13"/>
      <c r="K811" s="3"/>
      <c r="L811" s="17"/>
      <c r="N811" s="7"/>
      <c r="O811" s="18"/>
    </row>
    <row r="812" spans="3:15" ht="14" x14ac:dyDescent="0.2">
      <c r="C812" s="1"/>
      <c r="D812" s="22"/>
      <c r="F812" s="24"/>
      <c r="G812" s="14"/>
      <c r="H812" s="15"/>
      <c r="I812" s="13"/>
      <c r="K812" s="3"/>
      <c r="L812" s="17"/>
      <c r="N812" s="7"/>
      <c r="O812" s="18"/>
    </row>
    <row r="813" spans="3:15" ht="14" x14ac:dyDescent="0.2">
      <c r="C813" s="1"/>
      <c r="D813" s="22"/>
      <c r="F813" s="24"/>
      <c r="G813" s="14"/>
      <c r="H813" s="15"/>
      <c r="I813" s="13"/>
      <c r="K813" s="3"/>
      <c r="L813" s="17"/>
      <c r="N813" s="7"/>
      <c r="O813" s="18"/>
    </row>
    <row r="814" spans="3:15" ht="14" x14ac:dyDescent="0.2">
      <c r="C814" s="1"/>
      <c r="D814" s="22"/>
      <c r="F814" s="24"/>
      <c r="G814" s="14"/>
      <c r="H814" s="15"/>
      <c r="I814" s="13"/>
      <c r="K814" s="3"/>
      <c r="L814" s="17"/>
      <c r="N814" s="7"/>
      <c r="O814" s="18"/>
    </row>
    <row r="815" spans="3:15" ht="14" x14ac:dyDescent="0.2">
      <c r="C815" s="1"/>
      <c r="D815" s="22"/>
      <c r="F815" s="24"/>
      <c r="G815" s="14"/>
      <c r="H815" s="15"/>
      <c r="I815" s="13"/>
      <c r="K815" s="3"/>
      <c r="L815" s="17"/>
      <c r="N815" s="7"/>
      <c r="O815" s="18"/>
    </row>
    <row r="816" spans="3:15" ht="14" x14ac:dyDescent="0.2">
      <c r="C816" s="1"/>
      <c r="D816" s="22"/>
      <c r="F816" s="24"/>
      <c r="G816" s="14"/>
      <c r="H816" s="15"/>
      <c r="I816" s="13"/>
      <c r="K816" s="3"/>
      <c r="L816" s="17"/>
      <c r="N816" s="7"/>
      <c r="O816" s="18"/>
    </row>
    <row r="817" spans="3:15" ht="14" x14ac:dyDescent="0.2">
      <c r="C817" s="1"/>
      <c r="D817" s="22"/>
      <c r="F817" s="24"/>
      <c r="G817" s="14"/>
      <c r="H817" s="15"/>
      <c r="I817" s="13"/>
      <c r="K817" s="3"/>
      <c r="L817" s="17"/>
      <c r="N817" s="7"/>
      <c r="O817" s="18"/>
    </row>
    <row r="818" spans="3:15" ht="14" x14ac:dyDescent="0.2">
      <c r="C818" s="1"/>
      <c r="D818" s="22"/>
      <c r="F818" s="24"/>
      <c r="G818" s="14"/>
      <c r="H818" s="15"/>
      <c r="I818" s="13"/>
      <c r="K818" s="3"/>
      <c r="L818" s="17"/>
      <c r="N818" s="7"/>
      <c r="O818" s="18"/>
    </row>
    <row r="819" spans="3:15" ht="14" x14ac:dyDescent="0.2">
      <c r="C819" s="1"/>
      <c r="D819" s="22"/>
      <c r="F819" s="24"/>
      <c r="G819" s="14"/>
      <c r="H819" s="15"/>
      <c r="I819" s="13"/>
      <c r="K819" s="3"/>
      <c r="L819" s="17"/>
      <c r="N819" s="7"/>
      <c r="O819" s="18"/>
    </row>
    <row r="820" spans="3:15" ht="14" x14ac:dyDescent="0.2">
      <c r="C820" s="1"/>
      <c r="D820" s="22"/>
      <c r="F820" s="24"/>
      <c r="G820" s="14"/>
      <c r="H820" s="15"/>
      <c r="I820" s="13"/>
      <c r="K820" s="3"/>
      <c r="L820" s="17"/>
      <c r="N820" s="7"/>
      <c r="O820" s="18"/>
    </row>
    <row r="821" spans="3:15" ht="14" x14ac:dyDescent="0.2">
      <c r="C821" s="1"/>
      <c r="D821" s="22"/>
      <c r="F821" s="24"/>
      <c r="G821" s="14"/>
      <c r="H821" s="15"/>
      <c r="I821" s="13"/>
      <c r="K821" s="3"/>
      <c r="L821" s="17"/>
      <c r="N821" s="7"/>
      <c r="O821" s="18"/>
    </row>
    <row r="822" spans="3:15" ht="14" x14ac:dyDescent="0.2">
      <c r="C822" s="1"/>
      <c r="D822" s="22"/>
      <c r="F822" s="24"/>
      <c r="G822" s="14"/>
      <c r="H822" s="15"/>
      <c r="I822" s="13"/>
      <c r="K822" s="3"/>
      <c r="L822" s="17"/>
      <c r="N822" s="7"/>
      <c r="O822" s="18"/>
    </row>
    <row r="823" spans="3:15" ht="14" x14ac:dyDescent="0.2">
      <c r="C823" s="1"/>
      <c r="D823" s="22"/>
      <c r="F823" s="24"/>
      <c r="G823" s="14"/>
      <c r="H823" s="15"/>
      <c r="I823" s="13"/>
      <c r="K823" s="3"/>
      <c r="L823" s="17"/>
      <c r="N823" s="7"/>
      <c r="O823" s="18"/>
    </row>
    <row r="824" spans="3:15" ht="14" x14ac:dyDescent="0.2">
      <c r="C824" s="1"/>
      <c r="D824" s="22"/>
      <c r="F824" s="24"/>
      <c r="G824" s="14"/>
      <c r="H824" s="15"/>
      <c r="I824" s="13"/>
      <c r="K824" s="3"/>
      <c r="L824" s="17"/>
      <c r="N824" s="7"/>
      <c r="O824" s="18"/>
    </row>
    <row r="825" spans="3:15" ht="14" x14ac:dyDescent="0.2">
      <c r="C825" s="1"/>
      <c r="D825" s="22"/>
      <c r="F825" s="24"/>
      <c r="G825" s="14"/>
      <c r="H825" s="15"/>
      <c r="I825" s="13"/>
      <c r="K825" s="3"/>
      <c r="L825" s="17"/>
      <c r="N825" s="7"/>
      <c r="O825" s="18"/>
    </row>
    <row r="826" spans="3:15" ht="14" x14ac:dyDescent="0.2">
      <c r="C826" s="1"/>
      <c r="D826" s="22"/>
      <c r="F826" s="24"/>
      <c r="G826" s="14"/>
      <c r="H826" s="15"/>
      <c r="I826" s="13"/>
      <c r="K826" s="3"/>
      <c r="L826" s="17"/>
      <c r="N826" s="7"/>
      <c r="O826" s="18"/>
    </row>
    <row r="827" spans="3:15" ht="14" x14ac:dyDescent="0.2">
      <c r="C827" s="1"/>
      <c r="D827" s="22"/>
      <c r="F827" s="24"/>
      <c r="G827" s="14"/>
      <c r="H827" s="15"/>
      <c r="I827" s="13"/>
      <c r="K827" s="3"/>
      <c r="L827" s="17"/>
      <c r="N827" s="7"/>
      <c r="O827" s="18"/>
    </row>
    <row r="828" spans="3:15" ht="14" x14ac:dyDescent="0.2">
      <c r="C828" s="1"/>
      <c r="D828" s="22"/>
      <c r="F828" s="24"/>
      <c r="G828" s="14"/>
      <c r="H828" s="15"/>
      <c r="I828" s="13"/>
      <c r="K828" s="3"/>
      <c r="L828" s="17"/>
      <c r="N828" s="7"/>
      <c r="O828" s="18"/>
    </row>
    <row r="829" spans="3:15" ht="14" x14ac:dyDescent="0.2">
      <c r="C829" s="1"/>
      <c r="D829" s="22"/>
      <c r="F829" s="24"/>
      <c r="G829" s="14"/>
      <c r="H829" s="15"/>
      <c r="I829" s="13"/>
      <c r="K829" s="3"/>
      <c r="L829" s="17"/>
      <c r="N829" s="7"/>
      <c r="O829" s="18"/>
    </row>
    <row r="830" spans="3:15" ht="14" x14ac:dyDescent="0.2">
      <c r="C830" s="1"/>
      <c r="D830" s="22"/>
      <c r="F830" s="24"/>
      <c r="G830" s="14"/>
      <c r="H830" s="15"/>
      <c r="I830" s="13"/>
      <c r="K830" s="3"/>
      <c r="L830" s="17"/>
      <c r="N830" s="7"/>
      <c r="O830" s="18"/>
    </row>
    <row r="831" spans="3:15" ht="14" x14ac:dyDescent="0.2">
      <c r="C831" s="1"/>
      <c r="D831" s="22"/>
      <c r="F831" s="24"/>
      <c r="G831" s="14"/>
      <c r="H831" s="15"/>
      <c r="I831" s="13"/>
      <c r="K831" s="3"/>
      <c r="L831" s="17"/>
      <c r="N831" s="7"/>
      <c r="O831" s="18"/>
    </row>
    <row r="832" spans="3:15" ht="14" x14ac:dyDescent="0.2">
      <c r="C832" s="1"/>
      <c r="D832" s="22"/>
      <c r="F832" s="24"/>
      <c r="G832" s="14"/>
      <c r="H832" s="15"/>
      <c r="I832" s="13"/>
      <c r="K832" s="3"/>
      <c r="L832" s="17"/>
      <c r="N832" s="7"/>
      <c r="O832" s="18"/>
    </row>
    <row r="833" spans="3:15" ht="14" x14ac:dyDescent="0.2">
      <c r="C833" s="1"/>
      <c r="D833" s="22"/>
      <c r="F833" s="24"/>
      <c r="G833" s="14"/>
      <c r="H833" s="15"/>
      <c r="I833" s="13"/>
      <c r="K833" s="3"/>
      <c r="L833" s="17"/>
      <c r="N833" s="7"/>
      <c r="O833" s="18"/>
    </row>
    <row r="834" spans="3:15" ht="14" x14ac:dyDescent="0.2">
      <c r="C834" s="1"/>
      <c r="D834" s="22"/>
      <c r="F834" s="24"/>
      <c r="G834" s="14"/>
      <c r="H834" s="15"/>
      <c r="I834" s="13"/>
      <c r="K834" s="3"/>
      <c r="L834" s="17"/>
      <c r="N834" s="7"/>
      <c r="O834" s="18"/>
    </row>
    <row r="835" spans="3:15" ht="14" x14ac:dyDescent="0.2">
      <c r="C835" s="1"/>
      <c r="D835" s="22"/>
      <c r="F835" s="24"/>
      <c r="G835" s="14"/>
      <c r="H835" s="15"/>
      <c r="I835" s="13"/>
      <c r="K835" s="3"/>
      <c r="L835" s="17"/>
      <c r="N835" s="7"/>
      <c r="O835" s="18"/>
    </row>
    <row r="836" spans="3:15" ht="14" x14ac:dyDescent="0.2">
      <c r="C836" s="1"/>
      <c r="D836" s="22"/>
      <c r="F836" s="24"/>
      <c r="G836" s="14"/>
      <c r="H836" s="15"/>
      <c r="I836" s="13"/>
      <c r="K836" s="3"/>
      <c r="L836" s="17"/>
      <c r="N836" s="7"/>
      <c r="O836" s="18"/>
    </row>
    <row r="837" spans="3:15" ht="14" x14ac:dyDescent="0.2">
      <c r="C837" s="1"/>
      <c r="D837" s="22"/>
      <c r="F837" s="24"/>
      <c r="G837" s="14"/>
      <c r="H837" s="15"/>
      <c r="I837" s="13"/>
      <c r="K837" s="3"/>
      <c r="L837" s="17"/>
      <c r="N837" s="7"/>
      <c r="O837" s="18"/>
    </row>
    <row r="838" spans="3:15" ht="14" x14ac:dyDescent="0.2">
      <c r="C838" s="1"/>
      <c r="D838" s="22"/>
      <c r="F838" s="24"/>
      <c r="G838" s="14"/>
      <c r="H838" s="15"/>
      <c r="I838" s="13"/>
      <c r="K838" s="3"/>
      <c r="L838" s="17"/>
      <c r="N838" s="7"/>
      <c r="O838" s="18"/>
    </row>
    <row r="839" spans="3:15" ht="14" x14ac:dyDescent="0.2">
      <c r="C839" s="1"/>
      <c r="D839" s="22"/>
      <c r="F839" s="24"/>
      <c r="G839" s="14"/>
      <c r="H839" s="15"/>
      <c r="I839" s="13"/>
      <c r="K839" s="3"/>
      <c r="L839" s="17"/>
      <c r="N839" s="7"/>
      <c r="O839" s="18"/>
    </row>
    <row r="840" spans="3:15" ht="14" x14ac:dyDescent="0.2">
      <c r="C840" s="1"/>
      <c r="D840" s="22"/>
      <c r="F840" s="24"/>
      <c r="G840" s="14"/>
      <c r="H840" s="15"/>
      <c r="I840" s="13"/>
      <c r="K840" s="3"/>
      <c r="L840" s="17"/>
      <c r="N840" s="7"/>
      <c r="O840" s="18"/>
    </row>
    <row r="841" spans="3:15" ht="14" x14ac:dyDescent="0.2">
      <c r="C841" s="1"/>
      <c r="D841" s="22"/>
      <c r="F841" s="24"/>
      <c r="G841" s="14"/>
      <c r="H841" s="15"/>
      <c r="I841" s="13"/>
      <c r="K841" s="3"/>
      <c r="L841" s="17"/>
      <c r="N841" s="7"/>
      <c r="O841" s="18"/>
    </row>
    <row r="842" spans="3:15" ht="14" x14ac:dyDescent="0.2">
      <c r="C842" s="1"/>
      <c r="D842" s="22"/>
      <c r="F842" s="24"/>
      <c r="G842" s="14"/>
      <c r="H842" s="15"/>
      <c r="I842" s="13"/>
      <c r="K842" s="3"/>
      <c r="L842" s="17"/>
      <c r="N842" s="7"/>
      <c r="O842" s="18"/>
    </row>
    <row r="843" spans="3:15" ht="14" x14ac:dyDescent="0.2">
      <c r="C843" s="1"/>
      <c r="D843" s="22"/>
      <c r="F843" s="24"/>
      <c r="G843" s="14"/>
      <c r="H843" s="15"/>
      <c r="I843" s="13"/>
      <c r="K843" s="3"/>
      <c r="L843" s="17"/>
      <c r="N843" s="7"/>
      <c r="O843" s="18"/>
    </row>
    <row r="844" spans="3:15" ht="14" x14ac:dyDescent="0.2">
      <c r="C844" s="1"/>
      <c r="D844" s="22"/>
      <c r="F844" s="24"/>
      <c r="G844" s="14"/>
      <c r="H844" s="15"/>
      <c r="I844" s="13"/>
      <c r="K844" s="3"/>
      <c r="L844" s="17"/>
      <c r="N844" s="7"/>
      <c r="O844" s="18"/>
    </row>
    <row r="845" spans="3:15" ht="14" x14ac:dyDescent="0.2">
      <c r="C845" s="1"/>
      <c r="D845" s="22"/>
      <c r="F845" s="24"/>
      <c r="G845" s="14"/>
      <c r="H845" s="15"/>
      <c r="I845" s="13"/>
      <c r="K845" s="3"/>
      <c r="L845" s="17"/>
      <c r="N845" s="7"/>
      <c r="O845" s="18"/>
    </row>
    <row r="846" spans="3:15" ht="14" x14ac:dyDescent="0.2">
      <c r="C846" s="1"/>
      <c r="D846" s="22"/>
      <c r="F846" s="24"/>
      <c r="G846" s="14"/>
      <c r="H846" s="15"/>
      <c r="I846" s="13"/>
      <c r="K846" s="3"/>
      <c r="L846" s="17"/>
      <c r="N846" s="7"/>
      <c r="O846" s="18"/>
    </row>
    <row r="847" spans="3:15" ht="14" x14ac:dyDescent="0.2">
      <c r="C847" s="1"/>
      <c r="D847" s="22"/>
      <c r="F847" s="24"/>
      <c r="G847" s="14"/>
      <c r="H847" s="15"/>
      <c r="I847" s="13"/>
      <c r="K847" s="3"/>
      <c r="L847" s="17"/>
      <c r="N847" s="7"/>
      <c r="O847" s="18"/>
    </row>
    <row r="848" spans="3:15" ht="14" x14ac:dyDescent="0.2">
      <c r="C848" s="1"/>
      <c r="D848" s="22"/>
      <c r="F848" s="24"/>
      <c r="G848" s="14"/>
      <c r="H848" s="15"/>
      <c r="I848" s="13"/>
      <c r="K848" s="3"/>
      <c r="L848" s="17"/>
      <c r="N848" s="7"/>
      <c r="O848" s="18"/>
    </row>
    <row r="849" spans="3:15" ht="14" x14ac:dyDescent="0.2">
      <c r="C849" s="1"/>
      <c r="D849" s="22"/>
      <c r="F849" s="24"/>
      <c r="G849" s="14"/>
      <c r="H849" s="15"/>
      <c r="I849" s="13"/>
      <c r="K849" s="3"/>
      <c r="L849" s="17"/>
      <c r="N849" s="7"/>
      <c r="O849" s="18"/>
    </row>
    <row r="850" spans="3:15" ht="14" x14ac:dyDescent="0.2">
      <c r="C850" s="1"/>
      <c r="D850" s="22"/>
      <c r="F850" s="24"/>
      <c r="G850" s="14"/>
      <c r="H850" s="15"/>
      <c r="I850" s="13"/>
      <c r="K850" s="3"/>
      <c r="L850" s="17"/>
      <c r="N850" s="7"/>
      <c r="O850" s="18"/>
    </row>
    <row r="851" spans="3:15" ht="14" x14ac:dyDescent="0.2">
      <c r="C851" s="1"/>
      <c r="D851" s="22"/>
      <c r="F851" s="24"/>
      <c r="G851" s="14"/>
      <c r="H851" s="15"/>
      <c r="I851" s="13"/>
      <c r="K851" s="3"/>
      <c r="L851" s="17"/>
      <c r="N851" s="7"/>
      <c r="O851" s="18"/>
    </row>
    <row r="852" spans="3:15" ht="14" x14ac:dyDescent="0.2">
      <c r="C852" s="1"/>
      <c r="D852" s="22"/>
      <c r="F852" s="24"/>
      <c r="G852" s="14"/>
      <c r="H852" s="15"/>
      <c r="I852" s="13"/>
      <c r="K852" s="3"/>
      <c r="L852" s="17"/>
      <c r="N852" s="7"/>
      <c r="O852" s="18"/>
    </row>
    <row r="853" spans="3:15" ht="14" x14ac:dyDescent="0.2">
      <c r="C853" s="1"/>
      <c r="D853" s="22"/>
      <c r="F853" s="24"/>
      <c r="G853" s="14"/>
      <c r="H853" s="15"/>
      <c r="I853" s="13"/>
      <c r="K853" s="3"/>
      <c r="L853" s="17"/>
      <c r="N853" s="7"/>
      <c r="O853" s="18"/>
    </row>
    <row r="854" spans="3:15" ht="14" x14ac:dyDescent="0.2">
      <c r="C854" s="1"/>
      <c r="D854" s="22"/>
      <c r="F854" s="24"/>
      <c r="G854" s="14"/>
      <c r="H854" s="15"/>
      <c r="I854" s="13"/>
      <c r="K854" s="3"/>
      <c r="L854" s="17"/>
      <c r="N854" s="7"/>
      <c r="O854" s="18"/>
    </row>
    <row r="855" spans="3:15" ht="14" x14ac:dyDescent="0.2">
      <c r="C855" s="1"/>
      <c r="D855" s="22"/>
      <c r="F855" s="24"/>
      <c r="G855" s="14"/>
      <c r="H855" s="15"/>
      <c r="I855" s="13"/>
      <c r="K855" s="3"/>
      <c r="L855" s="17"/>
      <c r="N855" s="7"/>
      <c r="O855" s="18"/>
    </row>
    <row r="856" spans="3:15" ht="14" x14ac:dyDescent="0.2">
      <c r="C856" s="1"/>
      <c r="D856" s="22"/>
      <c r="F856" s="24"/>
      <c r="G856" s="14"/>
      <c r="H856" s="15"/>
      <c r="I856" s="13"/>
      <c r="K856" s="3"/>
      <c r="L856" s="17"/>
      <c r="N856" s="7"/>
      <c r="O856" s="18"/>
    </row>
    <row r="857" spans="3:15" ht="14" x14ac:dyDescent="0.2">
      <c r="C857" s="1"/>
      <c r="D857" s="22"/>
      <c r="F857" s="24"/>
      <c r="G857" s="14"/>
      <c r="H857" s="15"/>
      <c r="I857" s="13"/>
      <c r="K857" s="3"/>
      <c r="L857" s="17"/>
      <c r="N857" s="7"/>
      <c r="O857" s="18"/>
    </row>
    <row r="858" spans="3:15" ht="14" x14ac:dyDescent="0.2">
      <c r="C858" s="1"/>
      <c r="D858" s="22"/>
      <c r="F858" s="24"/>
      <c r="G858" s="14"/>
      <c r="H858" s="15"/>
      <c r="I858" s="13"/>
      <c r="K858" s="3"/>
      <c r="L858" s="17"/>
      <c r="N858" s="7"/>
      <c r="O858" s="18"/>
    </row>
    <row r="859" spans="3:15" ht="14" x14ac:dyDescent="0.2">
      <c r="C859" s="1"/>
      <c r="D859" s="22"/>
      <c r="F859" s="24"/>
      <c r="G859" s="14"/>
      <c r="H859" s="15"/>
      <c r="I859" s="13"/>
      <c r="K859" s="3"/>
      <c r="L859" s="17"/>
      <c r="N859" s="7"/>
      <c r="O859" s="18"/>
    </row>
    <row r="860" spans="3:15" ht="14" x14ac:dyDescent="0.2">
      <c r="C860" s="1"/>
      <c r="D860" s="22"/>
      <c r="F860" s="24"/>
      <c r="G860" s="14"/>
      <c r="H860" s="15"/>
      <c r="I860" s="13"/>
      <c r="K860" s="3"/>
      <c r="L860" s="17"/>
      <c r="N860" s="7"/>
      <c r="O860" s="18"/>
    </row>
    <row r="861" spans="3:15" ht="14" x14ac:dyDescent="0.2">
      <c r="C861" s="1"/>
      <c r="D861" s="22"/>
      <c r="F861" s="24"/>
      <c r="G861" s="14"/>
      <c r="H861" s="15"/>
      <c r="I861" s="13"/>
      <c r="K861" s="3"/>
      <c r="L861" s="17"/>
      <c r="N861" s="7"/>
      <c r="O861" s="18"/>
    </row>
    <row r="862" spans="3:15" ht="14" x14ac:dyDescent="0.2">
      <c r="C862" s="1"/>
      <c r="D862" s="22"/>
      <c r="F862" s="24"/>
      <c r="G862" s="14"/>
      <c r="H862" s="15"/>
      <c r="I862" s="13"/>
      <c r="K862" s="3"/>
      <c r="L862" s="17"/>
      <c r="N862" s="7"/>
      <c r="O862" s="18"/>
    </row>
    <row r="863" spans="3:15" ht="14" x14ac:dyDescent="0.2">
      <c r="C863" s="1"/>
      <c r="D863" s="22"/>
      <c r="F863" s="24"/>
      <c r="G863" s="14"/>
      <c r="H863" s="15"/>
      <c r="I863" s="13"/>
      <c r="K863" s="3"/>
      <c r="L863" s="17"/>
      <c r="N863" s="7"/>
      <c r="O863" s="18"/>
    </row>
    <row r="864" spans="3:15" ht="14" x14ac:dyDescent="0.2">
      <c r="C864" s="1"/>
      <c r="D864" s="22"/>
      <c r="F864" s="24"/>
      <c r="G864" s="14"/>
      <c r="H864" s="15"/>
      <c r="I864" s="13"/>
      <c r="K864" s="3"/>
      <c r="L864" s="17"/>
      <c r="N864" s="7"/>
      <c r="O864" s="18"/>
    </row>
    <row r="865" spans="3:15" ht="14" x14ac:dyDescent="0.2">
      <c r="C865" s="1"/>
      <c r="D865" s="22"/>
      <c r="F865" s="24"/>
      <c r="G865" s="14"/>
      <c r="H865" s="15"/>
      <c r="I865" s="13"/>
      <c r="K865" s="3"/>
      <c r="L865" s="17"/>
      <c r="N865" s="7"/>
      <c r="O865" s="18"/>
    </row>
    <row r="866" spans="3:15" ht="14" x14ac:dyDescent="0.2">
      <c r="C866" s="1"/>
      <c r="D866" s="22"/>
      <c r="F866" s="24"/>
      <c r="G866" s="14"/>
      <c r="H866" s="15"/>
      <c r="I866" s="13"/>
      <c r="K866" s="3"/>
      <c r="L866" s="17"/>
      <c r="N866" s="7"/>
      <c r="O866" s="18"/>
    </row>
    <row r="867" spans="3:15" ht="14" x14ac:dyDescent="0.2">
      <c r="C867" s="1"/>
      <c r="D867" s="22"/>
      <c r="F867" s="24"/>
      <c r="G867" s="14"/>
      <c r="H867" s="15"/>
      <c r="I867" s="13"/>
      <c r="K867" s="3"/>
      <c r="L867" s="17"/>
      <c r="N867" s="7"/>
      <c r="O867" s="18"/>
    </row>
    <row r="868" spans="3:15" ht="14" x14ac:dyDescent="0.2">
      <c r="C868" s="1"/>
      <c r="D868" s="22"/>
      <c r="F868" s="24"/>
      <c r="G868" s="14"/>
      <c r="H868" s="15"/>
      <c r="I868" s="13"/>
      <c r="K868" s="3"/>
      <c r="L868" s="17"/>
      <c r="N868" s="7"/>
      <c r="O868" s="18"/>
    </row>
    <row r="869" spans="3:15" ht="14" x14ac:dyDescent="0.2">
      <c r="C869" s="1"/>
      <c r="D869" s="22"/>
      <c r="F869" s="24"/>
      <c r="G869" s="14"/>
      <c r="H869" s="15"/>
      <c r="I869" s="13"/>
      <c r="K869" s="3"/>
      <c r="L869" s="17"/>
      <c r="N869" s="7"/>
      <c r="O869" s="18"/>
    </row>
    <row r="870" spans="3:15" ht="14" x14ac:dyDescent="0.2">
      <c r="C870" s="1"/>
      <c r="D870" s="22"/>
      <c r="F870" s="24"/>
      <c r="G870" s="14"/>
      <c r="H870" s="15"/>
      <c r="I870" s="13"/>
      <c r="K870" s="3"/>
      <c r="L870" s="17"/>
      <c r="N870" s="7"/>
      <c r="O870" s="18"/>
    </row>
    <row r="871" spans="3:15" ht="14" x14ac:dyDescent="0.2">
      <c r="C871" s="1"/>
      <c r="D871" s="22"/>
      <c r="F871" s="24"/>
      <c r="G871" s="14"/>
      <c r="H871" s="15"/>
      <c r="I871" s="13"/>
      <c r="K871" s="3"/>
      <c r="L871" s="17"/>
      <c r="N871" s="7"/>
      <c r="O871" s="18"/>
    </row>
    <row r="872" spans="3:15" ht="14" x14ac:dyDescent="0.2">
      <c r="C872" s="1"/>
      <c r="D872" s="22"/>
      <c r="F872" s="24"/>
      <c r="G872" s="14"/>
      <c r="H872" s="15"/>
      <c r="I872" s="13"/>
      <c r="K872" s="3"/>
      <c r="L872" s="17"/>
      <c r="N872" s="7"/>
      <c r="O872" s="18"/>
    </row>
    <row r="873" spans="3:15" ht="14" x14ac:dyDescent="0.2">
      <c r="C873" s="1"/>
      <c r="D873" s="22"/>
      <c r="F873" s="24"/>
      <c r="G873" s="14"/>
      <c r="H873" s="15"/>
      <c r="I873" s="13"/>
      <c r="K873" s="3"/>
      <c r="L873" s="17"/>
      <c r="N873" s="7"/>
      <c r="O873" s="18"/>
    </row>
    <row r="874" spans="3:15" ht="14" x14ac:dyDescent="0.2">
      <c r="C874" s="1"/>
      <c r="D874" s="22"/>
      <c r="F874" s="24"/>
      <c r="G874" s="14"/>
      <c r="H874" s="15"/>
      <c r="I874" s="13"/>
      <c r="K874" s="3"/>
      <c r="L874" s="17"/>
      <c r="N874" s="7"/>
      <c r="O874" s="18"/>
    </row>
    <row r="875" spans="3:15" ht="14" x14ac:dyDescent="0.2">
      <c r="C875" s="1"/>
      <c r="D875" s="22"/>
      <c r="F875" s="24"/>
      <c r="G875" s="14"/>
      <c r="H875" s="15"/>
      <c r="I875" s="13"/>
      <c r="K875" s="3"/>
      <c r="L875" s="17"/>
      <c r="N875" s="7"/>
      <c r="O875" s="18"/>
    </row>
    <row r="876" spans="3:15" ht="14" x14ac:dyDescent="0.2">
      <c r="C876" s="1"/>
      <c r="D876" s="22"/>
      <c r="F876" s="24"/>
      <c r="G876" s="14"/>
      <c r="H876" s="15"/>
      <c r="I876" s="13"/>
      <c r="K876" s="3"/>
      <c r="L876" s="17"/>
      <c r="N876" s="7"/>
      <c r="O876" s="18"/>
    </row>
    <row r="877" spans="3:15" ht="14" x14ac:dyDescent="0.2">
      <c r="C877" s="1"/>
      <c r="D877" s="22"/>
      <c r="F877" s="24"/>
      <c r="G877" s="14"/>
      <c r="H877" s="15"/>
      <c r="I877" s="13"/>
      <c r="K877" s="3"/>
      <c r="L877" s="17"/>
      <c r="N877" s="7"/>
      <c r="O877" s="18"/>
    </row>
    <row r="878" spans="3:15" ht="14" x14ac:dyDescent="0.2">
      <c r="C878" s="1"/>
      <c r="D878" s="22"/>
      <c r="F878" s="24"/>
      <c r="G878" s="14"/>
      <c r="H878" s="15"/>
      <c r="I878" s="13"/>
      <c r="K878" s="3"/>
      <c r="L878" s="17"/>
      <c r="N878" s="7"/>
      <c r="O878" s="18"/>
    </row>
    <row r="879" spans="3:15" ht="14" x14ac:dyDescent="0.2">
      <c r="C879" s="1"/>
      <c r="D879" s="22"/>
      <c r="F879" s="24"/>
      <c r="G879" s="14"/>
      <c r="H879" s="15"/>
      <c r="I879" s="13"/>
      <c r="K879" s="3"/>
      <c r="L879" s="17"/>
      <c r="N879" s="7"/>
      <c r="O879" s="18"/>
    </row>
    <row r="880" spans="3:15" ht="14" x14ac:dyDescent="0.2">
      <c r="C880" s="1"/>
      <c r="D880" s="22"/>
      <c r="F880" s="24"/>
      <c r="G880" s="14"/>
      <c r="H880" s="15"/>
      <c r="I880" s="13"/>
      <c r="K880" s="3"/>
      <c r="L880" s="17"/>
      <c r="N880" s="7"/>
      <c r="O880" s="18"/>
    </row>
    <row r="881" spans="3:15" ht="14" x14ac:dyDescent="0.2">
      <c r="C881" s="1"/>
      <c r="D881" s="22"/>
      <c r="F881" s="24"/>
      <c r="G881" s="14"/>
      <c r="H881" s="15"/>
      <c r="I881" s="13"/>
      <c r="K881" s="3"/>
      <c r="L881" s="17"/>
      <c r="N881" s="7"/>
      <c r="O881" s="18"/>
    </row>
    <row r="882" spans="3:15" ht="14" x14ac:dyDescent="0.2">
      <c r="C882" s="1"/>
      <c r="D882" s="22"/>
      <c r="F882" s="24"/>
      <c r="G882" s="14"/>
      <c r="H882" s="15"/>
      <c r="I882" s="13"/>
      <c r="K882" s="3"/>
      <c r="L882" s="17"/>
      <c r="N882" s="7"/>
      <c r="O882" s="18"/>
    </row>
    <row r="883" spans="3:15" ht="14" x14ac:dyDescent="0.2">
      <c r="C883" s="1"/>
      <c r="D883" s="22"/>
      <c r="F883" s="24"/>
      <c r="G883" s="14"/>
      <c r="H883" s="15"/>
      <c r="I883" s="13"/>
      <c r="K883" s="3"/>
      <c r="L883" s="17"/>
      <c r="N883" s="7"/>
      <c r="O883" s="18"/>
    </row>
    <row r="884" spans="3:15" ht="14" x14ac:dyDescent="0.2">
      <c r="C884" s="1"/>
      <c r="D884" s="22"/>
      <c r="F884" s="24"/>
      <c r="G884" s="14"/>
      <c r="H884" s="15"/>
      <c r="I884" s="13"/>
      <c r="K884" s="3"/>
      <c r="L884" s="17"/>
      <c r="N884" s="7"/>
      <c r="O884" s="18"/>
    </row>
    <row r="885" spans="3:15" ht="14" x14ac:dyDescent="0.2">
      <c r="C885" s="1"/>
      <c r="D885" s="22"/>
      <c r="F885" s="24"/>
      <c r="G885" s="14"/>
      <c r="H885" s="15"/>
      <c r="I885" s="13"/>
      <c r="K885" s="3"/>
      <c r="L885" s="17"/>
      <c r="N885" s="7"/>
      <c r="O885" s="18"/>
    </row>
    <row r="886" spans="3:15" ht="14" x14ac:dyDescent="0.2">
      <c r="C886" s="1"/>
      <c r="D886" s="22"/>
      <c r="F886" s="24"/>
      <c r="G886" s="14"/>
      <c r="H886" s="15"/>
      <c r="I886" s="13"/>
      <c r="K886" s="3"/>
      <c r="L886" s="17"/>
      <c r="N886" s="7"/>
      <c r="O886" s="18"/>
    </row>
    <row r="887" spans="3:15" ht="14" x14ac:dyDescent="0.2">
      <c r="C887" s="1"/>
      <c r="D887" s="22"/>
      <c r="F887" s="24"/>
      <c r="G887" s="14"/>
      <c r="H887" s="15"/>
      <c r="I887" s="13"/>
      <c r="K887" s="3"/>
      <c r="L887" s="17"/>
      <c r="N887" s="7"/>
      <c r="O887" s="18"/>
    </row>
    <row r="888" spans="3:15" ht="14" x14ac:dyDescent="0.2">
      <c r="C888" s="1"/>
      <c r="D888" s="22"/>
      <c r="F888" s="24"/>
      <c r="G888" s="14"/>
      <c r="H888" s="15"/>
      <c r="I888" s="13"/>
      <c r="K888" s="3"/>
      <c r="L888" s="17"/>
      <c r="N888" s="7"/>
      <c r="O888" s="18"/>
    </row>
    <row r="889" spans="3:15" ht="14" x14ac:dyDescent="0.2">
      <c r="C889" s="1"/>
      <c r="D889" s="22"/>
      <c r="F889" s="24"/>
      <c r="G889" s="14"/>
      <c r="H889" s="15"/>
      <c r="I889" s="13"/>
      <c r="K889" s="3"/>
      <c r="L889" s="17"/>
      <c r="N889" s="7"/>
      <c r="O889" s="18"/>
    </row>
    <row r="890" spans="3:15" ht="14" x14ac:dyDescent="0.2">
      <c r="C890" s="1"/>
      <c r="D890" s="22"/>
      <c r="F890" s="24"/>
      <c r="G890" s="14"/>
      <c r="H890" s="15"/>
      <c r="I890" s="13"/>
      <c r="K890" s="3"/>
      <c r="L890" s="17"/>
      <c r="N890" s="7"/>
      <c r="O890" s="18"/>
    </row>
    <row r="891" spans="3:15" ht="14" x14ac:dyDescent="0.2">
      <c r="C891" s="1"/>
      <c r="D891" s="22"/>
      <c r="F891" s="24"/>
      <c r="G891" s="14"/>
      <c r="H891" s="15"/>
      <c r="I891" s="13"/>
      <c r="K891" s="3"/>
      <c r="L891" s="17"/>
      <c r="N891" s="7"/>
      <c r="O891" s="18"/>
    </row>
    <row r="892" spans="3:15" ht="14" x14ac:dyDescent="0.2">
      <c r="C892" s="1"/>
      <c r="D892" s="22"/>
      <c r="F892" s="24"/>
      <c r="G892" s="14"/>
      <c r="H892" s="15"/>
      <c r="I892" s="13"/>
      <c r="K892" s="3"/>
      <c r="L892" s="17"/>
      <c r="N892" s="7"/>
      <c r="O892" s="18"/>
    </row>
    <row r="893" spans="3:15" ht="14" x14ac:dyDescent="0.2">
      <c r="C893" s="1"/>
      <c r="D893" s="22"/>
      <c r="F893" s="24"/>
      <c r="G893" s="14"/>
      <c r="H893" s="15"/>
      <c r="I893" s="13"/>
      <c r="K893" s="3"/>
      <c r="L893" s="17"/>
      <c r="N893" s="7"/>
      <c r="O893" s="18"/>
    </row>
    <row r="894" spans="3:15" ht="14" x14ac:dyDescent="0.2">
      <c r="C894" s="1"/>
      <c r="D894" s="22"/>
      <c r="F894" s="24"/>
      <c r="G894" s="14"/>
      <c r="H894" s="15"/>
      <c r="I894" s="13"/>
      <c r="K894" s="3"/>
      <c r="L894" s="17"/>
      <c r="N894" s="7"/>
      <c r="O894" s="18"/>
    </row>
    <row r="895" spans="3:15" ht="14" x14ac:dyDescent="0.2">
      <c r="C895" s="1"/>
      <c r="D895" s="22"/>
      <c r="F895" s="24"/>
      <c r="G895" s="14"/>
      <c r="H895" s="15"/>
      <c r="I895" s="13"/>
      <c r="K895" s="3"/>
      <c r="L895" s="17"/>
      <c r="N895" s="7"/>
      <c r="O895" s="18"/>
    </row>
    <row r="896" spans="3:15" ht="14" x14ac:dyDescent="0.2">
      <c r="C896" s="1"/>
      <c r="D896" s="22"/>
      <c r="F896" s="24"/>
      <c r="G896" s="14"/>
      <c r="H896" s="15"/>
      <c r="I896" s="13"/>
      <c r="K896" s="3"/>
      <c r="L896" s="17"/>
      <c r="N896" s="7"/>
      <c r="O896" s="18"/>
    </row>
    <row r="897" spans="3:15" ht="14" x14ac:dyDescent="0.2">
      <c r="C897" s="1"/>
      <c r="D897" s="22"/>
      <c r="F897" s="24"/>
      <c r="G897" s="14"/>
      <c r="H897" s="15"/>
      <c r="I897" s="13"/>
      <c r="K897" s="3"/>
      <c r="L897" s="17"/>
      <c r="N897" s="7"/>
      <c r="O897" s="18"/>
    </row>
    <row r="898" spans="3:15" ht="14" x14ac:dyDescent="0.2">
      <c r="C898" s="1"/>
      <c r="D898" s="22"/>
      <c r="F898" s="24"/>
      <c r="G898" s="14"/>
      <c r="H898" s="15"/>
      <c r="I898" s="13"/>
      <c r="K898" s="3"/>
      <c r="L898" s="17"/>
      <c r="N898" s="7"/>
      <c r="O898" s="18"/>
    </row>
    <row r="899" spans="3:15" ht="14" x14ac:dyDescent="0.2">
      <c r="C899" s="1"/>
      <c r="D899" s="22"/>
      <c r="F899" s="24"/>
      <c r="G899" s="14"/>
      <c r="H899" s="15"/>
      <c r="I899" s="13"/>
      <c r="K899" s="3"/>
      <c r="L899" s="17"/>
      <c r="N899" s="7"/>
      <c r="O899" s="18"/>
    </row>
    <row r="900" spans="3:15" ht="14" x14ac:dyDescent="0.2">
      <c r="C900" s="1"/>
      <c r="D900" s="22"/>
      <c r="F900" s="24"/>
      <c r="G900" s="14"/>
      <c r="H900" s="15"/>
      <c r="I900" s="13"/>
      <c r="K900" s="3"/>
      <c r="L900" s="17"/>
      <c r="N900" s="7"/>
      <c r="O900" s="18"/>
    </row>
    <row r="901" spans="3:15" ht="14" x14ac:dyDescent="0.2">
      <c r="C901" s="1"/>
      <c r="D901" s="22"/>
      <c r="F901" s="24"/>
      <c r="G901" s="14"/>
      <c r="H901" s="15"/>
      <c r="I901" s="13"/>
      <c r="K901" s="3"/>
      <c r="L901" s="17"/>
      <c r="N901" s="7"/>
      <c r="O901" s="18"/>
    </row>
    <row r="902" spans="3:15" ht="14" x14ac:dyDescent="0.2">
      <c r="C902" s="1"/>
      <c r="D902" s="22"/>
      <c r="F902" s="24"/>
      <c r="G902" s="14"/>
      <c r="H902" s="15"/>
      <c r="I902" s="13"/>
      <c r="K902" s="3"/>
      <c r="L902" s="17"/>
      <c r="N902" s="7"/>
      <c r="O902" s="18"/>
    </row>
    <row r="903" spans="3:15" ht="14" x14ac:dyDescent="0.2">
      <c r="C903" s="1"/>
      <c r="D903" s="22"/>
      <c r="F903" s="24"/>
      <c r="G903" s="14"/>
      <c r="H903" s="15"/>
      <c r="I903" s="13"/>
      <c r="K903" s="3"/>
      <c r="L903" s="17"/>
      <c r="N903" s="7"/>
      <c r="O903" s="18"/>
    </row>
    <row r="904" spans="3:15" ht="14" x14ac:dyDescent="0.2">
      <c r="C904" s="1"/>
      <c r="D904" s="22"/>
      <c r="F904" s="24"/>
      <c r="G904" s="14"/>
      <c r="H904" s="15"/>
      <c r="I904" s="13"/>
      <c r="K904" s="3"/>
      <c r="L904" s="17"/>
      <c r="N904" s="7"/>
      <c r="O904" s="18"/>
    </row>
    <row r="905" spans="3:15" ht="14" x14ac:dyDescent="0.2">
      <c r="C905" s="1"/>
      <c r="D905" s="22"/>
      <c r="F905" s="24"/>
      <c r="G905" s="14"/>
      <c r="H905" s="15"/>
      <c r="I905" s="13"/>
      <c r="K905" s="3"/>
      <c r="L905" s="17"/>
      <c r="N905" s="7"/>
      <c r="O905" s="18"/>
    </row>
    <row r="906" spans="3:15" ht="14" x14ac:dyDescent="0.2">
      <c r="C906" s="1"/>
      <c r="D906" s="22"/>
      <c r="F906" s="24"/>
      <c r="G906" s="14"/>
      <c r="H906" s="15"/>
      <c r="I906" s="13"/>
      <c r="K906" s="3"/>
      <c r="L906" s="17"/>
      <c r="N906" s="7"/>
      <c r="O906" s="18"/>
    </row>
    <row r="907" spans="3:15" ht="14" x14ac:dyDescent="0.2">
      <c r="C907" s="1"/>
      <c r="D907" s="22"/>
      <c r="F907" s="24"/>
      <c r="G907" s="14"/>
      <c r="H907" s="15"/>
      <c r="I907" s="13"/>
      <c r="K907" s="3"/>
      <c r="L907" s="17"/>
      <c r="N907" s="7"/>
      <c r="O907" s="18"/>
    </row>
    <row r="908" spans="3:15" ht="14" x14ac:dyDescent="0.2">
      <c r="C908" s="1"/>
      <c r="D908" s="22"/>
      <c r="F908" s="24"/>
      <c r="G908" s="14"/>
      <c r="H908" s="15"/>
      <c r="I908" s="13"/>
      <c r="K908" s="3"/>
      <c r="L908" s="17"/>
      <c r="N908" s="7"/>
      <c r="O908" s="18"/>
    </row>
    <row r="909" spans="3:15" ht="14" x14ac:dyDescent="0.2">
      <c r="C909" s="1"/>
      <c r="D909" s="22"/>
      <c r="F909" s="24"/>
      <c r="G909" s="14"/>
      <c r="H909" s="15"/>
      <c r="I909" s="13"/>
      <c r="K909" s="3"/>
      <c r="L909" s="17"/>
      <c r="N909" s="7"/>
      <c r="O909" s="18"/>
    </row>
    <row r="910" spans="3:15" ht="14" x14ac:dyDescent="0.2">
      <c r="C910" s="1"/>
      <c r="D910" s="22"/>
      <c r="F910" s="24"/>
      <c r="G910" s="14"/>
      <c r="H910" s="15"/>
      <c r="I910" s="13"/>
      <c r="K910" s="3"/>
      <c r="L910" s="17"/>
      <c r="N910" s="7"/>
      <c r="O910" s="18"/>
    </row>
    <row r="911" spans="3:15" ht="14" x14ac:dyDescent="0.2">
      <c r="C911" s="1"/>
      <c r="D911" s="22"/>
      <c r="F911" s="24"/>
      <c r="G911" s="14"/>
      <c r="H911" s="15"/>
      <c r="I911" s="13"/>
      <c r="K911" s="3"/>
      <c r="L911" s="17"/>
      <c r="N911" s="7"/>
      <c r="O911" s="18"/>
    </row>
    <row r="912" spans="3:15" ht="14" x14ac:dyDescent="0.2">
      <c r="C912" s="1"/>
      <c r="D912" s="22"/>
      <c r="F912" s="24"/>
      <c r="G912" s="14"/>
      <c r="H912" s="15"/>
      <c r="I912" s="13"/>
      <c r="K912" s="3"/>
      <c r="L912" s="17"/>
      <c r="N912" s="7"/>
      <c r="O912" s="18"/>
    </row>
    <row r="913" spans="3:15" ht="14" x14ac:dyDescent="0.2">
      <c r="C913" s="1"/>
      <c r="D913" s="22"/>
      <c r="F913" s="24"/>
      <c r="G913" s="14"/>
      <c r="H913" s="15"/>
      <c r="I913" s="13"/>
      <c r="K913" s="3"/>
      <c r="L913" s="17"/>
      <c r="N913" s="7"/>
      <c r="O913" s="18"/>
    </row>
    <row r="914" spans="3:15" ht="14" x14ac:dyDescent="0.2">
      <c r="C914" s="1"/>
      <c r="D914" s="22"/>
      <c r="F914" s="24"/>
      <c r="G914" s="14"/>
      <c r="H914" s="15"/>
      <c r="I914" s="13"/>
      <c r="K914" s="3"/>
      <c r="L914" s="17"/>
      <c r="N914" s="7"/>
      <c r="O914" s="18"/>
    </row>
    <row r="915" spans="3:15" ht="14" x14ac:dyDescent="0.2">
      <c r="C915" s="1"/>
      <c r="D915" s="22"/>
      <c r="F915" s="24"/>
      <c r="G915" s="14"/>
      <c r="H915" s="15"/>
      <c r="I915" s="13"/>
      <c r="K915" s="3"/>
      <c r="L915" s="17"/>
      <c r="N915" s="7"/>
      <c r="O915" s="18"/>
    </row>
    <row r="916" spans="3:15" ht="14" x14ac:dyDescent="0.2">
      <c r="C916" s="1"/>
      <c r="D916" s="22"/>
      <c r="F916" s="24"/>
      <c r="G916" s="14"/>
      <c r="H916" s="15"/>
      <c r="I916" s="13"/>
      <c r="K916" s="3"/>
      <c r="L916" s="17"/>
      <c r="N916" s="7"/>
      <c r="O916" s="18"/>
    </row>
    <row r="917" spans="3:15" ht="14" x14ac:dyDescent="0.2">
      <c r="C917" s="1"/>
      <c r="D917" s="22"/>
      <c r="F917" s="24"/>
      <c r="G917" s="14"/>
      <c r="H917" s="15"/>
      <c r="I917" s="13"/>
      <c r="K917" s="3"/>
      <c r="L917" s="17"/>
      <c r="N917" s="7"/>
      <c r="O917" s="18"/>
    </row>
    <row r="918" spans="3:15" ht="14" x14ac:dyDescent="0.2">
      <c r="C918" s="1"/>
      <c r="D918" s="22"/>
      <c r="F918" s="24"/>
      <c r="G918" s="14"/>
      <c r="H918" s="15"/>
      <c r="I918" s="13"/>
      <c r="K918" s="3"/>
      <c r="L918" s="17"/>
      <c r="N918" s="7"/>
      <c r="O918" s="18"/>
    </row>
    <row r="919" spans="3:15" ht="14" x14ac:dyDescent="0.2">
      <c r="C919" s="1"/>
      <c r="D919" s="22"/>
      <c r="F919" s="24"/>
      <c r="G919" s="14"/>
      <c r="H919" s="15"/>
      <c r="I919" s="13"/>
      <c r="K919" s="3"/>
      <c r="L919" s="17"/>
      <c r="N919" s="7"/>
      <c r="O919" s="18"/>
    </row>
    <row r="920" spans="3:15" ht="14" x14ac:dyDescent="0.2">
      <c r="C920" s="1"/>
      <c r="D920" s="22"/>
      <c r="F920" s="24"/>
      <c r="G920" s="14"/>
      <c r="H920" s="15"/>
      <c r="I920" s="13"/>
      <c r="K920" s="3"/>
      <c r="L920" s="17"/>
      <c r="N920" s="7"/>
      <c r="O920" s="18"/>
    </row>
    <row r="921" spans="3:15" ht="14" x14ac:dyDescent="0.2">
      <c r="C921" s="1"/>
      <c r="D921" s="22"/>
      <c r="F921" s="24"/>
      <c r="G921" s="14"/>
      <c r="H921" s="15"/>
      <c r="I921" s="13"/>
      <c r="K921" s="3"/>
      <c r="L921" s="17"/>
      <c r="N921" s="7"/>
      <c r="O921" s="18"/>
    </row>
    <row r="922" spans="3:15" ht="14" x14ac:dyDescent="0.2">
      <c r="C922" s="1"/>
      <c r="D922" s="22"/>
      <c r="F922" s="24"/>
      <c r="G922" s="14"/>
      <c r="H922" s="15"/>
      <c r="I922" s="13"/>
      <c r="K922" s="3"/>
      <c r="L922" s="17"/>
      <c r="N922" s="7"/>
      <c r="O922" s="18"/>
    </row>
    <row r="923" spans="3:15" ht="14" x14ac:dyDescent="0.2">
      <c r="C923" s="1"/>
      <c r="D923" s="22"/>
      <c r="F923" s="24"/>
      <c r="G923" s="14"/>
      <c r="H923" s="15"/>
      <c r="I923" s="13"/>
      <c r="K923" s="3"/>
      <c r="L923" s="17"/>
      <c r="N923" s="7"/>
      <c r="O923" s="18"/>
    </row>
    <row r="924" spans="3:15" ht="14" x14ac:dyDescent="0.2">
      <c r="C924" s="1"/>
      <c r="D924" s="22"/>
      <c r="F924" s="24"/>
      <c r="G924" s="14"/>
      <c r="H924" s="15"/>
      <c r="I924" s="13"/>
      <c r="K924" s="3"/>
      <c r="L924" s="17"/>
      <c r="N924" s="7"/>
      <c r="O924" s="18"/>
    </row>
    <row r="925" spans="3:15" ht="14" x14ac:dyDescent="0.2">
      <c r="C925" s="1"/>
      <c r="D925" s="22"/>
      <c r="F925" s="24"/>
      <c r="G925" s="14"/>
      <c r="H925" s="15"/>
      <c r="I925" s="13"/>
      <c r="K925" s="3"/>
      <c r="L925" s="17"/>
      <c r="N925" s="7"/>
      <c r="O925" s="18"/>
    </row>
    <row r="926" spans="3:15" ht="14" x14ac:dyDescent="0.2">
      <c r="C926" s="1"/>
      <c r="D926" s="22"/>
      <c r="F926" s="24"/>
      <c r="G926" s="14"/>
      <c r="H926" s="15"/>
      <c r="I926" s="13"/>
      <c r="K926" s="3"/>
      <c r="L926" s="17"/>
      <c r="N926" s="7"/>
      <c r="O926" s="18"/>
    </row>
    <row r="927" spans="3:15" ht="14" x14ac:dyDescent="0.2">
      <c r="C927" s="1"/>
      <c r="D927" s="22"/>
      <c r="F927" s="24"/>
      <c r="G927" s="14"/>
      <c r="H927" s="15"/>
      <c r="I927" s="13"/>
      <c r="K927" s="3"/>
      <c r="L927" s="17"/>
      <c r="N927" s="7"/>
      <c r="O927" s="18"/>
    </row>
    <row r="928" spans="3:15" ht="14" x14ac:dyDescent="0.2">
      <c r="C928" s="1"/>
      <c r="D928" s="22"/>
      <c r="F928" s="24"/>
      <c r="G928" s="14"/>
      <c r="H928" s="15"/>
      <c r="I928" s="13"/>
      <c r="K928" s="3"/>
      <c r="L928" s="17"/>
      <c r="N928" s="7"/>
      <c r="O928" s="18"/>
    </row>
    <row r="929" spans="3:15" ht="14" x14ac:dyDescent="0.2">
      <c r="C929" s="1"/>
      <c r="D929" s="22"/>
      <c r="F929" s="24"/>
      <c r="G929" s="14"/>
      <c r="H929" s="15"/>
      <c r="I929" s="13"/>
      <c r="K929" s="3"/>
      <c r="L929" s="17"/>
      <c r="N929" s="7"/>
      <c r="O929" s="18"/>
    </row>
    <row r="930" spans="3:15" ht="14" x14ac:dyDescent="0.2">
      <c r="C930" s="1"/>
      <c r="D930" s="22"/>
      <c r="F930" s="24"/>
      <c r="G930" s="14"/>
      <c r="H930" s="15"/>
      <c r="I930" s="13"/>
      <c r="K930" s="3"/>
      <c r="L930" s="17"/>
      <c r="N930" s="7"/>
      <c r="O930" s="18"/>
    </row>
    <row r="931" spans="3:15" ht="14" x14ac:dyDescent="0.2">
      <c r="C931" s="1"/>
      <c r="D931" s="22"/>
      <c r="F931" s="24"/>
      <c r="G931" s="14"/>
      <c r="H931" s="15"/>
      <c r="I931" s="13"/>
      <c r="K931" s="3"/>
      <c r="L931" s="17"/>
      <c r="N931" s="7"/>
      <c r="O931" s="18"/>
    </row>
    <row r="932" spans="3:15" ht="14" x14ac:dyDescent="0.2">
      <c r="C932" s="1"/>
      <c r="D932" s="22"/>
      <c r="F932" s="24"/>
      <c r="G932" s="14"/>
      <c r="H932" s="15"/>
      <c r="I932" s="13"/>
      <c r="K932" s="3"/>
      <c r="L932" s="17"/>
      <c r="N932" s="7"/>
      <c r="O932" s="18"/>
    </row>
    <row r="933" spans="3:15" ht="14" x14ac:dyDescent="0.2">
      <c r="C933" s="1"/>
      <c r="D933" s="22"/>
      <c r="F933" s="24"/>
      <c r="G933" s="14"/>
      <c r="H933" s="15"/>
      <c r="I933" s="13"/>
      <c r="K933" s="3"/>
      <c r="L933" s="17"/>
      <c r="N933" s="7"/>
      <c r="O933" s="18"/>
    </row>
    <row r="934" spans="3:15" ht="14" x14ac:dyDescent="0.2">
      <c r="C934" s="1"/>
      <c r="D934" s="22"/>
      <c r="F934" s="24"/>
      <c r="G934" s="14"/>
      <c r="H934" s="15"/>
      <c r="I934" s="13"/>
      <c r="K934" s="3"/>
      <c r="L934" s="17"/>
      <c r="N934" s="7"/>
      <c r="O934" s="18"/>
    </row>
    <row r="935" spans="3:15" ht="14" x14ac:dyDescent="0.2">
      <c r="C935" s="1"/>
      <c r="D935" s="22"/>
      <c r="F935" s="24"/>
      <c r="G935" s="14"/>
      <c r="H935" s="15"/>
      <c r="I935" s="13"/>
      <c r="K935" s="3"/>
      <c r="L935" s="17"/>
      <c r="N935" s="7"/>
      <c r="O935" s="18"/>
    </row>
    <row r="936" spans="3:15" ht="14" x14ac:dyDescent="0.2">
      <c r="C936" s="1"/>
      <c r="D936" s="22"/>
      <c r="F936" s="24"/>
      <c r="G936" s="14"/>
      <c r="H936" s="15"/>
      <c r="I936" s="13"/>
      <c r="K936" s="3"/>
      <c r="L936" s="17"/>
      <c r="N936" s="7"/>
      <c r="O936" s="18"/>
    </row>
    <row r="937" spans="3:15" ht="14" x14ac:dyDescent="0.2">
      <c r="C937" s="1"/>
      <c r="D937" s="22"/>
      <c r="F937" s="24"/>
      <c r="G937" s="14"/>
      <c r="H937" s="15"/>
      <c r="I937" s="13"/>
      <c r="K937" s="3"/>
      <c r="L937" s="17"/>
      <c r="N937" s="7"/>
      <c r="O937" s="18"/>
    </row>
    <row r="938" spans="3:15" ht="14" x14ac:dyDescent="0.2">
      <c r="C938" s="1"/>
      <c r="D938" s="22"/>
      <c r="F938" s="24"/>
      <c r="G938" s="14"/>
      <c r="H938" s="15"/>
      <c r="I938" s="13"/>
      <c r="K938" s="3"/>
      <c r="L938" s="17"/>
      <c r="N938" s="7"/>
      <c r="O938" s="18"/>
    </row>
    <row r="939" spans="3:15" ht="14" x14ac:dyDescent="0.2">
      <c r="C939" s="1"/>
      <c r="D939" s="22"/>
      <c r="F939" s="24"/>
      <c r="G939" s="14"/>
      <c r="H939" s="15"/>
      <c r="I939" s="13"/>
      <c r="K939" s="3"/>
      <c r="L939" s="17"/>
      <c r="N939" s="7"/>
      <c r="O939" s="18"/>
    </row>
    <row r="940" spans="3:15" ht="14" x14ac:dyDescent="0.2">
      <c r="C940" s="1"/>
      <c r="D940" s="22"/>
      <c r="F940" s="24"/>
      <c r="G940" s="14"/>
      <c r="H940" s="15"/>
      <c r="I940" s="13"/>
      <c r="K940" s="3"/>
      <c r="L940" s="17"/>
      <c r="N940" s="7"/>
      <c r="O940" s="18"/>
    </row>
    <row r="941" spans="3:15" ht="14" x14ac:dyDescent="0.2">
      <c r="C941" s="1"/>
      <c r="D941" s="22"/>
      <c r="F941" s="24"/>
      <c r="G941" s="14"/>
      <c r="H941" s="15"/>
      <c r="I941" s="13"/>
      <c r="K941" s="3"/>
      <c r="L941" s="17"/>
      <c r="N941" s="7"/>
      <c r="O941" s="18"/>
    </row>
    <row r="942" spans="3:15" ht="14" x14ac:dyDescent="0.2">
      <c r="C942" s="1"/>
      <c r="D942" s="22"/>
      <c r="F942" s="24"/>
      <c r="G942" s="14"/>
      <c r="H942" s="15"/>
      <c r="I942" s="13"/>
      <c r="K942" s="3"/>
      <c r="L942" s="17"/>
      <c r="N942" s="7"/>
      <c r="O942" s="18"/>
    </row>
    <row r="943" spans="3:15" ht="14" x14ac:dyDescent="0.2">
      <c r="C943" s="1"/>
      <c r="D943" s="22"/>
      <c r="F943" s="24"/>
      <c r="G943" s="14"/>
      <c r="H943" s="15"/>
      <c r="I943" s="13"/>
      <c r="K943" s="3"/>
      <c r="L943" s="17"/>
      <c r="N943" s="7"/>
      <c r="O943" s="18"/>
    </row>
    <row r="944" spans="3:15" ht="14" x14ac:dyDescent="0.2">
      <c r="C944" s="1"/>
      <c r="D944" s="22"/>
      <c r="F944" s="24"/>
      <c r="G944" s="14"/>
      <c r="H944" s="15"/>
      <c r="I944" s="13"/>
      <c r="K944" s="3"/>
      <c r="L944" s="17"/>
      <c r="N944" s="7"/>
      <c r="O944" s="18"/>
    </row>
    <row r="945" spans="3:15" ht="14" x14ac:dyDescent="0.2">
      <c r="C945" s="1"/>
      <c r="D945" s="22"/>
      <c r="F945" s="24"/>
      <c r="G945" s="14"/>
      <c r="H945" s="15"/>
      <c r="I945" s="13"/>
      <c r="K945" s="3"/>
      <c r="L945" s="17"/>
      <c r="N945" s="7"/>
      <c r="O945" s="18"/>
    </row>
    <row r="946" spans="3:15" ht="14" x14ac:dyDescent="0.2">
      <c r="C946" s="1"/>
      <c r="D946" s="22"/>
      <c r="F946" s="24"/>
      <c r="G946" s="14"/>
      <c r="H946" s="15"/>
      <c r="I946" s="13"/>
      <c r="K946" s="3"/>
      <c r="L946" s="17"/>
      <c r="N946" s="7"/>
      <c r="O946" s="18"/>
    </row>
    <row r="947" spans="3:15" ht="14" x14ac:dyDescent="0.2">
      <c r="C947" s="1"/>
      <c r="D947" s="22"/>
      <c r="F947" s="24"/>
      <c r="G947" s="14"/>
      <c r="H947" s="15"/>
      <c r="I947" s="13"/>
      <c r="K947" s="3"/>
      <c r="L947" s="17"/>
      <c r="N947" s="7"/>
      <c r="O947" s="18"/>
    </row>
    <row r="948" spans="3:15" ht="14" x14ac:dyDescent="0.2">
      <c r="C948" s="1"/>
      <c r="D948" s="22"/>
      <c r="F948" s="24"/>
      <c r="G948" s="14"/>
      <c r="H948" s="15"/>
      <c r="I948" s="13"/>
      <c r="K948" s="3"/>
      <c r="L948" s="17"/>
      <c r="N948" s="7"/>
      <c r="O948" s="18"/>
    </row>
    <row r="949" spans="3:15" ht="14" x14ac:dyDescent="0.2">
      <c r="C949" s="1"/>
      <c r="D949" s="22"/>
      <c r="F949" s="24"/>
      <c r="G949" s="14"/>
      <c r="H949" s="15"/>
      <c r="I949" s="13"/>
      <c r="K949" s="3"/>
      <c r="L949" s="17"/>
      <c r="N949" s="7"/>
      <c r="O949" s="18"/>
    </row>
    <row r="950" spans="3:15" ht="14" x14ac:dyDescent="0.2">
      <c r="C950" s="1"/>
      <c r="D950" s="22"/>
      <c r="F950" s="24"/>
      <c r="G950" s="14"/>
      <c r="H950" s="15"/>
      <c r="I950" s="13"/>
      <c r="K950" s="3"/>
      <c r="L950" s="17"/>
      <c r="N950" s="7"/>
      <c r="O950" s="18"/>
    </row>
    <row r="951" spans="3:15" ht="14" x14ac:dyDescent="0.2">
      <c r="C951" s="1"/>
      <c r="D951" s="22"/>
      <c r="F951" s="24"/>
      <c r="G951" s="14"/>
      <c r="H951" s="15"/>
      <c r="I951" s="13"/>
      <c r="K951" s="3"/>
      <c r="L951" s="17"/>
      <c r="N951" s="7"/>
      <c r="O951" s="18"/>
    </row>
    <row r="952" spans="3:15" ht="14" x14ac:dyDescent="0.2">
      <c r="C952" s="1"/>
      <c r="D952" s="22"/>
      <c r="F952" s="24"/>
      <c r="G952" s="14"/>
      <c r="H952" s="15"/>
      <c r="I952" s="13"/>
      <c r="K952" s="3"/>
      <c r="L952" s="17"/>
      <c r="N952" s="7"/>
      <c r="O952" s="18"/>
    </row>
    <row r="953" spans="3:15" ht="14" x14ac:dyDescent="0.2">
      <c r="C953" s="1"/>
      <c r="D953" s="22"/>
      <c r="F953" s="24"/>
      <c r="G953" s="14"/>
      <c r="H953" s="15"/>
      <c r="I953" s="13"/>
      <c r="K953" s="3"/>
      <c r="L953" s="17"/>
      <c r="N953" s="7"/>
      <c r="O953" s="18"/>
    </row>
    <row r="954" spans="3:15" ht="14" x14ac:dyDescent="0.2">
      <c r="C954" s="1"/>
      <c r="D954" s="22"/>
      <c r="F954" s="24"/>
      <c r="G954" s="14"/>
      <c r="H954" s="15"/>
      <c r="I954" s="13"/>
      <c r="K954" s="3"/>
      <c r="L954" s="17"/>
      <c r="N954" s="7"/>
      <c r="O954" s="18"/>
    </row>
    <row r="955" spans="3:15" ht="14" x14ac:dyDescent="0.2">
      <c r="C955" s="1"/>
      <c r="D955" s="22"/>
      <c r="F955" s="24"/>
      <c r="G955" s="14"/>
      <c r="H955" s="15"/>
      <c r="I955" s="13"/>
      <c r="K955" s="3"/>
      <c r="L955" s="17"/>
      <c r="N955" s="7"/>
      <c r="O955" s="18"/>
    </row>
    <row r="956" spans="3:15" ht="14" x14ac:dyDescent="0.2">
      <c r="C956" s="1"/>
      <c r="D956" s="22"/>
      <c r="F956" s="24"/>
      <c r="G956" s="14"/>
      <c r="H956" s="15"/>
      <c r="I956" s="13"/>
      <c r="K956" s="3"/>
      <c r="L956" s="17"/>
      <c r="N956" s="7"/>
      <c r="O956" s="18"/>
    </row>
    <row r="957" spans="3:15" ht="14" x14ac:dyDescent="0.2">
      <c r="C957" s="1"/>
      <c r="D957" s="22"/>
      <c r="F957" s="24"/>
      <c r="G957" s="14"/>
      <c r="H957" s="15"/>
      <c r="I957" s="13"/>
      <c r="K957" s="3"/>
      <c r="L957" s="17"/>
      <c r="N957" s="7"/>
      <c r="O957" s="18"/>
    </row>
    <row r="958" spans="3:15" ht="14" x14ac:dyDescent="0.2">
      <c r="C958" s="1"/>
      <c r="D958" s="22"/>
      <c r="F958" s="24"/>
      <c r="G958" s="14"/>
      <c r="H958" s="15"/>
      <c r="I958" s="13"/>
      <c r="K958" s="3"/>
      <c r="L958" s="17"/>
      <c r="N958" s="7"/>
      <c r="O958" s="18"/>
    </row>
    <row r="959" spans="3:15" ht="14" x14ac:dyDescent="0.2">
      <c r="C959" s="1"/>
      <c r="D959" s="22"/>
      <c r="F959" s="24"/>
      <c r="G959" s="14"/>
      <c r="H959" s="15"/>
      <c r="I959" s="13"/>
      <c r="K959" s="3"/>
      <c r="L959" s="17"/>
      <c r="N959" s="7"/>
      <c r="O959" s="18"/>
    </row>
    <row r="960" spans="3:15" ht="14" x14ac:dyDescent="0.2">
      <c r="C960" s="1"/>
      <c r="D960" s="22"/>
      <c r="F960" s="24"/>
      <c r="G960" s="14"/>
      <c r="H960" s="15"/>
      <c r="I960" s="13"/>
      <c r="K960" s="3"/>
      <c r="L960" s="17"/>
      <c r="N960" s="7"/>
      <c r="O960" s="18"/>
    </row>
    <row r="961" spans="3:15" ht="14" x14ac:dyDescent="0.2">
      <c r="C961" s="1"/>
      <c r="D961" s="22"/>
      <c r="F961" s="24"/>
      <c r="G961" s="14"/>
      <c r="H961" s="15"/>
      <c r="I961" s="13"/>
      <c r="K961" s="3"/>
      <c r="L961" s="17"/>
      <c r="N961" s="7"/>
      <c r="O961" s="18"/>
    </row>
    <row r="962" spans="3:15" ht="14" x14ac:dyDescent="0.2">
      <c r="C962" s="1"/>
      <c r="D962" s="22"/>
      <c r="F962" s="24"/>
      <c r="G962" s="14"/>
      <c r="H962" s="15"/>
      <c r="I962" s="13"/>
      <c r="K962" s="3"/>
      <c r="L962" s="17"/>
      <c r="N962" s="7"/>
      <c r="O962" s="18"/>
    </row>
    <row r="963" spans="3:15" ht="14" x14ac:dyDescent="0.2">
      <c r="C963" s="1"/>
      <c r="D963" s="22"/>
      <c r="F963" s="24"/>
      <c r="G963" s="14"/>
      <c r="H963" s="15"/>
      <c r="I963" s="13"/>
      <c r="K963" s="3"/>
      <c r="L963" s="17"/>
      <c r="N963" s="7"/>
      <c r="O963" s="18"/>
    </row>
    <row r="964" spans="3:15" ht="14" x14ac:dyDescent="0.2">
      <c r="C964" s="1"/>
      <c r="D964" s="22"/>
      <c r="F964" s="24"/>
      <c r="G964" s="14"/>
      <c r="H964" s="15"/>
      <c r="I964" s="13"/>
      <c r="K964" s="3"/>
      <c r="L964" s="17"/>
      <c r="N964" s="7"/>
      <c r="O964" s="18"/>
    </row>
    <row r="965" spans="3:15" ht="14" x14ac:dyDescent="0.2">
      <c r="C965" s="1"/>
      <c r="D965" s="22"/>
      <c r="F965" s="24"/>
      <c r="G965" s="14"/>
      <c r="H965" s="15"/>
      <c r="I965" s="13"/>
      <c r="K965" s="3"/>
      <c r="L965" s="17"/>
      <c r="N965" s="7"/>
      <c r="O965" s="18"/>
    </row>
    <row r="966" spans="3:15" ht="14" x14ac:dyDescent="0.2">
      <c r="C966" s="1"/>
      <c r="D966" s="22"/>
      <c r="F966" s="24"/>
      <c r="G966" s="14"/>
      <c r="H966" s="15"/>
      <c r="I966" s="13"/>
      <c r="K966" s="3"/>
      <c r="L966" s="17"/>
      <c r="N966" s="7"/>
      <c r="O966" s="18"/>
    </row>
    <row r="967" spans="3:15" ht="14" x14ac:dyDescent="0.2">
      <c r="C967" s="1"/>
      <c r="D967" s="22"/>
      <c r="F967" s="24"/>
      <c r="G967" s="14"/>
      <c r="H967" s="15"/>
      <c r="I967" s="13"/>
      <c r="K967" s="3"/>
      <c r="L967" s="17"/>
      <c r="N967" s="7"/>
      <c r="O967" s="18"/>
    </row>
    <row r="968" spans="3:15" ht="14" x14ac:dyDescent="0.2">
      <c r="C968" s="1"/>
      <c r="D968" s="22"/>
      <c r="F968" s="24"/>
      <c r="G968" s="14"/>
      <c r="H968" s="15"/>
      <c r="I968" s="13"/>
      <c r="K968" s="3"/>
      <c r="L968" s="17"/>
      <c r="N968" s="7"/>
      <c r="O968" s="18"/>
    </row>
    <row r="969" spans="3:15" ht="14" x14ac:dyDescent="0.2">
      <c r="C969" s="1"/>
      <c r="D969" s="22"/>
      <c r="F969" s="24"/>
      <c r="G969" s="14"/>
      <c r="H969" s="15"/>
      <c r="I969" s="13"/>
      <c r="K969" s="3"/>
      <c r="L969" s="17"/>
      <c r="N969" s="7"/>
      <c r="O969" s="18"/>
    </row>
    <row r="970" spans="3:15" ht="14" x14ac:dyDescent="0.2">
      <c r="C970" s="1"/>
      <c r="D970" s="22"/>
      <c r="F970" s="24"/>
      <c r="G970" s="14"/>
      <c r="H970" s="15"/>
      <c r="I970" s="13"/>
      <c r="K970" s="3"/>
      <c r="L970" s="17"/>
      <c r="N970" s="7"/>
      <c r="O970" s="18"/>
    </row>
    <row r="971" spans="3:15" ht="14" x14ac:dyDescent="0.2">
      <c r="C971" s="1"/>
      <c r="D971" s="22"/>
      <c r="F971" s="24"/>
      <c r="G971" s="14"/>
      <c r="H971" s="15"/>
      <c r="I971" s="13"/>
      <c r="K971" s="3"/>
      <c r="L971" s="17"/>
      <c r="N971" s="7"/>
      <c r="O971" s="18"/>
    </row>
    <row r="972" spans="3:15" ht="14" x14ac:dyDescent="0.2">
      <c r="C972" s="1"/>
      <c r="D972" s="22"/>
      <c r="F972" s="24"/>
      <c r="G972" s="14"/>
      <c r="H972" s="15"/>
      <c r="I972" s="13"/>
      <c r="K972" s="3"/>
      <c r="L972" s="17"/>
      <c r="N972" s="7"/>
      <c r="O972" s="18"/>
    </row>
    <row r="973" spans="3:15" ht="14" x14ac:dyDescent="0.2">
      <c r="C973" s="1"/>
      <c r="D973" s="22"/>
      <c r="F973" s="24"/>
      <c r="G973" s="14"/>
      <c r="H973" s="15"/>
      <c r="I973" s="13"/>
      <c r="K973" s="3"/>
      <c r="L973" s="17"/>
      <c r="N973" s="7"/>
      <c r="O973" s="18"/>
    </row>
    <row r="974" spans="3:15" ht="14" x14ac:dyDescent="0.2">
      <c r="C974" s="1"/>
      <c r="D974" s="22"/>
      <c r="F974" s="24"/>
      <c r="G974" s="14"/>
      <c r="H974" s="15"/>
      <c r="I974" s="13"/>
      <c r="K974" s="3"/>
      <c r="L974" s="17"/>
      <c r="N974" s="7"/>
      <c r="O974" s="18"/>
    </row>
    <row r="975" spans="3:15" ht="14" x14ac:dyDescent="0.2">
      <c r="C975" s="1"/>
      <c r="D975" s="22"/>
      <c r="F975" s="24"/>
      <c r="G975" s="14"/>
      <c r="H975" s="15"/>
      <c r="I975" s="13"/>
      <c r="K975" s="3"/>
      <c r="L975" s="17"/>
      <c r="N975" s="7"/>
      <c r="O975" s="18"/>
    </row>
    <row r="976" spans="3:15" ht="14" x14ac:dyDescent="0.2">
      <c r="C976" s="1"/>
      <c r="D976" s="22"/>
      <c r="F976" s="24"/>
      <c r="G976" s="14"/>
      <c r="H976" s="15"/>
      <c r="I976" s="13"/>
      <c r="K976" s="3"/>
      <c r="L976" s="17"/>
      <c r="N976" s="7"/>
      <c r="O976" s="18"/>
    </row>
    <row r="977" spans="3:15" ht="14" x14ac:dyDescent="0.2">
      <c r="C977" s="1"/>
      <c r="D977" s="22"/>
      <c r="F977" s="24"/>
      <c r="G977" s="14"/>
      <c r="H977" s="15"/>
      <c r="I977" s="13"/>
      <c r="K977" s="3"/>
      <c r="L977" s="17"/>
      <c r="N977" s="7"/>
      <c r="O977" s="18"/>
    </row>
    <row r="978" spans="3:15" ht="14" x14ac:dyDescent="0.2">
      <c r="C978" s="1"/>
      <c r="D978" s="22"/>
      <c r="F978" s="24"/>
      <c r="G978" s="14"/>
      <c r="H978" s="15"/>
      <c r="I978" s="13"/>
      <c r="K978" s="3"/>
      <c r="L978" s="17"/>
      <c r="N978" s="7"/>
      <c r="O978" s="18"/>
    </row>
    <row r="979" spans="3:15" ht="14" x14ac:dyDescent="0.2">
      <c r="C979" s="1"/>
      <c r="D979" s="22"/>
      <c r="F979" s="24"/>
      <c r="G979" s="14"/>
      <c r="H979" s="15"/>
      <c r="I979" s="13"/>
      <c r="K979" s="3"/>
      <c r="L979" s="17"/>
      <c r="N979" s="7"/>
      <c r="O979" s="18"/>
    </row>
    <row r="980" spans="3:15" ht="14" x14ac:dyDescent="0.2">
      <c r="C980" s="1"/>
      <c r="D980" s="22"/>
      <c r="F980" s="24"/>
      <c r="G980" s="14"/>
      <c r="H980" s="15"/>
      <c r="I980" s="13"/>
      <c r="K980" s="3"/>
      <c r="L980" s="17"/>
      <c r="N980" s="7"/>
      <c r="O980" s="18"/>
    </row>
    <row r="981" spans="3:15" ht="14" x14ac:dyDescent="0.2">
      <c r="C981" s="1"/>
      <c r="D981" s="22"/>
      <c r="F981" s="24"/>
      <c r="G981" s="14"/>
      <c r="H981" s="15"/>
      <c r="I981" s="13"/>
      <c r="K981" s="3"/>
      <c r="L981" s="17"/>
      <c r="N981" s="7"/>
      <c r="O981" s="18"/>
    </row>
    <row r="982" spans="3:15" ht="14" x14ac:dyDescent="0.2">
      <c r="C982" s="1"/>
      <c r="D982" s="22"/>
      <c r="F982" s="24"/>
      <c r="G982" s="14"/>
      <c r="H982" s="15"/>
      <c r="I982" s="13"/>
      <c r="K982" s="3"/>
      <c r="L982" s="17"/>
      <c r="N982" s="7"/>
      <c r="O982" s="18"/>
    </row>
    <row r="983" spans="3:15" ht="14" x14ac:dyDescent="0.2">
      <c r="C983" s="1"/>
      <c r="D983" s="22"/>
      <c r="F983" s="24"/>
      <c r="G983" s="14"/>
      <c r="H983" s="15"/>
      <c r="I983" s="13"/>
      <c r="K983" s="3"/>
      <c r="L983" s="17"/>
      <c r="N983" s="7"/>
      <c r="O983" s="18"/>
    </row>
    <row r="984" spans="3:15" ht="14" x14ac:dyDescent="0.2">
      <c r="C984" s="1"/>
      <c r="D984" s="22"/>
      <c r="F984" s="24"/>
      <c r="G984" s="14"/>
      <c r="H984" s="15"/>
      <c r="I984" s="13"/>
      <c r="K984" s="3"/>
      <c r="L984" s="17"/>
      <c r="N984" s="7"/>
      <c r="O984" s="18"/>
    </row>
    <row r="985" spans="3:15" ht="14" x14ac:dyDescent="0.2">
      <c r="C985" s="1"/>
      <c r="D985" s="22"/>
      <c r="F985" s="24"/>
      <c r="G985" s="14"/>
      <c r="H985" s="15"/>
      <c r="I985" s="13"/>
      <c r="K985" s="3"/>
      <c r="L985" s="17"/>
      <c r="N985" s="7"/>
      <c r="O985" s="18"/>
    </row>
    <row r="986" spans="3:15" ht="14" x14ac:dyDescent="0.2">
      <c r="C986" s="1"/>
      <c r="D986" s="22"/>
      <c r="F986" s="24"/>
      <c r="G986" s="14"/>
      <c r="H986" s="15"/>
      <c r="I986" s="13"/>
      <c r="K986" s="3"/>
      <c r="L986" s="17"/>
      <c r="N986" s="7"/>
      <c r="O986" s="18"/>
    </row>
    <row r="987" spans="3:15" ht="14" x14ac:dyDescent="0.2">
      <c r="C987" s="1"/>
      <c r="D987" s="22"/>
      <c r="F987" s="24"/>
      <c r="G987" s="14"/>
      <c r="H987" s="15"/>
      <c r="I987" s="13"/>
      <c r="K987" s="3"/>
      <c r="L987" s="17"/>
      <c r="N987" s="7"/>
      <c r="O987" s="18"/>
    </row>
    <row r="988" spans="3:15" ht="14" x14ac:dyDescent="0.2">
      <c r="C988" s="1"/>
      <c r="D988" s="22"/>
      <c r="F988" s="24"/>
      <c r="G988" s="14"/>
      <c r="H988" s="15"/>
      <c r="I988" s="13"/>
      <c r="K988" s="3"/>
      <c r="L988" s="17"/>
      <c r="N988" s="7"/>
      <c r="O988" s="18"/>
    </row>
    <row r="989" spans="3:15" ht="14" x14ac:dyDescent="0.2">
      <c r="C989" s="1"/>
      <c r="D989" s="22"/>
      <c r="F989" s="24"/>
      <c r="G989" s="14"/>
      <c r="H989" s="15"/>
      <c r="I989" s="13"/>
      <c r="K989" s="3"/>
      <c r="L989" s="17"/>
      <c r="N989" s="7"/>
      <c r="O989" s="18"/>
    </row>
    <row r="990" spans="3:15" ht="14" x14ac:dyDescent="0.2">
      <c r="C990" s="1"/>
      <c r="D990" s="22"/>
      <c r="F990" s="24"/>
      <c r="G990" s="14"/>
      <c r="H990" s="15"/>
      <c r="I990" s="13"/>
      <c r="K990" s="3"/>
      <c r="L990" s="17"/>
      <c r="N990" s="7"/>
      <c r="O990" s="18"/>
    </row>
  </sheetData>
  <autoFilter ref="A1:O990" xr:uid="{89076661-1739-5B4B-9620-597CE8556C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 Lin</dc:creator>
  <cp:lastModifiedBy>Len Lin</cp:lastModifiedBy>
  <dcterms:created xsi:type="dcterms:W3CDTF">2026-05-26T06:32:43Z</dcterms:created>
  <dcterms:modified xsi:type="dcterms:W3CDTF">2026-05-26T09:50:36Z</dcterms:modified>
</cp:coreProperties>
</file>