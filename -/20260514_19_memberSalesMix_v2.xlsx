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lenlin/Downloads/Dev/Antigravity/KioskMemberSalesMix_GC/"/>
    </mc:Choice>
  </mc:AlternateContent>
  <xr:revisionPtr revIDLastSave="0" documentId="13_ncr:1_{049B1DAB-BA29-7E46-BFA4-975D856E99DB}" xr6:coauthVersionLast="47" xr6:coauthVersionMax="47" xr10:uidLastSave="{00000000-0000-0000-0000-000000000000}"/>
  <bookViews>
    <workbookView xWindow="-3740" yWindow="-21000" windowWidth="38400" windowHeight="21000" xr2:uid="{63A21131-3F06-1942-BC00-E32921F037C9}"/>
  </bookViews>
  <sheets>
    <sheet name="v1" sheetId="2" r:id="rId1"/>
  </sheets>
  <definedNames>
    <definedName name="_xlnm._FilterDatabase" localSheetId="0" hidden="1">'v1'!$A$1:$AG$990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G198" i="2" l="1"/>
  <c r="AD198" i="2"/>
  <c r="AA198" i="2"/>
  <c r="W198" i="2"/>
  <c r="X198" i="2" s="1"/>
  <c r="AG197" i="2"/>
  <c r="AD197" i="2"/>
  <c r="AA197" i="2"/>
  <c r="W197" i="2"/>
  <c r="X197" i="2" s="1"/>
  <c r="AG196" i="2"/>
  <c r="AD196" i="2"/>
  <c r="AA196" i="2"/>
  <c r="W196" i="2"/>
  <c r="X196" i="2" s="1"/>
  <c r="AG195" i="2"/>
  <c r="AD195" i="2"/>
  <c r="AA195" i="2"/>
  <c r="W195" i="2"/>
  <c r="X195" i="2" s="1"/>
  <c r="AG194" i="2"/>
  <c r="AD194" i="2"/>
  <c r="AA194" i="2"/>
  <c r="W194" i="2"/>
  <c r="X194" i="2" s="1"/>
  <c r="AG193" i="2"/>
  <c r="AD193" i="2"/>
  <c r="AA193" i="2"/>
  <c r="W193" i="2"/>
  <c r="X193" i="2" s="1"/>
  <c r="AG192" i="2"/>
  <c r="AD192" i="2"/>
  <c r="AA192" i="2"/>
  <c r="W192" i="2"/>
  <c r="X192" i="2" s="1"/>
  <c r="AG191" i="2"/>
  <c r="AD191" i="2"/>
  <c r="AA191" i="2"/>
  <c r="W191" i="2"/>
  <c r="X191" i="2" s="1"/>
  <c r="AG190" i="2"/>
  <c r="AD190" i="2"/>
  <c r="AA190" i="2"/>
  <c r="W190" i="2"/>
  <c r="X190" i="2" s="1"/>
  <c r="AG189" i="2"/>
  <c r="AD189" i="2"/>
  <c r="AA189" i="2"/>
  <c r="W189" i="2"/>
  <c r="X189" i="2" s="1"/>
  <c r="AG188" i="2"/>
  <c r="AD188" i="2"/>
  <c r="AA188" i="2"/>
  <c r="W188" i="2"/>
  <c r="X188" i="2" s="1"/>
  <c r="AG187" i="2"/>
  <c r="AD187" i="2"/>
  <c r="AA187" i="2"/>
  <c r="W187" i="2"/>
  <c r="X187" i="2" s="1"/>
  <c r="AG186" i="2"/>
  <c r="AD186" i="2"/>
  <c r="AA186" i="2"/>
  <c r="W186" i="2"/>
  <c r="X186" i="2" s="1"/>
  <c r="AG185" i="2"/>
  <c r="AD185" i="2"/>
  <c r="AA185" i="2"/>
  <c r="W185" i="2"/>
  <c r="X185" i="2" s="1"/>
  <c r="AG184" i="2"/>
  <c r="AD184" i="2"/>
  <c r="AA184" i="2"/>
  <c r="W184" i="2"/>
  <c r="X184" i="2" s="1"/>
  <c r="AG183" i="2"/>
  <c r="AD183" i="2"/>
  <c r="AA183" i="2"/>
  <c r="W183" i="2"/>
  <c r="X183" i="2" s="1"/>
  <c r="AG182" i="2"/>
  <c r="AD182" i="2"/>
  <c r="AA182" i="2"/>
  <c r="W182" i="2"/>
  <c r="X182" i="2" s="1"/>
  <c r="AG181" i="2"/>
  <c r="AD181" i="2"/>
  <c r="AA181" i="2"/>
  <c r="W181" i="2"/>
  <c r="X181" i="2" s="1"/>
  <c r="AG180" i="2"/>
  <c r="AD180" i="2"/>
  <c r="AA180" i="2"/>
  <c r="W180" i="2"/>
  <c r="X180" i="2" s="1"/>
  <c r="AG179" i="2"/>
  <c r="AD179" i="2"/>
  <c r="AA179" i="2"/>
  <c r="W179" i="2"/>
  <c r="X179" i="2" s="1"/>
  <c r="AG178" i="2"/>
  <c r="AD178" i="2"/>
  <c r="AA178" i="2"/>
  <c r="W178" i="2"/>
  <c r="X178" i="2" s="1"/>
  <c r="AG177" i="2"/>
  <c r="AD177" i="2"/>
  <c r="AA177" i="2"/>
  <c r="W177" i="2"/>
  <c r="X177" i="2" s="1"/>
  <c r="AG176" i="2"/>
  <c r="AD176" i="2"/>
  <c r="AA176" i="2"/>
  <c r="W176" i="2"/>
  <c r="X176" i="2" s="1"/>
  <c r="AG175" i="2"/>
  <c r="AD175" i="2"/>
  <c r="AA175" i="2"/>
  <c r="W175" i="2"/>
  <c r="X175" i="2" s="1"/>
  <c r="AG174" i="2"/>
  <c r="AD174" i="2"/>
  <c r="AA174" i="2"/>
  <c r="W174" i="2"/>
  <c r="X174" i="2" s="1"/>
  <c r="AG173" i="2"/>
  <c r="AD173" i="2"/>
  <c r="AA173" i="2"/>
  <c r="W173" i="2"/>
  <c r="X173" i="2" s="1"/>
  <c r="AG172" i="2"/>
  <c r="AD172" i="2"/>
  <c r="AA172" i="2"/>
  <c r="W172" i="2"/>
  <c r="X172" i="2" s="1"/>
  <c r="AG171" i="2"/>
  <c r="AD171" i="2"/>
  <c r="AA171" i="2"/>
  <c r="W171" i="2"/>
  <c r="X171" i="2" s="1"/>
  <c r="AG170" i="2"/>
  <c r="AD170" i="2"/>
  <c r="AA170" i="2"/>
  <c r="W170" i="2"/>
  <c r="X170" i="2" s="1"/>
  <c r="AG169" i="2"/>
  <c r="AD169" i="2"/>
  <c r="AA169" i="2"/>
  <c r="W169" i="2"/>
  <c r="X169" i="2" s="1"/>
  <c r="AG168" i="2"/>
  <c r="AD168" i="2"/>
  <c r="AA168" i="2"/>
  <c r="W168" i="2"/>
  <c r="X168" i="2" s="1"/>
  <c r="AG167" i="2"/>
  <c r="AD167" i="2"/>
  <c r="AA167" i="2"/>
  <c r="W167" i="2"/>
  <c r="X167" i="2" s="1"/>
  <c r="AG166" i="2"/>
  <c r="AD166" i="2"/>
  <c r="AA166" i="2"/>
  <c r="W166" i="2"/>
  <c r="X166" i="2" s="1"/>
  <c r="AG165" i="2"/>
  <c r="AD165" i="2"/>
  <c r="AA165" i="2"/>
  <c r="W165" i="2"/>
  <c r="X165" i="2" s="1"/>
  <c r="AG164" i="2"/>
  <c r="AD164" i="2"/>
  <c r="AA164" i="2"/>
  <c r="W164" i="2"/>
  <c r="X164" i="2" s="1"/>
  <c r="AG163" i="2"/>
  <c r="AD163" i="2"/>
  <c r="AA163" i="2"/>
  <c r="W163" i="2"/>
  <c r="X163" i="2" s="1"/>
  <c r="AG162" i="2"/>
  <c r="AD162" i="2"/>
  <c r="AA162" i="2"/>
  <c r="W162" i="2"/>
  <c r="X162" i="2" s="1"/>
  <c r="AG161" i="2"/>
  <c r="AD161" i="2"/>
  <c r="AA161" i="2"/>
  <c r="W161" i="2"/>
  <c r="X161" i="2" s="1"/>
  <c r="AG160" i="2"/>
  <c r="AD160" i="2"/>
  <c r="AA160" i="2"/>
  <c r="W160" i="2"/>
  <c r="X160" i="2" s="1"/>
  <c r="AG159" i="2"/>
  <c r="AD159" i="2"/>
  <c r="AA159" i="2"/>
  <c r="W159" i="2"/>
  <c r="X159" i="2" s="1"/>
  <c r="AG158" i="2"/>
  <c r="AD158" i="2"/>
  <c r="AA158" i="2"/>
  <c r="W158" i="2"/>
  <c r="X158" i="2" s="1"/>
  <c r="AG157" i="2"/>
  <c r="AD157" i="2"/>
  <c r="AA157" i="2"/>
  <c r="W157" i="2"/>
  <c r="X157" i="2" s="1"/>
  <c r="AG156" i="2"/>
  <c r="AD156" i="2"/>
  <c r="AA156" i="2"/>
  <c r="W156" i="2"/>
  <c r="X156" i="2" s="1"/>
  <c r="AG155" i="2"/>
  <c r="AD155" i="2"/>
  <c r="AA155" i="2"/>
  <c r="W155" i="2"/>
  <c r="X155" i="2" s="1"/>
  <c r="AG154" i="2"/>
  <c r="AD154" i="2"/>
  <c r="AA154" i="2"/>
  <c r="W154" i="2"/>
  <c r="X154" i="2" s="1"/>
  <c r="AG153" i="2"/>
  <c r="AD153" i="2"/>
  <c r="AA153" i="2"/>
  <c r="W153" i="2"/>
  <c r="X153" i="2" s="1"/>
  <c r="AG152" i="2"/>
  <c r="AD152" i="2"/>
  <c r="AA152" i="2"/>
  <c r="W152" i="2"/>
  <c r="X152" i="2" s="1"/>
  <c r="AG151" i="2"/>
  <c r="AD151" i="2"/>
  <c r="AA151" i="2"/>
  <c r="W151" i="2"/>
  <c r="X151" i="2" s="1"/>
  <c r="AG150" i="2"/>
  <c r="AD150" i="2"/>
  <c r="AA150" i="2"/>
  <c r="W150" i="2"/>
  <c r="X150" i="2" s="1"/>
  <c r="AG149" i="2"/>
  <c r="AD149" i="2"/>
  <c r="AA149" i="2"/>
  <c r="W149" i="2"/>
  <c r="X149" i="2" s="1"/>
  <c r="AG148" i="2"/>
  <c r="AD148" i="2"/>
  <c r="AA148" i="2"/>
  <c r="W148" i="2"/>
  <c r="X148" i="2" s="1"/>
  <c r="AG147" i="2"/>
  <c r="AD147" i="2"/>
  <c r="AA147" i="2"/>
  <c r="W147" i="2"/>
  <c r="X147" i="2" s="1"/>
  <c r="AG146" i="2"/>
  <c r="AD146" i="2"/>
  <c r="AA146" i="2"/>
  <c r="W146" i="2"/>
  <c r="X146" i="2" s="1"/>
  <c r="AG145" i="2"/>
  <c r="AD145" i="2"/>
  <c r="AA145" i="2"/>
  <c r="W145" i="2"/>
  <c r="X145" i="2" s="1"/>
  <c r="AG144" i="2"/>
  <c r="AD144" i="2"/>
  <c r="AA144" i="2"/>
  <c r="W144" i="2"/>
  <c r="X144" i="2" s="1"/>
  <c r="AG143" i="2"/>
  <c r="AD143" i="2"/>
  <c r="AA143" i="2"/>
  <c r="W143" i="2"/>
  <c r="X143" i="2" s="1"/>
  <c r="AG142" i="2"/>
  <c r="AD142" i="2"/>
  <c r="AA142" i="2"/>
  <c r="W142" i="2"/>
  <c r="X142" i="2" s="1"/>
  <c r="AG141" i="2"/>
  <c r="AD141" i="2"/>
  <c r="AA141" i="2"/>
  <c r="W141" i="2"/>
  <c r="X141" i="2" s="1"/>
  <c r="AG140" i="2"/>
  <c r="AD140" i="2"/>
  <c r="AA140" i="2"/>
  <c r="W140" i="2"/>
  <c r="X140" i="2" s="1"/>
  <c r="AG139" i="2"/>
  <c r="AD139" i="2"/>
  <c r="AA139" i="2"/>
  <c r="W139" i="2"/>
  <c r="X139" i="2" s="1"/>
  <c r="AG138" i="2"/>
  <c r="AD138" i="2"/>
  <c r="AA138" i="2"/>
  <c r="W138" i="2"/>
  <c r="X138" i="2" s="1"/>
  <c r="AG137" i="2"/>
  <c r="AD137" i="2"/>
  <c r="AA137" i="2"/>
  <c r="W137" i="2"/>
  <c r="X137" i="2" s="1"/>
  <c r="AG136" i="2"/>
  <c r="AD136" i="2"/>
  <c r="AA136" i="2"/>
  <c r="W136" i="2"/>
  <c r="X136" i="2" s="1"/>
  <c r="AG135" i="2"/>
  <c r="AD135" i="2"/>
  <c r="AA135" i="2"/>
  <c r="W135" i="2"/>
  <c r="X135" i="2" s="1"/>
  <c r="AG134" i="2"/>
  <c r="AD134" i="2"/>
  <c r="AA134" i="2"/>
  <c r="W134" i="2"/>
  <c r="X134" i="2" s="1"/>
  <c r="AG133" i="2"/>
  <c r="AD133" i="2"/>
  <c r="AA133" i="2"/>
  <c r="W133" i="2"/>
  <c r="X133" i="2" s="1"/>
  <c r="AG132" i="2"/>
  <c r="AD132" i="2"/>
  <c r="AA132" i="2"/>
  <c r="W132" i="2"/>
  <c r="X132" i="2" s="1"/>
  <c r="AG131" i="2"/>
  <c r="AD131" i="2"/>
  <c r="AA131" i="2"/>
  <c r="W131" i="2"/>
  <c r="X131" i="2" s="1"/>
  <c r="AG130" i="2"/>
  <c r="AD130" i="2"/>
  <c r="AA130" i="2"/>
  <c r="W130" i="2"/>
  <c r="X130" i="2" s="1"/>
  <c r="AG129" i="2"/>
  <c r="AD129" i="2"/>
  <c r="AA129" i="2"/>
  <c r="W129" i="2"/>
  <c r="X129" i="2" s="1"/>
  <c r="AG128" i="2"/>
  <c r="AD128" i="2"/>
  <c r="AA128" i="2"/>
  <c r="W128" i="2"/>
  <c r="X128" i="2" s="1"/>
  <c r="AG127" i="2"/>
  <c r="AD127" i="2"/>
  <c r="AA127" i="2"/>
  <c r="W127" i="2"/>
  <c r="X127" i="2" s="1"/>
  <c r="AG126" i="2"/>
  <c r="AD126" i="2"/>
  <c r="AA126" i="2"/>
  <c r="W126" i="2"/>
  <c r="X126" i="2" s="1"/>
  <c r="AG125" i="2"/>
  <c r="AD125" i="2"/>
  <c r="AA125" i="2"/>
  <c r="W125" i="2"/>
  <c r="X125" i="2" s="1"/>
  <c r="AG124" i="2"/>
  <c r="AD124" i="2"/>
  <c r="AA124" i="2"/>
  <c r="W124" i="2"/>
  <c r="X124" i="2" s="1"/>
  <c r="AG123" i="2"/>
  <c r="AD123" i="2"/>
  <c r="AA123" i="2"/>
  <c r="W123" i="2"/>
  <c r="X123" i="2" s="1"/>
  <c r="AG122" i="2"/>
  <c r="AD122" i="2"/>
  <c r="AA122" i="2"/>
  <c r="W122" i="2"/>
  <c r="X122" i="2" s="1"/>
  <c r="AG121" i="2"/>
  <c r="AD121" i="2"/>
  <c r="AA121" i="2"/>
  <c r="W121" i="2"/>
  <c r="X121" i="2" s="1"/>
  <c r="AG120" i="2"/>
  <c r="AD120" i="2"/>
  <c r="AA120" i="2"/>
  <c r="W120" i="2"/>
  <c r="X120" i="2" s="1"/>
  <c r="AG119" i="2"/>
  <c r="AD119" i="2"/>
  <c r="AA119" i="2"/>
  <c r="W119" i="2"/>
  <c r="X119" i="2" s="1"/>
  <c r="AG118" i="2"/>
  <c r="AD118" i="2"/>
  <c r="AA118" i="2"/>
  <c r="W118" i="2"/>
  <c r="X118" i="2" s="1"/>
  <c r="AG117" i="2"/>
  <c r="AD117" i="2"/>
  <c r="AA117" i="2"/>
  <c r="W117" i="2"/>
  <c r="X117" i="2" s="1"/>
  <c r="AG116" i="2"/>
  <c r="AD116" i="2"/>
  <c r="AA116" i="2"/>
  <c r="W116" i="2"/>
  <c r="X116" i="2" s="1"/>
  <c r="AG115" i="2"/>
  <c r="AD115" i="2"/>
  <c r="AA115" i="2"/>
  <c r="W115" i="2"/>
  <c r="X115" i="2" s="1"/>
  <c r="AG114" i="2"/>
  <c r="AD114" i="2"/>
  <c r="AA114" i="2"/>
  <c r="W114" i="2"/>
  <c r="X114" i="2" s="1"/>
  <c r="AG113" i="2"/>
  <c r="AD113" i="2"/>
  <c r="AA113" i="2"/>
  <c r="W113" i="2"/>
  <c r="X113" i="2" s="1"/>
  <c r="AG112" i="2"/>
  <c r="AD112" i="2"/>
  <c r="AA112" i="2"/>
  <c r="W112" i="2"/>
  <c r="X112" i="2" s="1"/>
  <c r="AG111" i="2"/>
  <c r="AD111" i="2"/>
  <c r="AA111" i="2"/>
  <c r="W111" i="2"/>
  <c r="X111" i="2" s="1"/>
  <c r="AG110" i="2"/>
  <c r="AD110" i="2"/>
  <c r="AA110" i="2"/>
  <c r="W110" i="2"/>
  <c r="X110" i="2" s="1"/>
  <c r="AG109" i="2"/>
  <c r="AD109" i="2"/>
  <c r="AA109" i="2"/>
  <c r="W109" i="2"/>
  <c r="X109" i="2" s="1"/>
  <c r="AG108" i="2"/>
  <c r="AD108" i="2"/>
  <c r="AA108" i="2"/>
  <c r="W108" i="2"/>
  <c r="X108" i="2" s="1"/>
  <c r="AG107" i="2"/>
  <c r="AD107" i="2"/>
  <c r="AA107" i="2"/>
  <c r="W107" i="2"/>
  <c r="X107" i="2" s="1"/>
  <c r="AG106" i="2"/>
  <c r="AD106" i="2"/>
  <c r="AA106" i="2"/>
  <c r="W106" i="2"/>
  <c r="X106" i="2" s="1"/>
  <c r="AG105" i="2"/>
  <c r="AD105" i="2"/>
  <c r="AA105" i="2"/>
  <c r="W105" i="2"/>
  <c r="X105" i="2" s="1"/>
  <c r="AG104" i="2"/>
  <c r="AD104" i="2"/>
  <c r="AA104" i="2"/>
  <c r="W104" i="2"/>
  <c r="X104" i="2" s="1"/>
  <c r="AG103" i="2"/>
  <c r="AD103" i="2"/>
  <c r="AA103" i="2"/>
  <c r="W103" i="2"/>
  <c r="X103" i="2" s="1"/>
  <c r="AG102" i="2"/>
  <c r="AD102" i="2"/>
  <c r="AA102" i="2"/>
  <c r="W102" i="2"/>
  <c r="X102" i="2" s="1"/>
  <c r="AG101" i="2"/>
  <c r="AD101" i="2"/>
  <c r="AA101" i="2"/>
  <c r="W101" i="2"/>
  <c r="X101" i="2" s="1"/>
  <c r="AG100" i="2"/>
  <c r="AD100" i="2"/>
  <c r="AA100" i="2"/>
  <c r="W100" i="2"/>
  <c r="X100" i="2" s="1"/>
  <c r="AG99" i="2"/>
  <c r="AD99" i="2"/>
  <c r="AA99" i="2"/>
  <c r="W99" i="2"/>
  <c r="X99" i="2" s="1"/>
  <c r="AG98" i="2"/>
  <c r="AD98" i="2"/>
  <c r="AA98" i="2"/>
  <c r="W98" i="2"/>
  <c r="X98" i="2" s="1"/>
  <c r="AG97" i="2"/>
  <c r="AD97" i="2"/>
  <c r="AA97" i="2"/>
  <c r="W97" i="2"/>
  <c r="X97" i="2" s="1"/>
  <c r="AG96" i="2"/>
  <c r="AD96" i="2"/>
  <c r="AA96" i="2"/>
  <c r="W96" i="2"/>
  <c r="X96" i="2" s="1"/>
  <c r="AG95" i="2"/>
  <c r="AD95" i="2"/>
  <c r="AA95" i="2"/>
  <c r="W95" i="2"/>
  <c r="X95" i="2" s="1"/>
  <c r="AG94" i="2"/>
  <c r="AD94" i="2"/>
  <c r="AA94" i="2"/>
  <c r="W94" i="2"/>
  <c r="X94" i="2" s="1"/>
  <c r="AG93" i="2"/>
  <c r="AD93" i="2"/>
  <c r="AA93" i="2"/>
  <c r="W93" i="2"/>
  <c r="X93" i="2" s="1"/>
  <c r="AG92" i="2"/>
  <c r="AD92" i="2"/>
  <c r="AA92" i="2"/>
  <c r="W92" i="2"/>
  <c r="X92" i="2" s="1"/>
  <c r="AG91" i="2"/>
  <c r="AD91" i="2"/>
  <c r="AA91" i="2"/>
  <c r="W91" i="2"/>
  <c r="X91" i="2" s="1"/>
  <c r="AG90" i="2"/>
  <c r="AD90" i="2"/>
  <c r="AA90" i="2"/>
  <c r="W90" i="2"/>
  <c r="X90" i="2" s="1"/>
  <c r="AG89" i="2"/>
  <c r="AD89" i="2"/>
  <c r="AA89" i="2"/>
  <c r="W89" i="2"/>
  <c r="X89" i="2" s="1"/>
  <c r="AG88" i="2"/>
  <c r="AD88" i="2"/>
  <c r="AA88" i="2"/>
  <c r="W88" i="2"/>
  <c r="X88" i="2" s="1"/>
  <c r="AG87" i="2"/>
  <c r="AD87" i="2"/>
  <c r="AA87" i="2"/>
  <c r="W87" i="2"/>
  <c r="X87" i="2" s="1"/>
  <c r="AG86" i="2"/>
  <c r="AD86" i="2"/>
  <c r="AA86" i="2"/>
  <c r="W86" i="2"/>
  <c r="X86" i="2" s="1"/>
  <c r="AG85" i="2"/>
  <c r="AD85" i="2"/>
  <c r="AA85" i="2"/>
  <c r="W85" i="2"/>
  <c r="X85" i="2" s="1"/>
  <c r="AG84" i="2"/>
  <c r="AD84" i="2"/>
  <c r="AA84" i="2"/>
  <c r="W84" i="2"/>
  <c r="X84" i="2" s="1"/>
  <c r="AG83" i="2"/>
  <c r="AD83" i="2"/>
  <c r="AA83" i="2"/>
  <c r="W83" i="2"/>
  <c r="X83" i="2" s="1"/>
  <c r="AG82" i="2"/>
  <c r="AD82" i="2"/>
  <c r="AA82" i="2"/>
  <c r="W82" i="2"/>
  <c r="X82" i="2" s="1"/>
  <c r="AG81" i="2"/>
  <c r="AD81" i="2"/>
  <c r="AA81" i="2"/>
  <c r="W81" i="2"/>
  <c r="X81" i="2" s="1"/>
  <c r="AG80" i="2"/>
  <c r="AD80" i="2"/>
  <c r="AA80" i="2"/>
  <c r="W80" i="2"/>
  <c r="X80" i="2" s="1"/>
  <c r="AG79" i="2"/>
  <c r="AD79" i="2"/>
  <c r="AA79" i="2"/>
  <c r="W79" i="2"/>
  <c r="X79" i="2" s="1"/>
  <c r="AG78" i="2"/>
  <c r="AD78" i="2"/>
  <c r="AA78" i="2"/>
  <c r="W78" i="2"/>
  <c r="X78" i="2" s="1"/>
  <c r="AG77" i="2"/>
  <c r="AD77" i="2"/>
  <c r="AA77" i="2"/>
  <c r="W77" i="2"/>
  <c r="X77" i="2" s="1"/>
  <c r="AG76" i="2"/>
  <c r="AD76" i="2"/>
  <c r="AA76" i="2"/>
  <c r="W76" i="2"/>
  <c r="X76" i="2" s="1"/>
  <c r="AG75" i="2"/>
  <c r="AD75" i="2"/>
  <c r="AA75" i="2"/>
  <c r="W75" i="2"/>
  <c r="X75" i="2" s="1"/>
  <c r="AG74" i="2"/>
  <c r="AD74" i="2"/>
  <c r="AA74" i="2"/>
  <c r="W74" i="2"/>
  <c r="X74" i="2" s="1"/>
  <c r="AG73" i="2"/>
  <c r="AD73" i="2"/>
  <c r="AA73" i="2"/>
  <c r="W73" i="2"/>
  <c r="X73" i="2" s="1"/>
  <c r="AG72" i="2"/>
  <c r="AD72" i="2"/>
  <c r="AA72" i="2"/>
  <c r="W72" i="2"/>
  <c r="X72" i="2" s="1"/>
  <c r="AG71" i="2"/>
  <c r="AD71" i="2"/>
  <c r="AA71" i="2"/>
  <c r="W71" i="2"/>
  <c r="X71" i="2" s="1"/>
  <c r="AG70" i="2"/>
  <c r="AD70" i="2"/>
  <c r="AA70" i="2"/>
  <c r="W70" i="2"/>
  <c r="X70" i="2" s="1"/>
  <c r="AG69" i="2"/>
  <c r="AD69" i="2"/>
  <c r="AA69" i="2"/>
  <c r="W69" i="2"/>
  <c r="X69" i="2" s="1"/>
  <c r="AG68" i="2"/>
  <c r="AD68" i="2"/>
  <c r="AA68" i="2"/>
  <c r="W68" i="2"/>
  <c r="X68" i="2" s="1"/>
  <c r="AG67" i="2"/>
  <c r="AD67" i="2"/>
  <c r="AA67" i="2"/>
  <c r="W67" i="2"/>
  <c r="X67" i="2" s="1"/>
  <c r="AG66" i="2"/>
  <c r="AD66" i="2"/>
  <c r="AA66" i="2"/>
  <c r="W66" i="2"/>
  <c r="X66" i="2" s="1"/>
  <c r="AG65" i="2"/>
  <c r="AD65" i="2"/>
  <c r="AA65" i="2"/>
  <c r="W65" i="2"/>
  <c r="X65" i="2" s="1"/>
  <c r="AG64" i="2"/>
  <c r="AD64" i="2"/>
  <c r="AA64" i="2"/>
  <c r="W64" i="2"/>
  <c r="X64" i="2" s="1"/>
  <c r="AG63" i="2"/>
  <c r="AD63" i="2"/>
  <c r="AA63" i="2"/>
  <c r="W63" i="2"/>
  <c r="X63" i="2" s="1"/>
  <c r="AG62" i="2"/>
  <c r="AD62" i="2"/>
  <c r="AA62" i="2"/>
  <c r="W62" i="2"/>
  <c r="X62" i="2" s="1"/>
  <c r="AG61" i="2"/>
  <c r="AD61" i="2"/>
  <c r="AA61" i="2"/>
  <c r="W61" i="2"/>
  <c r="X61" i="2" s="1"/>
  <c r="AG60" i="2"/>
  <c r="AD60" i="2"/>
  <c r="AA60" i="2"/>
  <c r="W60" i="2"/>
  <c r="X60" i="2" s="1"/>
  <c r="AG59" i="2"/>
  <c r="AD59" i="2"/>
  <c r="AA59" i="2"/>
  <c r="W59" i="2"/>
  <c r="X59" i="2" s="1"/>
  <c r="AG58" i="2"/>
  <c r="AD58" i="2"/>
  <c r="AA58" i="2"/>
  <c r="W58" i="2"/>
  <c r="X58" i="2" s="1"/>
  <c r="AG57" i="2"/>
  <c r="AD57" i="2"/>
  <c r="AA57" i="2"/>
  <c r="W57" i="2"/>
  <c r="X57" i="2" s="1"/>
  <c r="AG56" i="2"/>
  <c r="AD56" i="2"/>
  <c r="AA56" i="2"/>
  <c r="W56" i="2"/>
  <c r="X56" i="2" s="1"/>
  <c r="AG55" i="2"/>
  <c r="AD55" i="2"/>
  <c r="AA55" i="2"/>
  <c r="W55" i="2"/>
  <c r="X55" i="2" s="1"/>
  <c r="AG54" i="2"/>
  <c r="AD54" i="2"/>
  <c r="AA54" i="2"/>
  <c r="W54" i="2"/>
  <c r="X54" i="2" s="1"/>
  <c r="AG53" i="2"/>
  <c r="AD53" i="2"/>
  <c r="AA53" i="2"/>
  <c r="W53" i="2"/>
  <c r="X53" i="2" s="1"/>
  <c r="AG52" i="2"/>
  <c r="AD52" i="2"/>
  <c r="AA52" i="2"/>
  <c r="W52" i="2"/>
  <c r="X52" i="2" s="1"/>
  <c r="AG51" i="2"/>
  <c r="AD51" i="2"/>
  <c r="AA51" i="2"/>
  <c r="W51" i="2"/>
  <c r="X51" i="2" s="1"/>
  <c r="AG50" i="2"/>
  <c r="AD50" i="2"/>
  <c r="AA50" i="2"/>
  <c r="W50" i="2"/>
  <c r="X50" i="2" s="1"/>
  <c r="AG49" i="2"/>
  <c r="AD49" i="2"/>
  <c r="AA49" i="2"/>
  <c r="W49" i="2"/>
  <c r="X49" i="2" s="1"/>
  <c r="AG48" i="2"/>
  <c r="AD48" i="2"/>
  <c r="AA48" i="2"/>
  <c r="W48" i="2"/>
  <c r="X48" i="2" s="1"/>
  <c r="AG47" i="2"/>
  <c r="AD47" i="2"/>
  <c r="AA47" i="2"/>
  <c r="W47" i="2"/>
  <c r="X47" i="2" s="1"/>
  <c r="AG46" i="2"/>
  <c r="AD46" i="2"/>
  <c r="AA46" i="2"/>
  <c r="W46" i="2"/>
  <c r="X46" i="2" s="1"/>
  <c r="AG45" i="2"/>
  <c r="AD45" i="2"/>
  <c r="AA45" i="2"/>
  <c r="W45" i="2"/>
  <c r="X45" i="2" s="1"/>
  <c r="AG44" i="2"/>
  <c r="AD44" i="2"/>
  <c r="AA44" i="2"/>
  <c r="W44" i="2"/>
  <c r="X44" i="2" s="1"/>
  <c r="AG43" i="2"/>
  <c r="AD43" i="2"/>
  <c r="AA43" i="2"/>
  <c r="W43" i="2"/>
  <c r="X43" i="2" s="1"/>
  <c r="AG42" i="2"/>
  <c r="AD42" i="2"/>
  <c r="AA42" i="2"/>
  <c r="W42" i="2"/>
  <c r="X42" i="2" s="1"/>
  <c r="AG41" i="2"/>
  <c r="AD41" i="2"/>
  <c r="AA41" i="2"/>
  <c r="W41" i="2"/>
  <c r="X41" i="2" s="1"/>
  <c r="AG40" i="2"/>
  <c r="AD40" i="2"/>
  <c r="AA40" i="2"/>
  <c r="W40" i="2"/>
  <c r="X40" i="2" s="1"/>
  <c r="AG39" i="2"/>
  <c r="AD39" i="2"/>
  <c r="AA39" i="2"/>
  <c r="W39" i="2"/>
  <c r="X39" i="2" s="1"/>
  <c r="AG38" i="2"/>
  <c r="AD38" i="2"/>
  <c r="AA38" i="2"/>
  <c r="W38" i="2"/>
  <c r="X38" i="2" s="1"/>
  <c r="AG37" i="2"/>
  <c r="AD37" i="2"/>
  <c r="AA37" i="2"/>
  <c r="W37" i="2"/>
  <c r="X37" i="2" s="1"/>
  <c r="AG36" i="2"/>
  <c r="AD36" i="2"/>
  <c r="AA36" i="2"/>
  <c r="W36" i="2"/>
  <c r="X36" i="2" s="1"/>
  <c r="AG35" i="2"/>
  <c r="AD35" i="2"/>
  <c r="AA35" i="2"/>
  <c r="W35" i="2"/>
  <c r="X35" i="2" s="1"/>
  <c r="AG34" i="2"/>
  <c r="AD34" i="2"/>
  <c r="AA34" i="2"/>
  <c r="W34" i="2"/>
  <c r="X34" i="2" s="1"/>
  <c r="AG33" i="2"/>
  <c r="AD33" i="2"/>
  <c r="AA33" i="2"/>
  <c r="W33" i="2"/>
  <c r="X33" i="2" s="1"/>
  <c r="AG32" i="2"/>
  <c r="AD32" i="2"/>
  <c r="AA32" i="2"/>
  <c r="W32" i="2"/>
  <c r="X32" i="2" s="1"/>
  <c r="AG31" i="2"/>
  <c r="AD31" i="2"/>
  <c r="AA31" i="2"/>
  <c r="W31" i="2"/>
  <c r="X31" i="2" s="1"/>
  <c r="AG30" i="2"/>
  <c r="AD30" i="2"/>
  <c r="AA30" i="2"/>
  <c r="W30" i="2"/>
  <c r="X30" i="2" s="1"/>
  <c r="AG29" i="2"/>
  <c r="AD29" i="2"/>
  <c r="AA29" i="2"/>
  <c r="W29" i="2"/>
  <c r="X29" i="2" s="1"/>
  <c r="AG28" i="2"/>
  <c r="AD28" i="2"/>
  <c r="AA28" i="2"/>
  <c r="W28" i="2"/>
  <c r="X28" i="2" s="1"/>
  <c r="AG27" i="2"/>
  <c r="AD27" i="2"/>
  <c r="AA27" i="2"/>
  <c r="W27" i="2"/>
  <c r="X27" i="2" s="1"/>
  <c r="AG26" i="2"/>
  <c r="AD26" i="2"/>
  <c r="AA26" i="2"/>
  <c r="W26" i="2"/>
  <c r="X26" i="2" s="1"/>
  <c r="AG25" i="2"/>
  <c r="AD25" i="2"/>
  <c r="AA25" i="2"/>
  <c r="W25" i="2"/>
  <c r="X25" i="2" s="1"/>
  <c r="AG24" i="2"/>
  <c r="AD24" i="2"/>
  <c r="AA24" i="2"/>
  <c r="W24" i="2"/>
  <c r="X24" i="2" s="1"/>
  <c r="AG23" i="2"/>
  <c r="AD23" i="2"/>
  <c r="AA23" i="2"/>
  <c r="W23" i="2"/>
  <c r="X23" i="2" s="1"/>
  <c r="AG22" i="2"/>
  <c r="AD22" i="2"/>
  <c r="AA22" i="2"/>
  <c r="W22" i="2"/>
  <c r="X22" i="2" s="1"/>
  <c r="AG21" i="2"/>
  <c r="AD21" i="2"/>
  <c r="AA21" i="2"/>
  <c r="W21" i="2"/>
  <c r="X21" i="2" s="1"/>
  <c r="AG20" i="2"/>
  <c r="AD20" i="2"/>
  <c r="AA20" i="2"/>
  <c r="W20" i="2"/>
  <c r="X20" i="2" s="1"/>
  <c r="AG19" i="2"/>
  <c r="AD19" i="2"/>
  <c r="AA19" i="2"/>
  <c r="W19" i="2"/>
  <c r="X19" i="2" s="1"/>
  <c r="AG18" i="2"/>
  <c r="AD18" i="2"/>
  <c r="AA18" i="2"/>
  <c r="W18" i="2"/>
  <c r="X18" i="2" s="1"/>
  <c r="AG17" i="2"/>
  <c r="AD17" i="2"/>
  <c r="AA17" i="2"/>
  <c r="W17" i="2"/>
  <c r="X17" i="2" s="1"/>
  <c r="AG16" i="2"/>
  <c r="AD16" i="2"/>
  <c r="AA16" i="2"/>
  <c r="W16" i="2"/>
  <c r="X16" i="2" s="1"/>
  <c r="AG15" i="2"/>
  <c r="AD15" i="2"/>
  <c r="AA15" i="2"/>
  <c r="W15" i="2"/>
  <c r="X15" i="2" s="1"/>
  <c r="AG14" i="2"/>
  <c r="AD14" i="2"/>
  <c r="AA14" i="2"/>
  <c r="W14" i="2"/>
  <c r="X14" i="2" s="1"/>
  <c r="AG13" i="2"/>
  <c r="AD13" i="2"/>
  <c r="AA13" i="2"/>
  <c r="W13" i="2"/>
  <c r="X13" i="2" s="1"/>
  <c r="AG12" i="2"/>
  <c r="AD12" i="2"/>
  <c r="AA12" i="2"/>
  <c r="W12" i="2"/>
  <c r="X12" i="2" s="1"/>
  <c r="AG11" i="2"/>
  <c r="AD11" i="2"/>
  <c r="AA11" i="2"/>
  <c r="W11" i="2"/>
  <c r="X11" i="2" s="1"/>
  <c r="AG10" i="2"/>
  <c r="AD10" i="2"/>
  <c r="AA10" i="2"/>
  <c r="W10" i="2"/>
  <c r="X10" i="2" s="1"/>
  <c r="AG9" i="2"/>
  <c r="AD9" i="2"/>
  <c r="AA9" i="2"/>
  <c r="W9" i="2"/>
  <c r="X9" i="2" s="1"/>
  <c r="AG8" i="2"/>
  <c r="AD8" i="2"/>
  <c r="AA8" i="2"/>
  <c r="W8" i="2"/>
  <c r="X8" i="2" s="1"/>
  <c r="AG7" i="2"/>
  <c r="AD7" i="2"/>
  <c r="AA7" i="2"/>
  <c r="W7" i="2"/>
  <c r="X7" i="2" s="1"/>
  <c r="AG6" i="2"/>
  <c r="AD6" i="2"/>
  <c r="AA6" i="2"/>
  <c r="W6" i="2"/>
  <c r="X6" i="2" s="1"/>
  <c r="AG5" i="2"/>
  <c r="AD5" i="2"/>
  <c r="AA5" i="2"/>
  <c r="W5" i="2"/>
  <c r="X5" i="2" s="1"/>
  <c r="AG4" i="2"/>
  <c r="AD4" i="2"/>
  <c r="AA4" i="2"/>
  <c r="W4" i="2"/>
  <c r="X4" i="2" s="1"/>
  <c r="AG3" i="2"/>
  <c r="AD3" i="2"/>
  <c r="AA3" i="2"/>
  <c r="W3" i="2"/>
  <c r="X3" i="2" s="1"/>
  <c r="AG2" i="2"/>
  <c r="AD2" i="2"/>
  <c r="AA2" i="2"/>
  <c r="W2" i="2"/>
  <c r="X2" i="2" s="1"/>
</calcChain>
</file>

<file path=xl/sharedStrings.xml><?xml version="1.0" encoding="utf-8"?>
<sst xmlns="http://schemas.openxmlformats.org/spreadsheetml/2006/main" count="427" uniqueCount="427">
  <si>
    <t>store_id</t>
  </si>
  <si>
    <t>Address</t>
  </si>
  <si>
    <t>20260514~0519_Total_Amt</t>
  </si>
  <si>
    <t>20260514~0519_Total_Member_Amt</t>
  </si>
  <si>
    <t>20260514~0519_Total_Member_Amt_Mix</t>
  </si>
  <si>
    <t>20260514~0519_Total_MemberTC(PhoneLogin)</t>
  </si>
  <si>
    <t>20260514~0519_Total_Member_Amt(PhoneLogin)</t>
  </si>
  <si>
    <t>20260514~0519_Total_Member_Amt_Mix(PhoneLogin)</t>
  </si>
  <si>
    <t>20260514~0519_Total_MemberTC(QRCodeScan)</t>
  </si>
  <si>
    <t>20260514~0519_Total_Member_Amt(QRCodeScan)</t>
  </si>
  <si>
    <t>20260514~0519_Total_Member_Amt_Mix(QRCodeScan)</t>
  </si>
  <si>
    <t>20260514~0519_Total_MemberTC(CouponScan)</t>
  </si>
  <si>
    <t>20260514~0519_Total_Member_Amt(CouponScan)</t>
  </si>
  <si>
    <t>20260514~0519_Total_Member_Amt_Mix(CouponScan)</t>
  </si>
  <si>
    <t>202512_Total_Amt</t>
  </si>
  <si>
    <t>202512_Total_Member_Amt</t>
  </si>
  <si>
    <t>202512_Total_Member_Amt_Mix</t>
  </si>
  <si>
    <t>202601_Total_Amt</t>
  </si>
  <si>
    <t>202601_Total_Member_Amt</t>
  </si>
  <si>
    <t>202601_Total_Member_Amt_Mix</t>
  </si>
  <si>
    <t>202602_Total_Amt</t>
  </si>
  <si>
    <t>202602_Total_Member_Amt</t>
  </si>
  <si>
    <t>202602_Total_Member_Amt_Mix</t>
  </si>
  <si>
    <t>202603_Total_Amt</t>
  </si>
  <si>
    <t>202603_Total_Member_Amt</t>
  </si>
  <si>
    <t>202603_Total_Member_Amt_Mix</t>
  </si>
  <si>
    <t>202604_Total_Amt</t>
  </si>
  <si>
    <t>202604_Total_Member_Amt</t>
  </si>
  <si>
    <t>202604_Total_Member_Amt_Mix</t>
  </si>
  <si>
    <t>20260501~0518_Total_Amt</t>
  </si>
  <si>
    <t>20260501~0518_Total_Member_Amt</t>
  </si>
  <si>
    <t>20260501~0518_Total_Member_Amt_Mix</t>
  </si>
  <si>
    <t>TWI249</t>
  </si>
  <si>
    <t>高雄市小港區中安路771號</t>
  </si>
  <si>
    <t>TWI248</t>
  </si>
  <si>
    <t>桃園市中壢區領航南路二段236號</t>
  </si>
  <si>
    <t>TWI247</t>
  </si>
  <si>
    <t>台中市梧棲區文化路二段266號</t>
  </si>
  <si>
    <t>TWI246</t>
  </si>
  <si>
    <t>台中市北屯區北屯路390號</t>
  </si>
  <si>
    <t>TWI245</t>
  </si>
  <si>
    <t>台南市麻豆區興中路143號</t>
  </si>
  <si>
    <t>TWI244</t>
  </si>
  <si>
    <t>台北市信義區永吉路229號</t>
  </si>
  <si>
    <t>TWI243</t>
  </si>
  <si>
    <t>台南市新市區中正路106號</t>
  </si>
  <si>
    <t>TWI242</t>
  </si>
  <si>
    <t>桃園市中壢區民族路五段218號</t>
  </si>
  <si>
    <t>TWI241</t>
  </si>
  <si>
    <t>台南市安南區安和路五段243號</t>
  </si>
  <si>
    <t>TWI240</t>
  </si>
  <si>
    <t>台北市中山區民權東路二段124號</t>
  </si>
  <si>
    <t>TWI239</t>
  </si>
  <si>
    <t>台南市仁德區中山路250號</t>
  </si>
  <si>
    <t>TWI238</t>
  </si>
  <si>
    <t>高雄市橋頭區成功南路41-1號</t>
  </si>
  <si>
    <t>TWI237</t>
  </si>
  <si>
    <t>台北市大同區重慶北路三段251號</t>
  </si>
  <si>
    <t>TWI236</t>
  </si>
  <si>
    <t>嘉義縣朴子市山通路210、212號1樓</t>
  </si>
  <si>
    <t>TWI235</t>
  </si>
  <si>
    <t>新竹縣竹北市中華路363號</t>
  </si>
  <si>
    <t>TWI234</t>
  </si>
  <si>
    <t>基隆市信義區深溪路156號</t>
  </si>
  <si>
    <t>TWI233</t>
  </si>
  <si>
    <t>宜蘭縣蘇澳鎮中山路一段90號</t>
  </si>
  <si>
    <t>TWI232</t>
  </si>
  <si>
    <t>雲林縣斗六市民生路106號</t>
  </si>
  <si>
    <t>TWI231</t>
  </si>
  <si>
    <t>南投縣竹山鎮大明路716號</t>
  </si>
  <si>
    <t>TWI230</t>
  </si>
  <si>
    <t>新北市中和區景安路114號</t>
  </si>
  <si>
    <t>TWI229</t>
  </si>
  <si>
    <t>台北市北投區中央北路四段525號</t>
  </si>
  <si>
    <t>TWI228</t>
  </si>
  <si>
    <t>台中市霧峰區林森路342號</t>
  </si>
  <si>
    <t>TWI227</t>
  </si>
  <si>
    <t>327桃園市新屋區中山路240號1樓</t>
  </si>
  <si>
    <t>TWI226</t>
  </si>
  <si>
    <t>247新北市蘆洲區長榮路80號1樓</t>
  </si>
  <si>
    <t>TWI225</t>
  </si>
  <si>
    <t>台南市佳里區光復路319號</t>
  </si>
  <si>
    <t>TWI224</t>
  </si>
  <si>
    <t>高雄市前鎮區瑞隆路445號</t>
  </si>
  <si>
    <t>TWI223</t>
  </si>
  <si>
    <t>台北市北投區裕民一路6號</t>
  </si>
  <si>
    <t>TWI222</t>
  </si>
  <si>
    <t>台中市大甲區經國路 500 號 1 樓</t>
  </si>
  <si>
    <t>TWI221</t>
  </si>
  <si>
    <t>730台南市新營區復興路636號</t>
  </si>
  <si>
    <t>TWI220</t>
  </si>
  <si>
    <t>台北市內湖區金龍路8號</t>
  </si>
  <si>
    <t>TWI219</t>
  </si>
  <si>
    <t>台中市龍井區遊園南路185號1-2樓</t>
  </si>
  <si>
    <t>TWI218</t>
  </si>
  <si>
    <t>249新北市八里區中華路二段512號1樓</t>
  </si>
  <si>
    <t>TWI217</t>
  </si>
  <si>
    <t>105台北市大安區復興南路二段183號</t>
  </si>
  <si>
    <t>TWI216</t>
  </si>
  <si>
    <t>928屏東縣東港鎮中山路147號</t>
  </si>
  <si>
    <t>TWI215</t>
  </si>
  <si>
    <t>814高雄市仁武區仁雄路86-43號</t>
  </si>
  <si>
    <t>TWI214</t>
  </si>
  <si>
    <t>新竹市中正路36號</t>
  </si>
  <si>
    <t>TWI212</t>
  </si>
  <si>
    <t xml:space="preserve">彰化縣花壇鄉花壇村中山路一段385-1號 </t>
  </si>
  <si>
    <t>TWI211</t>
  </si>
  <si>
    <t>花蓮縣吉安鄉中華路二段1號</t>
  </si>
  <si>
    <t>TWI210</t>
  </si>
  <si>
    <t>台中市清水區中華路445-1號1樓</t>
  </si>
  <si>
    <t>TWI209</t>
  </si>
  <si>
    <t>320桃園市中壢區環中東路二段150~154號1樓</t>
  </si>
  <si>
    <t>TWI208</t>
  </si>
  <si>
    <t>台南市中西區民族路二段64號</t>
  </si>
  <si>
    <t>TWI207</t>
  </si>
  <si>
    <t>台南市永康區大灣路843,845號</t>
  </si>
  <si>
    <t>TWI206</t>
  </si>
  <si>
    <t>台中市北屯區中清路二段915,917號</t>
  </si>
  <si>
    <t>TWI204</t>
  </si>
  <si>
    <t>雲林縣北港鎮華南路36號</t>
  </si>
  <si>
    <t>TWI203</t>
  </si>
  <si>
    <t>新竹湖口</t>
  </si>
  <si>
    <t>TWI202</t>
  </si>
  <si>
    <t>新北市板橋區忠孝路21號</t>
  </si>
  <si>
    <t>TWI201</t>
  </si>
  <si>
    <t xml:space="preserve">
桃園台茂</t>
  </si>
  <si>
    <t>TWI200</t>
  </si>
  <si>
    <t>台中市北屯區崇德路三段463號</t>
  </si>
  <si>
    <t>TWI199</t>
  </si>
  <si>
    <t>宜蘭縣礁溪鄉礁溪路五段67號1樓</t>
  </si>
  <si>
    <t>TWI198</t>
  </si>
  <si>
    <t>台北市內湖區東湖路138號</t>
  </si>
  <si>
    <t>TWI197</t>
  </si>
  <si>
    <t>新北市中和區員山路202號</t>
  </si>
  <si>
    <t>TWI195</t>
  </si>
  <si>
    <t>彰化縣北斗鎮中山路二段40號</t>
  </si>
  <si>
    <t>TWI194</t>
  </si>
  <si>
    <t>新北市新店區安康路二段60號</t>
  </si>
  <si>
    <t>TWI193</t>
  </si>
  <si>
    <t>新北市鶯歌區建國路153號</t>
  </si>
  <si>
    <t>TWI191</t>
  </si>
  <si>
    <t>台中市西區公益路163號1F~2F</t>
  </si>
  <si>
    <t>TWI190</t>
  </si>
  <si>
    <t>桃園市大溪區員林路一段199號</t>
  </si>
  <si>
    <t>TWI189</t>
  </si>
  <si>
    <t>嘉義縣民雄鄉建國路一段239號</t>
  </si>
  <si>
    <t>TWI188</t>
  </si>
  <si>
    <t>台北市內湖區瑞光路292號</t>
  </si>
  <si>
    <t>TWI187</t>
  </si>
  <si>
    <t>新北市土城區中央路二段174號1樓2樓</t>
  </si>
  <si>
    <t>TWI186</t>
  </si>
  <si>
    <t>屏東縣潮州鎮信義路111號</t>
  </si>
  <si>
    <t>TWI185</t>
  </si>
  <si>
    <t>台中市西屯區文心路3段119-1號</t>
  </si>
  <si>
    <t>TWI184</t>
  </si>
  <si>
    <t>台中市北屯區文心路四段520號</t>
  </si>
  <si>
    <t>TWI183</t>
  </si>
  <si>
    <t>桃園市桃園區中山路444號</t>
  </si>
  <si>
    <t>TWI182</t>
  </si>
  <si>
    <t>桃園市龜山區萬壽路二段1185號</t>
  </si>
  <si>
    <t>TWI181</t>
  </si>
  <si>
    <t>新北市板橋區雙十路二段170 , 170-1 , 170-2 , 170-3號</t>
  </si>
  <si>
    <t>TWI180</t>
  </si>
  <si>
    <t>高雄市左營區崇德路311號</t>
  </si>
  <si>
    <t>TWI179</t>
  </si>
  <si>
    <t>桃園市蘆竹區大竹路428-1號</t>
  </si>
  <si>
    <t>TWI178</t>
  </si>
  <si>
    <t>台北市信義區光復南路465號1F</t>
  </si>
  <si>
    <t>TWI177</t>
  </si>
  <si>
    <t>高雄市鼓山區青海路151號</t>
  </si>
  <si>
    <t>TWI176</t>
  </si>
  <si>
    <t>台中市西屯區福星北路1號</t>
  </si>
  <si>
    <t>TWI174</t>
  </si>
  <si>
    <t>台北市中山區南京東路一段88號</t>
  </si>
  <si>
    <t>TWI173</t>
  </si>
  <si>
    <t>苗栗縣竹南鎮博愛街320-1號</t>
  </si>
  <si>
    <t>TWI172</t>
  </si>
  <si>
    <t>台中市南屯區五權西路二段931,933號</t>
  </si>
  <si>
    <t>TWI171</t>
  </si>
  <si>
    <t>台中市西屯區河南路二段363-7, 363-8號1+2樓</t>
  </si>
  <si>
    <t>TWI170</t>
  </si>
  <si>
    <t>彰化縣和美鎮彰美路四段438號</t>
  </si>
  <si>
    <t>TWI169</t>
  </si>
  <si>
    <t>新北市淡水區中山路24 26號</t>
  </si>
  <si>
    <t>TWI168</t>
  </si>
  <si>
    <t>高雄市鳳山區青年路二段313號</t>
  </si>
  <si>
    <t>TWI167</t>
  </si>
  <si>
    <t>桃園市八德區介壽路一段808號</t>
  </si>
  <si>
    <t>TWI166</t>
  </si>
  <si>
    <t>台北市中正區南昌路一段12號</t>
  </si>
  <si>
    <t>TWI165</t>
  </si>
  <si>
    <t>桃園市桃園區南平路330號1樓</t>
  </si>
  <si>
    <t>TWI164</t>
  </si>
  <si>
    <t>新北市五股區成泰路二段113號1-4樓</t>
  </si>
  <si>
    <t>TWI163</t>
  </si>
  <si>
    <t>台中市西屯區台灣大道四段1086號</t>
  </si>
  <si>
    <t>TWI162</t>
  </si>
  <si>
    <t>新北市三重區正義北路139,141號1樓</t>
  </si>
  <si>
    <t>TWI161</t>
  </si>
  <si>
    <t>桃園市楊梅區大成路107號</t>
  </si>
  <si>
    <t>TWI160</t>
  </si>
  <si>
    <t>台北市士林區中正路351號</t>
  </si>
  <si>
    <t>TWI159</t>
  </si>
  <si>
    <t>台中市台灣大道一段38號</t>
  </si>
  <si>
    <t>TWI158</t>
  </si>
  <si>
    <t>台南市南區金華路二段238號</t>
  </si>
  <si>
    <t>TWI156</t>
  </si>
  <si>
    <t>高雄市楠梓區後昌新路20號</t>
  </si>
  <si>
    <t>TWI155</t>
  </si>
  <si>
    <t>台北市文山區木柵路三段82號</t>
  </si>
  <si>
    <t>TWI154</t>
  </si>
  <si>
    <t>新竹市東區光復路二段334號</t>
  </si>
  <si>
    <t>TWI153</t>
  </si>
  <si>
    <t>台北市士林區中山北路六段750號</t>
  </si>
  <si>
    <t>TWI152</t>
  </si>
  <si>
    <t>242新北市新莊區中正路516-3號</t>
  </si>
  <si>
    <t>TWI151</t>
  </si>
  <si>
    <t>新北市永和區中山路一段173,175號</t>
  </si>
  <si>
    <t>TWI150</t>
  </si>
  <si>
    <t>台南市東區大學路20號</t>
  </si>
  <si>
    <t>TWI149</t>
  </si>
  <si>
    <t>新北市板橋區中山路一段65號</t>
  </si>
  <si>
    <t>TWI148</t>
  </si>
  <si>
    <t>南投縣南投市南崗二路212號</t>
  </si>
  <si>
    <t>TWI147</t>
  </si>
  <si>
    <t>高雄市苓雅區五福一路22號</t>
  </si>
  <si>
    <t>TWI146</t>
  </si>
  <si>
    <t>台北市中正區八德路一段64號</t>
  </si>
  <si>
    <t>TWI145</t>
  </si>
  <si>
    <t>台北市萬華區萬大路286號</t>
  </si>
  <si>
    <t>TWI144</t>
  </si>
  <si>
    <t>新竹縣竹北市自強南路95,97號</t>
  </si>
  <si>
    <t>TWI143</t>
  </si>
  <si>
    <t>台南市安南區海佃路一段138、140號</t>
  </si>
  <si>
    <t>TWI142</t>
  </si>
  <si>
    <t>桃園市桃園區桃鶯路263-1,265號</t>
  </si>
  <si>
    <t>TWI141</t>
  </si>
  <si>
    <t>新北市汐止區大同路二段383號</t>
  </si>
  <si>
    <t>TWI140</t>
  </si>
  <si>
    <t>宜蘭縣宜蘭市舊城南路2之3號</t>
  </si>
  <si>
    <t>TWI139</t>
  </si>
  <si>
    <t>台南市善化區光復路51號</t>
  </si>
  <si>
    <t>TWI138</t>
  </si>
  <si>
    <t>宜蘭縣羅東鎮興東路90號1、2樓</t>
  </si>
  <si>
    <t>TWI137</t>
  </si>
  <si>
    <t>桃園市大園區中正東路142號</t>
  </si>
  <si>
    <t>TWI136</t>
  </si>
  <si>
    <t>台中市大里區中興路二段478號</t>
  </si>
  <si>
    <t>TWI135</t>
  </si>
  <si>
    <t>台北南港區三重路11號</t>
  </si>
  <si>
    <t>TWI134</t>
  </si>
  <si>
    <t>台北市文山區興隆路三段9號</t>
  </si>
  <si>
    <t>TWI133</t>
  </si>
  <si>
    <t>新竹縣新豐鄉新興路163-5號</t>
  </si>
  <si>
    <t>TWI132</t>
  </si>
  <si>
    <t>台中市東區復興路4段108號</t>
  </si>
  <si>
    <t>TWI131</t>
  </si>
  <si>
    <t>台中市潭子區勝利路311號</t>
  </si>
  <si>
    <t>TWI129</t>
  </si>
  <si>
    <t>新北市汐止區中興路169號1-2樓</t>
  </si>
  <si>
    <t>TWI128</t>
  </si>
  <si>
    <t>新北市泰山區明志路一段326號</t>
  </si>
  <si>
    <t>TWI127</t>
  </si>
  <si>
    <t>雲林縣斗六市民生南路169號</t>
  </si>
  <si>
    <t>TWI126</t>
  </si>
  <si>
    <t>新北市土城區金城路二段269號</t>
  </si>
  <si>
    <t>TWI125</t>
  </si>
  <si>
    <t>彰化縣鹿港鎮民權路243號</t>
  </si>
  <si>
    <t>TWI120</t>
  </si>
  <si>
    <t>台北市信義區莊敬路336號</t>
  </si>
  <si>
    <t>TWI119</t>
  </si>
  <si>
    <t>新北市三峽區大學路150-3號</t>
  </si>
  <si>
    <t>TWI115</t>
  </si>
  <si>
    <t>新北市新莊區幸福路763之6號</t>
  </si>
  <si>
    <t>TWI110</t>
  </si>
  <si>
    <t>屏東市自由路496號</t>
  </si>
  <si>
    <t>TWI108</t>
  </si>
  <si>
    <t>南投縣草屯鎮太平路2段235號</t>
  </si>
  <si>
    <t>TWI105</t>
  </si>
  <si>
    <t>220新北市板橋區文化路一段421巷2號</t>
  </si>
  <si>
    <t>TWI104</t>
  </si>
  <si>
    <t>台北市中山區民生西路9號</t>
  </si>
  <si>
    <t>TWI103</t>
  </si>
  <si>
    <t>台北市松山區南京東路五段164號</t>
  </si>
  <si>
    <t>TWI100</t>
  </si>
  <si>
    <t>台南市西門路四段155號</t>
  </si>
  <si>
    <t>TWI099</t>
  </si>
  <si>
    <t>桃園縣蘆竹區中正路8號</t>
  </si>
  <si>
    <t>TWI098</t>
  </si>
  <si>
    <t>桃園市桃園區大興西路二段159號(DT店)</t>
  </si>
  <si>
    <t>TWI097</t>
  </si>
  <si>
    <t>新北市三重區重新路二段1-1號</t>
  </si>
  <si>
    <t>TWI095</t>
  </si>
  <si>
    <t>中壢區環中東路249號(DT店)</t>
  </si>
  <si>
    <t>TWI093</t>
  </si>
  <si>
    <t>新北市林口區文化一路一段78號(DT店)</t>
  </si>
  <si>
    <t>TWI089</t>
  </si>
  <si>
    <t>高雄市前鎮區中華五路1111號</t>
  </si>
  <si>
    <t>TWI088</t>
  </si>
  <si>
    <t>高雄市三民區建國三路23號</t>
  </si>
  <si>
    <t>TWI086</t>
  </si>
  <si>
    <t>基隆市劉銘傳路1號</t>
  </si>
  <si>
    <t>TWI084</t>
  </si>
  <si>
    <t>桃園市中壢區民族路二段138號(DT店)</t>
  </si>
  <si>
    <t>TWI083</t>
  </si>
  <si>
    <t>花蓮市中正路637-1號</t>
  </si>
  <si>
    <t>TWI081</t>
  </si>
  <si>
    <t>台南市東區東門路二段369號</t>
  </si>
  <si>
    <t>TWI080</t>
  </si>
  <si>
    <t>台北市大同區承德路一段38號</t>
  </si>
  <si>
    <t>TWI075</t>
  </si>
  <si>
    <t>新北市淡水區中山北路一段151號</t>
  </si>
  <si>
    <t>TWI071</t>
  </si>
  <si>
    <t>台中市烏日區九德村中山路一段450號</t>
  </si>
  <si>
    <t>TWI069</t>
  </si>
  <si>
    <t>台中市太平區中山路四段26-6</t>
  </si>
  <si>
    <t>TWI068</t>
  </si>
  <si>
    <t>台北市北投區光明路225號</t>
  </si>
  <si>
    <t>TWI067</t>
  </si>
  <si>
    <t>台北市內湖區內湖路一段230號</t>
  </si>
  <si>
    <t>TWI066</t>
  </si>
  <si>
    <t>新竹縣竹東鎮長春路3段130號(DT店)</t>
  </si>
  <si>
    <t>TWI065</t>
  </si>
  <si>
    <t>台東市新生路158號</t>
  </si>
  <si>
    <t>TWI064</t>
  </si>
  <si>
    <t>南投縣埔里鎮中正路340號</t>
  </si>
  <si>
    <t>TWI063</t>
  </si>
  <si>
    <t>台中市沙鹿區沙田路127號</t>
  </si>
  <si>
    <t>TWI062</t>
  </si>
  <si>
    <t>桃園市龍潭區北龍路309號</t>
  </si>
  <si>
    <t>TWI056</t>
  </si>
  <si>
    <t>新北市中和區中山路2段228-1號(大潤發)</t>
  </si>
  <si>
    <t>TWI054</t>
  </si>
  <si>
    <t>嘉義市西區中興路396號</t>
  </si>
  <si>
    <t>TWI047</t>
  </si>
  <si>
    <t>台南市中西區中華西路二段38號</t>
  </si>
  <si>
    <t>TWI046</t>
  </si>
  <si>
    <t>高雄市小港區沿海一路145號</t>
  </si>
  <si>
    <t>TWI044</t>
  </si>
  <si>
    <t>高雄市自由二路173號</t>
  </si>
  <si>
    <t>TWI043</t>
  </si>
  <si>
    <t>高雄市三民區大順二路246號</t>
  </si>
  <si>
    <t>TWI041</t>
  </si>
  <si>
    <t>桃園市楊梅區中山北路二段6-1號(DT店)</t>
  </si>
  <si>
    <t>TWI040</t>
  </si>
  <si>
    <t>台中市北區五權路202號</t>
  </si>
  <si>
    <t>TWI038</t>
  </si>
  <si>
    <t>高雄市鳳山區五甲三路211號</t>
  </si>
  <si>
    <t>TWI036</t>
  </si>
  <si>
    <t>嘉義市忠孝路489號</t>
  </si>
  <si>
    <t>TWI035</t>
  </si>
  <si>
    <t xml:space="preserve"> 台中市南屯區五權西路二段136號</t>
  </si>
  <si>
    <t>TWI031</t>
  </si>
  <si>
    <t>彰化市金馬路二段425號</t>
  </si>
  <si>
    <t>TWI025</t>
  </si>
  <si>
    <t>苗栗市中正路880號&amp;光復路1號</t>
  </si>
  <si>
    <t>TWI024</t>
  </si>
  <si>
    <t>新北市新莊區中港路311-313號</t>
  </si>
  <si>
    <t>TWI023</t>
  </si>
  <si>
    <t>新北市中和區興南路一段79號</t>
  </si>
  <si>
    <t>TWI022</t>
  </si>
  <si>
    <t>新北市三重區三和路四段193-195號</t>
  </si>
  <si>
    <t>TWI021</t>
  </si>
  <si>
    <t>台中市西屯區永福路120號</t>
  </si>
  <si>
    <t>TWI019</t>
  </si>
  <si>
    <t>新北市板橋區中山路二段249號</t>
  </si>
  <si>
    <t>TWI018</t>
  </si>
  <si>
    <t>桃園市龜山區復興一路110-112號(DT店)</t>
  </si>
  <si>
    <t>TWI013</t>
  </si>
  <si>
    <t>新竹市光復路一段536號</t>
  </si>
  <si>
    <t>TWI012</t>
  </si>
  <si>
    <t>台南市永康區中華路145號</t>
  </si>
  <si>
    <t>TWI011</t>
  </si>
  <si>
    <t>新北市樹林區中山路一段67號</t>
  </si>
  <si>
    <t>TWI010</t>
  </si>
  <si>
    <t>台中市文心路四段153號</t>
  </si>
  <si>
    <t>TWI008</t>
  </si>
  <si>
    <t>新北市永和區中正路294號</t>
  </si>
  <si>
    <t>TWI007</t>
  </si>
  <si>
    <t>彰化市中山路二段126號</t>
  </si>
  <si>
    <t>TWB600</t>
  </si>
  <si>
    <t xml:space="preserve"> 新北市淡水區民權路41號</t>
  </si>
  <si>
    <t>TWB597</t>
  </si>
  <si>
    <t>台南市新營區中正路6-1號</t>
  </si>
  <si>
    <t>TWB594</t>
  </si>
  <si>
    <t>新竹市忠孝路300號(大潤發)</t>
  </si>
  <si>
    <t>TWB593</t>
  </si>
  <si>
    <t>台中市大雅區中清路三段1215號</t>
  </si>
  <si>
    <t>TWB587</t>
  </si>
  <si>
    <t>新竹市民生路 306 號(DT店)</t>
  </si>
  <si>
    <t>TWB585</t>
  </si>
  <si>
    <t>台中市大里區國光路二段75號1-3樓</t>
  </si>
  <si>
    <t>TWB582</t>
  </si>
  <si>
    <t>雲林縣虎尾鎮中正路30號B1-4樓</t>
  </si>
  <si>
    <t>TWB580</t>
  </si>
  <si>
    <t>苗栗縣頭份鎮中華路1243、1245號1樓(DT店)</t>
  </si>
  <si>
    <t>TWB576</t>
  </si>
  <si>
    <t>高雄市楠梓區建楠路150-152號</t>
  </si>
  <si>
    <t>TWB570</t>
  </si>
  <si>
    <t>台南縣永康市中正北路126號(DT店)</t>
  </si>
  <si>
    <t>TWB568</t>
  </si>
  <si>
    <t>彰化縣員林鎮民權街26、28號</t>
  </si>
  <si>
    <t>TWB562</t>
  </si>
  <si>
    <t>新竹縣竹北市光明六路69號(DT店)</t>
  </si>
  <si>
    <t>TWB561</t>
  </si>
  <si>
    <t>新北市新店區光明街1之1號</t>
  </si>
  <si>
    <t>TWB559</t>
  </si>
  <si>
    <t>高雄市苓雅區三多二路193號</t>
  </si>
  <si>
    <t>TWB556</t>
  </si>
  <si>
    <t>台南市東區崇明路376號</t>
  </si>
  <si>
    <t>TWB553</t>
  </si>
  <si>
    <t>高雄市岡山區岡山路271號1-3樓</t>
  </si>
  <si>
    <t>TWB550</t>
  </si>
  <si>
    <t>嘉義市垂楊路460號</t>
  </si>
  <si>
    <t>TWB544</t>
  </si>
  <si>
    <t>桃園市中壢區中和路106號</t>
  </si>
  <si>
    <t>TWB533</t>
  </si>
  <si>
    <t>台北市文林路88號</t>
  </si>
  <si>
    <t>TWB528</t>
  </si>
  <si>
    <t>台中市豐原區中正路46號</t>
  </si>
  <si>
    <t>TWB522</t>
  </si>
  <si>
    <t>新北市新店區北新路2段61號1樓</t>
  </si>
  <si>
    <t>TWB516</t>
  </si>
  <si>
    <t>中壢區中正路161號</t>
  </si>
  <si>
    <t>TWB506</t>
  </si>
  <si>
    <t>屏東市逢甲路72號1-3樓</t>
  </si>
  <si>
    <t>20260514~0519_Total_TC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</si>
</sst>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2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sz val="11"/>
      <color indexed="8"/>
      <name val="Aptos Narrow"/>
      <family val="2"/>
      <scheme val="minor"/>
    </font>
    <font>
      <sz val="10"/>
      <name val="Aptos Narrow"/>
      <scheme val="minor"/>
    </font>
    <font>
      <b/>
      <sz val="10"/>
      <name val="Aptos Narrow"/>
      <scheme val="minor"/>
    </font>
    <font>
      <sz val="12"/>
      <color theme="1"/>
      <name val="Aptos Narrow"/>
      <family val="2"/>
      <scheme val="minor"/>
    </font>
    <font>
      <b/>
      <sz val="10"/>
      <color theme="7"/>
      <name val="Aptos Narrow"/>
      <scheme val="minor"/>
    </font>
    <font>
      <sz val="10"/>
      <color theme="7"/>
      <name val="Aptos Narrow"/>
      <scheme val="minor"/>
    </font>
    <font>
      <b/>
      <sz val="10"/>
      <color rgb="FFFF0000"/>
      <name val="Aptos Narrow"/>
      <scheme val="minor"/>
    </font>
    <font>
      <sz val="10"/>
      <color rgb="FFFF0000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9EAD3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EBEB"/>
        <bgColor rgb="FFFFF2CC"/>
      </patternFill>
    </fill>
    <fill>
      <patternFill patternType="solid">
        <fgColor rgb="FFEBEBEB"/>
        <bgColor indexed="64"/>
      </patternFill>
    </fill>
    <fill>
      <patternFill patternType="solid">
        <fgColor rgb="FFEBEBEB"/>
        <bgColor rgb="FFD9EAD3"/>
      </patternFill>
    </fill>
    <fill>
      <patternFill patternType="solid">
        <fgColor rgb="FFEBEBEB"/>
        <b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9" fontId="8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1" applyFont="1"/>
    <xf numFmtId="0" fontId="1" fillId="0" borderId="0" xfId="1"/>
    <xf numFmtId="1" fontId="2" fillId="2" borderId="0" xfId="1" applyNumberFormat="1" applyFont="1" applyFill="1"/>
    <xf numFmtId="3" fontId="2" fillId="2" borderId="0" xfId="1" applyNumberFormat="1" applyFont="1" applyFill="1"/>
    <xf numFmtId="3" fontId="2" fillId="3" borderId="0" xfId="1" applyNumberFormat="1" applyFont="1" applyFill="1"/>
    <xf numFmtId="0" fontId="1" fillId="2" borderId="0" xfId="1" applyFill="1"/>
    <xf numFmtId="1" fontId="2" fillId="4" borderId="0" xfId="1" applyNumberFormat="1" applyFont="1" applyFill="1"/>
    <xf numFmtId="3" fontId="2" fillId="5" borderId="0" xfId="1" applyNumberFormat="1" applyFont="1" applyFill="1"/>
    <xf numFmtId="3" fontId="2" fillId="4" borderId="0" xfId="1" applyNumberFormat="1" applyFont="1" applyFill="1"/>
    <xf numFmtId="0" fontId="1" fillId="4" borderId="0" xfId="1" applyFill="1"/>
    <xf numFmtId="0" fontId="1" fillId="0" borderId="0" xfId="1" applyAlignment="1">
      <alignment horizontal="left" vertical="center"/>
    </xf>
    <xf numFmtId="3" fontId="2" fillId="6" borderId="0" xfId="1" applyNumberFormat="1" applyFont="1" applyFill="1"/>
    <xf numFmtId="164" fontId="2" fillId="7" borderId="0" xfId="1" applyNumberFormat="1" applyFont="1" applyFill="1"/>
    <xf numFmtId="0" fontId="2" fillId="6" borderId="0" xfId="1" applyFont="1" applyFill="1"/>
    <xf numFmtId="1" fontId="2" fillId="6" borderId="0" xfId="1" applyNumberFormat="1" applyFont="1" applyFill="1"/>
    <xf numFmtId="0" fontId="1" fillId="7" borderId="0" xfId="1" applyFill="1"/>
    <xf numFmtId="164" fontId="2" fillId="2" borderId="0" xfId="1" applyNumberFormat="1" applyFont="1" applyFill="1"/>
    <xf numFmtId="164" fontId="2" fillId="4" borderId="0" xfId="1" applyNumberFormat="1" applyFont="1" applyFill="1"/>
    <xf numFmtId="3" fontId="2" fillId="10" borderId="0" xfId="1" applyNumberFormat="1" applyFont="1" applyFill="1"/>
    <xf numFmtId="3" fontId="2" fillId="9" borderId="0" xfId="1" applyNumberFormat="1" applyFont="1" applyFill="1"/>
    <xf numFmtId="3" fontId="2" fillId="8" borderId="0" xfId="1" applyNumberFormat="1" applyFont="1" applyFill="1"/>
    <xf numFmtId="1" fontId="2" fillId="8" borderId="0" xfId="1" applyNumberFormat="1" applyFont="1" applyFill="1"/>
    <xf numFmtId="0" fontId="1" fillId="9" borderId="0" xfId="1" applyFill="1"/>
    <xf numFmtId="3" fontId="2" fillId="0" borderId="0" xfId="1" applyNumberFormat="1" applyFont="1"/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4" fillId="9" borderId="0" xfId="1" applyFont="1" applyFill="1" applyAlignment="1">
      <alignment horizontal="left" vertical="center"/>
    </xf>
    <xf numFmtId="0" fontId="3" fillId="6" borderId="0" xfId="1" applyFont="1" applyFill="1" applyAlignment="1">
      <alignment horizontal="center" vertical="center" wrapText="1"/>
    </xf>
    <xf numFmtId="1" fontId="3" fillId="6" borderId="0" xfId="1" applyNumberFormat="1" applyFont="1" applyFill="1" applyAlignment="1">
      <alignment horizontal="center" vertical="center" wrapText="1"/>
    </xf>
    <xf numFmtId="0" fontId="3" fillId="2" borderId="0" xfId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2" fillId="0" borderId="0" xfId="1" applyFont="1" applyAlignment="1">
      <alignment wrapText="1"/>
    </xf>
    <xf numFmtId="3" fontId="6" fillId="0" borderId="0" xfId="0" applyNumberFormat="1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10" fillId="0" borderId="0" xfId="0" applyNumberFormat="1" applyFont="1"/>
    <xf numFmtId="0" fontId="10" fillId="0" borderId="0" xfId="1" applyFont="1"/>
    <xf numFmtId="0" fontId="9" fillId="9" borderId="0" xfId="1" applyFont="1" applyFill="1" applyAlignment="1">
      <alignment horizontal="center" vertical="center" wrapText="1"/>
    </xf>
    <xf numFmtId="164" fontId="10" fillId="11" borderId="0" xfId="1" applyNumberFormat="1" applyFont="1" applyFill="1"/>
    <xf numFmtId="0" fontId="10" fillId="9" borderId="0" xfId="1" applyFont="1" applyFill="1"/>
    <xf numFmtId="0" fontId="11" fillId="0" borderId="1" xfId="0" applyFont="1" applyBorder="1" applyAlignment="1">
      <alignment horizontal="center" vertical="center" wrapText="1"/>
    </xf>
    <xf numFmtId="10" fontId="12" fillId="0" borderId="0" xfId="0" applyNumberFormat="1" applyFont="1"/>
    <xf numFmtId="0" fontId="12" fillId="0" borderId="0" xfId="1" applyFont="1"/>
    <xf numFmtId="0" fontId="13" fillId="0" borderId="0" xfId="1" applyFont="1"/>
    <xf numFmtId="0" fontId="14" fillId="0" borderId="0" xfId="1" applyFont="1"/>
    <xf numFmtId="164" fontId="13" fillId="0" borderId="0" xfId="3" applyNumberFormat="1" applyFont="1"/>
    <xf numFmtId="0" fontId="15" fillId="0" borderId="0" xfId="1" applyFont="1"/>
    <xf numFmtId="0" fontId="15" fillId="6" borderId="0" xfId="1" applyFont="1" applyFill="1"/>
    <xf numFmtId="1" fontId="15" fillId="6" borderId="0" xfId="1" applyNumberFormat="1" applyFont="1" applyFill="1"/>
    <xf numFmtId="164" fontId="15" fillId="7" borderId="0" xfId="1" applyNumberFormat="1" applyFont="1" applyFill="1"/>
    <xf numFmtId="0" fontId="13" fillId="2" borderId="0" xfId="1" applyFont="1" applyFill="1"/>
    <xf numFmtId="1" fontId="15" fillId="2" borderId="0" xfId="1" applyNumberFormat="1" applyFont="1" applyFill="1"/>
    <xf numFmtId="164" fontId="15" fillId="2" borderId="0" xfId="1" applyNumberFormat="1" applyFont="1" applyFill="1"/>
    <xf numFmtId="0" fontId="13" fillId="4" borderId="0" xfId="1" applyFont="1" applyFill="1"/>
    <xf numFmtId="1" fontId="15" fillId="4" borderId="0" xfId="1" applyNumberFormat="1" applyFont="1" applyFill="1"/>
    <xf numFmtId="164" fontId="15" fillId="4" borderId="0" xfId="1" applyNumberFormat="1" applyFont="1" applyFill="1"/>
  </cellXfs>
  <cellStyles count="4">
    <cellStyle name="Normal" xfId="0" builtinId="0"/>
    <cellStyle name="Normal 2" xfId="1" xr:uid="{20A32071-8926-C649-B1DA-08EB0A5ED154}"/>
    <cellStyle name="Normal 3" xfId="2" xr:uid="{EA1DA521-5D8A-8044-9E89-BA28B1A10A7B}"/>
    <cellStyle name="Percent" xfId="3" builtinId="5"/>
  </cellStyles>
  <dxfs count="0"/>
  <tableStyles count="0" defaultTableStyle="TableStyleMedium2" defaultPivotStyle="PivotStyleLight16"/>
  <colors>
    <mruColors>
      <color rgb="FFEBEBEB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6661-1739-5B4B-9620-597CE8556C53}">
  <sheetPr>
    <outlinePr summaryBelow="0" summaryRight="0"/>
  </sheetPr>
  <dimension ref="A1:AG990"/>
  <sheetViews>
    <sheetView tabSelected="1" zoomScale="125" workbookViewId="0">
      <pane xSplit="1" ySplit="1" topLeftCell="B186" activePane="bottomRight" state="frozen"/>
      <selection pane="topRight" activeCell="B1" sqref="B1"/>
      <selection pane="bottomLeft" activeCell="A4" sqref="A4"/>
      <selection pane="bottomRight" activeCell="A200" sqref="A200:XFD200"/>
    </sheetView>
  </sheetViews>
  <sheetFormatPr baseColWidth="10" defaultColWidth="12.6640625" defaultRowHeight="15.75" customHeight="1" x14ac:dyDescent="0.2"/>
  <cols>
    <col min="1" max="1" width="7.83203125" style="2" customWidth="1"/>
    <col min="2" max="2" width="27" style="2" customWidth="1"/>
    <col min="3" max="3" width="13.5" style="2" bestFit="1" customWidth="1"/>
    <col min="4" max="4" width="15" style="2" customWidth="1"/>
    <col min="5" max="5" width="15" style="38" customWidth="1"/>
    <col min="6" max="6" width="13.5" style="2" bestFit="1" customWidth="1"/>
    <col min="7" max="7" width="15" style="2" customWidth="1"/>
    <col min="8" max="8" width="15" style="38" customWidth="1"/>
    <col min="9" max="9" width="13.5" style="2" bestFit="1" customWidth="1"/>
    <col min="10" max="10" width="15" style="2" customWidth="1"/>
    <col min="11" max="11" width="15" style="38" customWidth="1"/>
    <col min="12" max="12" width="13.5" style="2" bestFit="1" customWidth="1"/>
    <col min="13" max="13" width="15" style="2" customWidth="1"/>
    <col min="14" max="14" width="15" style="44" customWidth="1"/>
    <col min="15" max="15" width="13.5" style="2" bestFit="1" customWidth="1"/>
    <col min="16" max="16" width="15" style="2" customWidth="1"/>
    <col min="17" max="17" width="15" style="44" customWidth="1"/>
    <col min="18" max="19" width="15" style="2" customWidth="1"/>
    <col min="20" max="20" width="15" style="44" customWidth="1"/>
    <col min="21" max="21" width="15.83203125" style="2" customWidth="1"/>
    <col min="22" max="22" width="15.83203125" style="23" customWidth="1"/>
    <col min="23" max="23" width="17.83203125" style="23" bestFit="1" customWidth="1"/>
    <col min="24" max="24" width="15.83203125" style="41" customWidth="1"/>
    <col min="25" max="27" width="18.1640625" style="16" customWidth="1"/>
    <col min="28" max="30" width="18.1640625" style="6" customWidth="1"/>
    <col min="31" max="33" width="18.1640625" style="10" customWidth="1"/>
    <col min="34" max="16384" width="12.6640625" style="2"/>
  </cols>
  <sheetData>
    <row r="1" spans="1:33" s="11" customFormat="1" ht="46" customHeight="1" x14ac:dyDescent="0.2">
      <c r="A1" s="25" t="s">
        <v>0</v>
      </c>
      <c r="B1" s="25" t="s">
        <v>1</v>
      </c>
      <c r="C1" s="35" t="s">
        <v>14</v>
      </c>
      <c r="D1" s="35" t="s">
        <v>15</v>
      </c>
      <c r="E1" s="36" t="s">
        <v>16</v>
      </c>
      <c r="F1" s="35" t="s">
        <v>17</v>
      </c>
      <c r="G1" s="35" t="s">
        <v>18</v>
      </c>
      <c r="H1" s="36" t="s">
        <v>19</v>
      </c>
      <c r="I1" s="35" t="s">
        <v>20</v>
      </c>
      <c r="J1" s="35" t="s">
        <v>21</v>
      </c>
      <c r="K1" s="36" t="s">
        <v>22</v>
      </c>
      <c r="L1" s="35" t="s">
        <v>23</v>
      </c>
      <c r="M1" s="35" t="s">
        <v>24</v>
      </c>
      <c r="N1" s="42" t="s">
        <v>25</v>
      </c>
      <c r="O1" s="35" t="s">
        <v>26</v>
      </c>
      <c r="P1" s="35" t="s">
        <v>27</v>
      </c>
      <c r="Q1" s="42" t="s">
        <v>28</v>
      </c>
      <c r="R1" s="35" t="s">
        <v>29</v>
      </c>
      <c r="S1" s="35" t="s">
        <v>30</v>
      </c>
      <c r="T1" s="42" t="s">
        <v>31</v>
      </c>
      <c r="U1" s="26" t="s">
        <v>426</v>
      </c>
      <c r="V1" s="27" t="s">
        <v>2</v>
      </c>
      <c r="W1" s="28" t="s">
        <v>3</v>
      </c>
      <c r="X1" s="39" t="s">
        <v>4</v>
      </c>
      <c r="Y1" s="29" t="s">
        <v>5</v>
      </c>
      <c r="Z1" s="30" t="s">
        <v>6</v>
      </c>
      <c r="AA1" s="30" t="s">
        <v>7</v>
      </c>
      <c r="AB1" s="31" t="s">
        <v>8</v>
      </c>
      <c r="AC1" s="31" t="s">
        <v>9</v>
      </c>
      <c r="AD1" s="31" t="s">
        <v>10</v>
      </c>
      <c r="AE1" s="32" t="s">
        <v>11</v>
      </c>
      <c r="AF1" s="32" t="s">
        <v>12</v>
      </c>
      <c r="AG1" s="32" t="s">
        <v>13</v>
      </c>
    </row>
    <row r="2" spans="1:33" ht="15.75" customHeight="1" x14ac:dyDescent="0.2">
      <c r="A2" s="1" t="s">
        <v>32</v>
      </c>
      <c r="B2" s="1" t="s">
        <v>33</v>
      </c>
      <c r="C2" s="34">
        <v>514158</v>
      </c>
      <c r="D2" s="34">
        <v>424889</v>
      </c>
      <c r="E2" s="37">
        <v>0.82640000000000002</v>
      </c>
      <c r="F2" s="34">
        <v>2737179</v>
      </c>
      <c r="G2" s="34">
        <v>2062829</v>
      </c>
      <c r="H2" s="37">
        <v>0.75360000000000005</v>
      </c>
      <c r="I2" s="34">
        <v>2187960</v>
      </c>
      <c r="J2" s="34">
        <v>1614788</v>
      </c>
      <c r="K2" s="37">
        <v>0.73799999999999999</v>
      </c>
      <c r="L2" s="34">
        <v>1695971</v>
      </c>
      <c r="M2" s="34">
        <v>974053</v>
      </c>
      <c r="N2" s="43">
        <v>0.57430000000000003</v>
      </c>
      <c r="O2" s="34">
        <v>1713518</v>
      </c>
      <c r="P2" s="34">
        <v>951121</v>
      </c>
      <c r="Q2" s="43">
        <v>0.55510000000000004</v>
      </c>
      <c r="R2" s="34">
        <v>1201474</v>
      </c>
      <c r="S2" s="34">
        <v>666090</v>
      </c>
      <c r="T2" s="43">
        <v>0.5544</v>
      </c>
      <c r="U2" s="24">
        <v>393</v>
      </c>
      <c r="V2" s="19">
        <v>116232.000072</v>
      </c>
      <c r="W2" s="20">
        <f t="shared" ref="W2:W33" si="0">Z2+AC2+AF2</f>
        <v>72840.999985999995</v>
      </c>
      <c r="X2" s="40">
        <f t="shared" ref="X2:X33" si="1">W2/V2</f>
        <v>0.62668628209854937</v>
      </c>
      <c r="Y2" s="12">
        <v>200</v>
      </c>
      <c r="Z2" s="12">
        <v>62744.999954999999</v>
      </c>
      <c r="AA2" s="13">
        <f>Z2/V2</f>
        <v>0.53982552064949896</v>
      </c>
      <c r="AB2" s="5">
        <v>29</v>
      </c>
      <c r="AC2" s="5">
        <v>8563.0000280000004</v>
      </c>
      <c r="AD2" s="17">
        <f>AC2/V2</f>
        <v>7.3671622467957568E-2</v>
      </c>
      <c r="AE2" s="8">
        <v>5</v>
      </c>
      <c r="AF2" s="8">
        <v>1533.0000030000001</v>
      </c>
      <c r="AG2" s="18">
        <f>AF2/V2</f>
        <v>1.3189138981092833E-2</v>
      </c>
    </row>
    <row r="3" spans="1:33" ht="15.75" customHeight="1" x14ac:dyDescent="0.2">
      <c r="A3" s="1" t="s">
        <v>34</v>
      </c>
      <c r="B3" s="1" t="s">
        <v>35</v>
      </c>
      <c r="C3" s="34">
        <v>1155348</v>
      </c>
      <c r="D3" s="34">
        <v>1031010</v>
      </c>
      <c r="E3" s="37">
        <v>0.89239999999999997</v>
      </c>
      <c r="F3" s="34">
        <v>2350663</v>
      </c>
      <c r="G3" s="34">
        <v>1943541</v>
      </c>
      <c r="H3" s="37">
        <v>0.82679999999999998</v>
      </c>
      <c r="I3" s="34">
        <v>2445458</v>
      </c>
      <c r="J3" s="34">
        <v>1824661</v>
      </c>
      <c r="K3" s="37">
        <v>0.74609999999999999</v>
      </c>
      <c r="L3" s="34">
        <v>2869331</v>
      </c>
      <c r="M3" s="34">
        <v>1419176</v>
      </c>
      <c r="N3" s="43">
        <v>0.49459999999999998</v>
      </c>
      <c r="O3" s="34">
        <v>2647040</v>
      </c>
      <c r="P3" s="34">
        <v>1198903</v>
      </c>
      <c r="Q3" s="43">
        <v>0.45290000000000002</v>
      </c>
      <c r="R3" s="34">
        <v>1890211</v>
      </c>
      <c r="S3" s="34">
        <v>897222</v>
      </c>
      <c r="T3" s="43">
        <v>0.47470000000000001</v>
      </c>
      <c r="U3" s="24">
        <v>504</v>
      </c>
      <c r="V3" s="21">
        <v>145909.00046800001</v>
      </c>
      <c r="W3" s="20">
        <f t="shared" si="0"/>
        <v>90523.000496000008</v>
      </c>
      <c r="X3" s="40">
        <f t="shared" si="1"/>
        <v>0.62040724153855764</v>
      </c>
      <c r="Y3" s="12">
        <v>248</v>
      </c>
      <c r="Z3" s="12">
        <v>74150.000392000002</v>
      </c>
      <c r="AA3" s="13">
        <f>Z3/V3</f>
        <v>0.50819346410547295</v>
      </c>
      <c r="AB3" s="4">
        <v>54</v>
      </c>
      <c r="AC3" s="4">
        <v>15060.000120999999</v>
      </c>
      <c r="AD3" s="17">
        <f>AC3/V3</f>
        <v>0.10321501807767423</v>
      </c>
      <c r="AE3" s="9">
        <v>4</v>
      </c>
      <c r="AF3" s="9">
        <v>1312.9999829999999</v>
      </c>
      <c r="AG3" s="18">
        <f>AF3/V3</f>
        <v>8.9987593554104305E-3</v>
      </c>
    </row>
    <row r="4" spans="1:33" ht="15.75" customHeight="1" x14ac:dyDescent="0.2">
      <c r="A4" s="1" t="s">
        <v>36</v>
      </c>
      <c r="B4" s="1" t="s">
        <v>37</v>
      </c>
      <c r="C4" s="34">
        <v>2308350</v>
      </c>
      <c r="D4" s="34">
        <v>1929996</v>
      </c>
      <c r="E4" s="37">
        <v>0.83609999999999995</v>
      </c>
      <c r="F4" s="34">
        <v>2221742</v>
      </c>
      <c r="G4" s="34">
        <v>1755068</v>
      </c>
      <c r="H4" s="37">
        <v>0.79</v>
      </c>
      <c r="I4" s="34">
        <v>2750310</v>
      </c>
      <c r="J4" s="34">
        <v>2051801</v>
      </c>
      <c r="K4" s="37">
        <v>0.746</v>
      </c>
      <c r="L4" s="34">
        <v>2124366</v>
      </c>
      <c r="M4" s="34">
        <v>1254611</v>
      </c>
      <c r="N4" s="43">
        <v>0.59060000000000001</v>
      </c>
      <c r="O4" s="34">
        <v>2025547</v>
      </c>
      <c r="P4" s="34">
        <v>1098754</v>
      </c>
      <c r="Q4" s="43">
        <v>0.54239999999999999</v>
      </c>
      <c r="R4" s="34">
        <v>1411901</v>
      </c>
      <c r="S4" s="34">
        <v>874528</v>
      </c>
      <c r="T4" s="43">
        <v>0.61939999999999995</v>
      </c>
      <c r="U4" s="24">
        <v>557</v>
      </c>
      <c r="V4" s="21">
        <v>147537.00050600001</v>
      </c>
      <c r="W4" s="20">
        <f t="shared" si="0"/>
        <v>77264.000389000008</v>
      </c>
      <c r="X4" s="40">
        <f t="shared" si="1"/>
        <v>0.52369236275654019</v>
      </c>
      <c r="Y4" s="12">
        <v>244</v>
      </c>
      <c r="Z4" s="12">
        <v>64232.000350000002</v>
      </c>
      <c r="AA4" s="13">
        <f>Z4/V4</f>
        <v>0.43536197787474895</v>
      </c>
      <c r="AB4" s="4">
        <v>39</v>
      </c>
      <c r="AC4" s="4">
        <v>11806.000022</v>
      </c>
      <c r="AD4" s="17">
        <f>AC4/V4</f>
        <v>8.0020604875452081E-2</v>
      </c>
      <c r="AE4" s="9">
        <v>7</v>
      </c>
      <c r="AF4" s="9">
        <v>1226.0000170000001</v>
      </c>
      <c r="AG4" s="18">
        <f>AF4/V4</f>
        <v>8.3097800063390969E-3</v>
      </c>
    </row>
    <row r="5" spans="1:33" ht="15.75" customHeight="1" x14ac:dyDescent="0.2">
      <c r="A5" s="1" t="s">
        <v>38</v>
      </c>
      <c r="B5" s="1" t="s">
        <v>39</v>
      </c>
      <c r="C5" s="34">
        <v>2404653</v>
      </c>
      <c r="D5" s="34">
        <v>1899875</v>
      </c>
      <c r="E5" s="37">
        <v>0.79010000000000002</v>
      </c>
      <c r="F5" s="34">
        <v>2289696</v>
      </c>
      <c r="G5" s="34">
        <v>1796955</v>
      </c>
      <c r="H5" s="37">
        <v>0.78480000000000005</v>
      </c>
      <c r="I5" s="34">
        <v>2277167</v>
      </c>
      <c r="J5" s="34">
        <v>1880023</v>
      </c>
      <c r="K5" s="37">
        <v>0.8256</v>
      </c>
      <c r="L5" s="34">
        <v>2123002</v>
      </c>
      <c r="M5" s="34">
        <v>1495202</v>
      </c>
      <c r="N5" s="43">
        <v>0.70430000000000004</v>
      </c>
      <c r="O5" s="34">
        <v>1734979</v>
      </c>
      <c r="P5" s="34">
        <v>1251551</v>
      </c>
      <c r="Q5" s="43">
        <v>0.72140000000000004</v>
      </c>
      <c r="R5" s="34">
        <v>1305099</v>
      </c>
      <c r="S5" s="34">
        <v>991903</v>
      </c>
      <c r="T5" s="43">
        <v>0.76</v>
      </c>
      <c r="U5" s="24">
        <v>580</v>
      </c>
      <c r="V5" s="21">
        <v>142756.00042699999</v>
      </c>
      <c r="W5" s="20">
        <f t="shared" si="0"/>
        <v>82216.000327999995</v>
      </c>
      <c r="X5" s="40">
        <f t="shared" si="1"/>
        <v>0.57591975175882115</v>
      </c>
      <c r="Y5" s="12">
        <v>249</v>
      </c>
      <c r="Z5" s="12">
        <v>63677.000389000001</v>
      </c>
      <c r="AA5" s="13">
        <f>Z5/V5</f>
        <v>0.4460548081939435</v>
      </c>
      <c r="AB5" s="4">
        <v>56</v>
      </c>
      <c r="AC5" s="4">
        <v>16339.999926</v>
      </c>
      <c r="AD5" s="17">
        <f>AC5/V5</f>
        <v>0.11446103755446453</v>
      </c>
      <c r="AE5" s="9">
        <v>8</v>
      </c>
      <c r="AF5" s="9">
        <v>2199.0000129999999</v>
      </c>
      <c r="AG5" s="18">
        <f>AF5/V5</f>
        <v>1.5403906010413098E-2</v>
      </c>
    </row>
    <row r="6" spans="1:33" ht="15.75" customHeight="1" x14ac:dyDescent="0.2">
      <c r="A6" s="1" t="s">
        <v>40</v>
      </c>
      <c r="B6" s="1" t="s">
        <v>41</v>
      </c>
      <c r="C6" s="34">
        <v>1994559</v>
      </c>
      <c r="D6" s="34">
        <v>1611313</v>
      </c>
      <c r="E6" s="37">
        <v>0.80789999999999995</v>
      </c>
      <c r="F6" s="34">
        <v>1918610</v>
      </c>
      <c r="G6" s="34">
        <v>1469659</v>
      </c>
      <c r="H6" s="37">
        <v>0.76600000000000001</v>
      </c>
      <c r="I6" s="34">
        <v>2417894</v>
      </c>
      <c r="J6" s="34">
        <v>1787411</v>
      </c>
      <c r="K6" s="37">
        <v>0.73919999999999997</v>
      </c>
      <c r="L6" s="34">
        <v>1780604</v>
      </c>
      <c r="M6" s="34">
        <v>1076607</v>
      </c>
      <c r="N6" s="43">
        <v>0.60460000000000003</v>
      </c>
      <c r="O6" s="34">
        <v>1579499</v>
      </c>
      <c r="P6" s="34">
        <v>909145</v>
      </c>
      <c r="Q6" s="43">
        <v>0.5756</v>
      </c>
      <c r="R6" s="34">
        <v>1126987</v>
      </c>
      <c r="S6" s="34">
        <v>698332</v>
      </c>
      <c r="T6" s="43">
        <v>0.61960000000000004</v>
      </c>
      <c r="U6" s="24">
        <v>466</v>
      </c>
      <c r="V6" s="21">
        <v>131340.000554</v>
      </c>
      <c r="W6" s="20">
        <f t="shared" si="0"/>
        <v>64993.000267000003</v>
      </c>
      <c r="X6" s="40">
        <f t="shared" si="1"/>
        <v>0.49484543926340513</v>
      </c>
      <c r="Y6" s="12">
        <v>189</v>
      </c>
      <c r="Z6" s="12">
        <v>54585.000267000003</v>
      </c>
      <c r="AA6" s="13">
        <f>Z6/V6</f>
        <v>0.41560073120722701</v>
      </c>
      <c r="AB6" s="4">
        <v>27</v>
      </c>
      <c r="AC6" s="4">
        <v>8331.0000080000009</v>
      </c>
      <c r="AD6" s="17">
        <f>AC6/V6</f>
        <v>6.3430790108568169E-2</v>
      </c>
      <c r="AE6" s="9">
        <v>4</v>
      </c>
      <c r="AF6" s="9">
        <v>2076.999992</v>
      </c>
      <c r="AG6" s="18">
        <f>AF6/V6</f>
        <v>1.5813917947609939E-2</v>
      </c>
    </row>
    <row r="7" spans="1:33" ht="15.75" customHeight="1" x14ac:dyDescent="0.2">
      <c r="A7" s="1" t="s">
        <v>42</v>
      </c>
      <c r="B7" s="1" t="s">
        <v>43</v>
      </c>
      <c r="C7" s="34">
        <v>2751026</v>
      </c>
      <c r="D7" s="34">
        <v>2274767</v>
      </c>
      <c r="E7" s="37">
        <v>0.82689999999999997</v>
      </c>
      <c r="F7" s="34">
        <v>2700939</v>
      </c>
      <c r="G7" s="34">
        <v>1979096</v>
      </c>
      <c r="H7" s="37">
        <v>0.73270000000000002</v>
      </c>
      <c r="I7" s="34">
        <v>2626245</v>
      </c>
      <c r="J7" s="34">
        <v>1899267</v>
      </c>
      <c r="K7" s="37">
        <v>0.72319999999999995</v>
      </c>
      <c r="L7" s="34">
        <v>2865562</v>
      </c>
      <c r="M7" s="34">
        <v>1642709</v>
      </c>
      <c r="N7" s="43">
        <v>0.57330000000000003</v>
      </c>
      <c r="O7" s="34">
        <v>2788662</v>
      </c>
      <c r="P7" s="34">
        <v>1554031</v>
      </c>
      <c r="Q7" s="43">
        <v>0.55730000000000002</v>
      </c>
      <c r="R7" s="34">
        <v>1934003</v>
      </c>
      <c r="S7" s="34">
        <v>1106517</v>
      </c>
      <c r="T7" s="43">
        <v>0.57210000000000005</v>
      </c>
      <c r="U7" s="24">
        <v>788</v>
      </c>
      <c r="V7" s="21">
        <v>188887.00043300001</v>
      </c>
      <c r="W7" s="20">
        <f t="shared" si="0"/>
        <v>104122.00068499999</v>
      </c>
      <c r="X7" s="40">
        <f t="shared" si="1"/>
        <v>0.55123963240621765</v>
      </c>
      <c r="Y7" s="12">
        <v>350</v>
      </c>
      <c r="Z7" s="12">
        <v>84300.000509999998</v>
      </c>
      <c r="AA7" s="13">
        <f>Z7/V7</f>
        <v>0.44629858230980801</v>
      </c>
      <c r="AB7" s="4">
        <v>71</v>
      </c>
      <c r="AC7" s="4">
        <v>17892.000185000001</v>
      </c>
      <c r="AD7" s="17">
        <f>AC7/V7</f>
        <v>9.4723300936458366E-2</v>
      </c>
      <c r="AE7" s="9">
        <v>9</v>
      </c>
      <c r="AF7" s="9">
        <v>1929.99999</v>
      </c>
      <c r="AG7" s="18">
        <f>AF7/V7</f>
        <v>1.0217749159951264E-2</v>
      </c>
    </row>
    <row r="8" spans="1:33" ht="15.75" customHeight="1" x14ac:dyDescent="0.2">
      <c r="A8" s="1" t="s">
        <v>44</v>
      </c>
      <c r="B8" s="1" t="s">
        <v>45</v>
      </c>
      <c r="C8" s="34">
        <v>2553521</v>
      </c>
      <c r="D8" s="34">
        <v>2132458</v>
      </c>
      <c r="E8" s="37">
        <v>0.83509999999999995</v>
      </c>
      <c r="F8" s="34">
        <v>2447368</v>
      </c>
      <c r="G8" s="34">
        <v>1810534</v>
      </c>
      <c r="H8" s="37">
        <v>0.73980000000000001</v>
      </c>
      <c r="I8" s="34">
        <v>2646500</v>
      </c>
      <c r="J8" s="34">
        <v>1896005</v>
      </c>
      <c r="K8" s="37">
        <v>0.71640000000000004</v>
      </c>
      <c r="L8" s="34">
        <v>2236382</v>
      </c>
      <c r="M8" s="34">
        <v>1333818</v>
      </c>
      <c r="N8" s="43">
        <v>0.59640000000000004</v>
      </c>
      <c r="O8" s="34">
        <v>2146768</v>
      </c>
      <c r="P8" s="34">
        <v>1169755</v>
      </c>
      <c r="Q8" s="43">
        <v>0.54490000000000005</v>
      </c>
      <c r="R8" s="34">
        <v>1559424</v>
      </c>
      <c r="S8" s="34">
        <v>920475</v>
      </c>
      <c r="T8" s="43">
        <v>0.59030000000000005</v>
      </c>
      <c r="U8" s="24">
        <v>586</v>
      </c>
      <c r="V8" s="21">
        <v>164208.00040399999</v>
      </c>
      <c r="W8" s="20">
        <f t="shared" si="0"/>
        <v>80209.000191999992</v>
      </c>
      <c r="X8" s="40">
        <f t="shared" si="1"/>
        <v>0.48845975832275074</v>
      </c>
      <c r="Y8" s="12">
        <v>235</v>
      </c>
      <c r="Z8" s="12">
        <v>66286.000182999996</v>
      </c>
      <c r="AA8" s="13">
        <f>Z8/V8</f>
        <v>0.40367095403340236</v>
      </c>
      <c r="AB8" s="4">
        <v>36</v>
      </c>
      <c r="AC8" s="4">
        <v>11846.999980000001</v>
      </c>
      <c r="AD8" s="17">
        <f>AC8/V8</f>
        <v>7.2146301951505981E-2</v>
      </c>
      <c r="AE8" s="9">
        <v>6</v>
      </c>
      <c r="AF8" s="9">
        <v>2076.0000289999998</v>
      </c>
      <c r="AG8" s="18">
        <f>AF8/V8</f>
        <v>1.2642502337842426E-2</v>
      </c>
    </row>
    <row r="9" spans="1:33" ht="15.75" customHeight="1" x14ac:dyDescent="0.2">
      <c r="A9" s="1" t="s">
        <v>46</v>
      </c>
      <c r="B9" s="1" t="s">
        <v>47</v>
      </c>
      <c r="C9" s="34">
        <v>2110634</v>
      </c>
      <c r="D9" s="34">
        <v>1412095</v>
      </c>
      <c r="E9" s="37">
        <v>0.66900000000000004</v>
      </c>
      <c r="F9" s="34">
        <v>1942765</v>
      </c>
      <c r="G9" s="34">
        <v>1238696</v>
      </c>
      <c r="H9" s="37">
        <v>0.63759999999999994</v>
      </c>
      <c r="I9" s="34">
        <v>2023206</v>
      </c>
      <c r="J9" s="34">
        <v>1354085</v>
      </c>
      <c r="K9" s="37">
        <v>0.66930000000000001</v>
      </c>
      <c r="L9" s="34">
        <v>1901351</v>
      </c>
      <c r="M9" s="34">
        <v>958451</v>
      </c>
      <c r="N9" s="43">
        <v>0.50409999999999999</v>
      </c>
      <c r="O9" s="34">
        <v>1788484</v>
      </c>
      <c r="P9" s="34">
        <v>897921</v>
      </c>
      <c r="Q9" s="43">
        <v>0.50209999999999999</v>
      </c>
      <c r="R9" s="34">
        <v>1208020</v>
      </c>
      <c r="S9" s="34">
        <v>645238</v>
      </c>
      <c r="T9" s="43">
        <v>0.53410000000000002</v>
      </c>
      <c r="U9" s="24">
        <v>499</v>
      </c>
      <c r="V9" s="21">
        <v>133041.000459</v>
      </c>
      <c r="W9" s="20">
        <f t="shared" si="0"/>
        <v>57037.999925999997</v>
      </c>
      <c r="X9" s="40">
        <f t="shared" si="1"/>
        <v>0.42872497748224403</v>
      </c>
      <c r="Y9" s="12">
        <v>194</v>
      </c>
      <c r="Z9" s="12">
        <v>47423</v>
      </c>
      <c r="AA9" s="13">
        <f>Z9/V9</f>
        <v>0.35645402422101158</v>
      </c>
      <c r="AB9" s="4">
        <v>30</v>
      </c>
      <c r="AC9" s="4">
        <v>7660.9999550000002</v>
      </c>
      <c r="AD9" s="17">
        <f>AC9/V9</f>
        <v>5.7583751840177527E-2</v>
      </c>
      <c r="AE9" s="9">
        <v>5</v>
      </c>
      <c r="AF9" s="9">
        <v>1953.999971</v>
      </c>
      <c r="AG9" s="18">
        <f>AF9/V9</f>
        <v>1.4687201421054971E-2</v>
      </c>
    </row>
    <row r="10" spans="1:33" ht="15.75" customHeight="1" x14ac:dyDescent="0.2">
      <c r="A10" s="1" t="s">
        <v>48</v>
      </c>
      <c r="B10" s="1" t="s">
        <v>49</v>
      </c>
      <c r="C10" s="34">
        <v>1794561</v>
      </c>
      <c r="D10" s="34">
        <v>1467530</v>
      </c>
      <c r="E10" s="37">
        <v>0.81779999999999997</v>
      </c>
      <c r="F10" s="34">
        <v>1737734</v>
      </c>
      <c r="G10" s="34">
        <v>1261680</v>
      </c>
      <c r="H10" s="37">
        <v>0.72599999999999998</v>
      </c>
      <c r="I10" s="34">
        <v>2136385</v>
      </c>
      <c r="J10" s="34">
        <v>1593986</v>
      </c>
      <c r="K10" s="37">
        <v>0.74609999999999999</v>
      </c>
      <c r="L10" s="34">
        <v>1910354</v>
      </c>
      <c r="M10" s="34">
        <v>1117296</v>
      </c>
      <c r="N10" s="43">
        <v>0.58489999999999998</v>
      </c>
      <c r="O10" s="34">
        <v>2042289</v>
      </c>
      <c r="P10" s="34">
        <v>973943</v>
      </c>
      <c r="Q10" s="43">
        <v>0.47689999999999999</v>
      </c>
      <c r="R10" s="34">
        <v>1456005</v>
      </c>
      <c r="S10" s="34">
        <v>764699</v>
      </c>
      <c r="T10" s="43">
        <v>0.5252</v>
      </c>
      <c r="U10" s="24">
        <v>441</v>
      </c>
      <c r="V10" s="21">
        <v>111958.000424</v>
      </c>
      <c r="W10" s="20">
        <f t="shared" si="0"/>
        <v>53982.000128000007</v>
      </c>
      <c r="X10" s="40">
        <f t="shared" si="1"/>
        <v>0.4821629532821497</v>
      </c>
      <c r="Y10" s="12">
        <v>167</v>
      </c>
      <c r="Z10" s="12">
        <v>43383.000047000001</v>
      </c>
      <c r="AA10" s="13">
        <f>Z10/V10</f>
        <v>0.38749352330965853</v>
      </c>
      <c r="AB10" s="4">
        <v>35</v>
      </c>
      <c r="AC10" s="4">
        <v>10033.000072000001</v>
      </c>
      <c r="AD10" s="17">
        <f>AC10/V10</f>
        <v>8.9613962682467366E-2</v>
      </c>
      <c r="AE10" s="9">
        <v>2</v>
      </c>
      <c r="AF10" s="9">
        <v>566.00000899999998</v>
      </c>
      <c r="AG10" s="18">
        <f>AF10/V10</f>
        <v>5.0554672900237751E-3</v>
      </c>
    </row>
    <row r="11" spans="1:33" ht="15.75" customHeight="1" x14ac:dyDescent="0.2">
      <c r="A11" s="1" t="s">
        <v>50</v>
      </c>
      <c r="B11" s="1" t="s">
        <v>51</v>
      </c>
      <c r="C11" s="34">
        <v>2990837</v>
      </c>
      <c r="D11" s="34">
        <v>1950204</v>
      </c>
      <c r="E11" s="37">
        <v>0.65210000000000001</v>
      </c>
      <c r="F11" s="34">
        <v>2673268</v>
      </c>
      <c r="G11" s="34">
        <v>1636321</v>
      </c>
      <c r="H11" s="37">
        <v>0.61209999999999998</v>
      </c>
      <c r="I11" s="34">
        <v>2625146</v>
      </c>
      <c r="J11" s="34">
        <v>1363178</v>
      </c>
      <c r="K11" s="37">
        <v>0.51929999999999998</v>
      </c>
      <c r="L11" s="34">
        <v>2730160</v>
      </c>
      <c r="M11" s="34">
        <v>1447675</v>
      </c>
      <c r="N11" s="43">
        <v>0.53029999999999999</v>
      </c>
      <c r="O11" s="34">
        <v>2490977</v>
      </c>
      <c r="P11" s="34">
        <v>1324176</v>
      </c>
      <c r="Q11" s="43">
        <v>0.53159999999999996</v>
      </c>
      <c r="R11" s="34">
        <v>1624600</v>
      </c>
      <c r="S11" s="34">
        <v>904859</v>
      </c>
      <c r="T11" s="43">
        <v>0.55700000000000005</v>
      </c>
      <c r="U11" s="24">
        <v>808</v>
      </c>
      <c r="V11" s="21">
        <v>184831.00070599999</v>
      </c>
      <c r="W11" s="20">
        <f t="shared" si="0"/>
        <v>94310.000402999998</v>
      </c>
      <c r="X11" s="40">
        <f t="shared" si="1"/>
        <v>0.51024990419769178</v>
      </c>
      <c r="Y11" s="12">
        <v>353</v>
      </c>
      <c r="Z11" s="12">
        <v>80882.000354999996</v>
      </c>
      <c r="AA11" s="13">
        <f>Z11/V11</f>
        <v>0.43759975353731018</v>
      </c>
      <c r="AB11" s="4">
        <v>53</v>
      </c>
      <c r="AC11" s="4">
        <v>11903.000040000001</v>
      </c>
      <c r="AD11" s="17">
        <f>AC11/V11</f>
        <v>6.4399370205939735E-2</v>
      </c>
      <c r="AE11" s="9">
        <v>8</v>
      </c>
      <c r="AF11" s="9">
        <v>1525.000008</v>
      </c>
      <c r="AG11" s="18">
        <f>AF11/V11</f>
        <v>8.2507804544418896E-3</v>
      </c>
    </row>
    <row r="12" spans="1:33" ht="15.75" customHeight="1" x14ac:dyDescent="0.2">
      <c r="A12" s="1" t="s">
        <v>52</v>
      </c>
      <c r="B12" s="1" t="s">
        <v>53</v>
      </c>
      <c r="C12" s="34">
        <v>2568466</v>
      </c>
      <c r="D12" s="34">
        <v>1748243</v>
      </c>
      <c r="E12" s="37">
        <v>0.68069999999999997</v>
      </c>
      <c r="F12" s="34">
        <v>2398007</v>
      </c>
      <c r="G12" s="34">
        <v>1603013</v>
      </c>
      <c r="H12" s="37">
        <v>0.66849999999999998</v>
      </c>
      <c r="I12" s="34">
        <v>2726745</v>
      </c>
      <c r="J12" s="34">
        <v>1903357</v>
      </c>
      <c r="K12" s="37">
        <v>0.69799999999999995</v>
      </c>
      <c r="L12" s="34">
        <v>2424405</v>
      </c>
      <c r="M12" s="34">
        <v>1317988</v>
      </c>
      <c r="N12" s="43">
        <v>0.54359999999999997</v>
      </c>
      <c r="O12" s="34">
        <v>2140200</v>
      </c>
      <c r="P12" s="34">
        <v>1089480</v>
      </c>
      <c r="Q12" s="43">
        <v>0.5091</v>
      </c>
      <c r="R12" s="34">
        <v>1513442</v>
      </c>
      <c r="S12" s="34">
        <v>893432</v>
      </c>
      <c r="T12" s="43">
        <v>0.59030000000000005</v>
      </c>
      <c r="U12" s="24">
        <v>510</v>
      </c>
      <c r="V12" s="21">
        <v>150406.00090700001</v>
      </c>
      <c r="W12" s="20">
        <f t="shared" si="0"/>
        <v>87670.000424000013</v>
      </c>
      <c r="X12" s="40">
        <f t="shared" si="1"/>
        <v>0.58288897979681464</v>
      </c>
      <c r="Y12" s="12">
        <v>222</v>
      </c>
      <c r="Z12" s="12">
        <v>67052.000367000001</v>
      </c>
      <c r="AA12" s="13">
        <f>Z12/V12</f>
        <v>0.44580668299571385</v>
      </c>
      <c r="AB12" s="4">
        <v>44</v>
      </c>
      <c r="AC12" s="4">
        <v>16095.000024000001</v>
      </c>
      <c r="AD12" s="17">
        <f>AC12/V12</f>
        <v>0.10701035814356877</v>
      </c>
      <c r="AE12" s="9">
        <v>14</v>
      </c>
      <c r="AF12" s="9">
        <v>4523.0000330000003</v>
      </c>
      <c r="AG12" s="18">
        <f>AF12/V12</f>
        <v>3.0071938657531959E-2</v>
      </c>
    </row>
    <row r="13" spans="1:33" ht="15.75" customHeight="1" x14ac:dyDescent="0.2">
      <c r="A13" s="1" t="s">
        <v>54</v>
      </c>
      <c r="B13" s="1" t="s">
        <v>55</v>
      </c>
      <c r="C13" s="34">
        <v>1438432</v>
      </c>
      <c r="D13" s="34">
        <v>1195557</v>
      </c>
      <c r="E13" s="37">
        <v>0.83120000000000005</v>
      </c>
      <c r="F13" s="34">
        <v>1490360</v>
      </c>
      <c r="G13" s="34">
        <v>1181448</v>
      </c>
      <c r="H13" s="37">
        <v>0.79269999999999996</v>
      </c>
      <c r="I13" s="34">
        <v>1789956</v>
      </c>
      <c r="J13" s="34">
        <v>1406466</v>
      </c>
      <c r="K13" s="37">
        <v>0.78580000000000005</v>
      </c>
      <c r="L13" s="34">
        <v>1580040</v>
      </c>
      <c r="M13" s="34">
        <v>895804</v>
      </c>
      <c r="N13" s="43">
        <v>0.56689999999999996</v>
      </c>
      <c r="O13" s="34">
        <v>1398228</v>
      </c>
      <c r="P13" s="34">
        <v>711749</v>
      </c>
      <c r="Q13" s="43">
        <v>0.50900000000000001</v>
      </c>
      <c r="R13" s="34">
        <v>1001029</v>
      </c>
      <c r="S13" s="34">
        <v>572482</v>
      </c>
      <c r="T13" s="43">
        <v>0.57189999999999996</v>
      </c>
      <c r="U13" s="24">
        <v>418</v>
      </c>
      <c r="V13" s="21">
        <v>112997.000273</v>
      </c>
      <c r="W13" s="20">
        <f t="shared" si="0"/>
        <v>59931.000139999996</v>
      </c>
      <c r="X13" s="40">
        <f t="shared" si="1"/>
        <v>0.5303769126189819</v>
      </c>
      <c r="Y13" s="12">
        <v>181</v>
      </c>
      <c r="Z13" s="12">
        <v>49339.000037999998</v>
      </c>
      <c r="AA13" s="13">
        <f>Z13/V13</f>
        <v>0.43663991007546488</v>
      </c>
      <c r="AB13" s="4">
        <v>37</v>
      </c>
      <c r="AC13" s="4">
        <v>9809.0000779999991</v>
      </c>
      <c r="AD13" s="17">
        <f>AC13/V13</f>
        <v>8.6807614842000405E-2</v>
      </c>
      <c r="AE13" s="9">
        <v>4</v>
      </c>
      <c r="AF13" s="9">
        <v>783.00002400000005</v>
      </c>
      <c r="AG13" s="18">
        <f>AF13/V13</f>
        <v>6.9293877015166525E-3</v>
      </c>
    </row>
    <row r="14" spans="1:33" ht="15.75" customHeight="1" x14ac:dyDescent="0.2">
      <c r="A14" s="1" t="s">
        <v>56</v>
      </c>
      <c r="B14" s="1" t="s">
        <v>57</v>
      </c>
      <c r="C14" s="34">
        <v>1905353</v>
      </c>
      <c r="D14" s="34">
        <v>1198511</v>
      </c>
      <c r="E14" s="37">
        <v>0.629</v>
      </c>
      <c r="F14" s="34">
        <v>1972817</v>
      </c>
      <c r="G14" s="34">
        <v>1152159</v>
      </c>
      <c r="H14" s="37">
        <v>0.58399999999999996</v>
      </c>
      <c r="I14" s="34">
        <v>2005605</v>
      </c>
      <c r="J14" s="34">
        <v>1265694</v>
      </c>
      <c r="K14" s="37">
        <v>0.63109999999999999</v>
      </c>
      <c r="L14" s="34">
        <v>1825348</v>
      </c>
      <c r="M14" s="34">
        <v>976941</v>
      </c>
      <c r="N14" s="43">
        <v>0.53520000000000001</v>
      </c>
      <c r="O14" s="34">
        <v>1693072</v>
      </c>
      <c r="P14" s="34">
        <v>975196</v>
      </c>
      <c r="Q14" s="43">
        <v>0.57599999999999996</v>
      </c>
      <c r="R14" s="34">
        <v>1190440</v>
      </c>
      <c r="S14" s="34">
        <v>694017</v>
      </c>
      <c r="T14" s="43">
        <v>0.58299999999999996</v>
      </c>
      <c r="U14" s="24">
        <v>439</v>
      </c>
      <c r="V14" s="21">
        <v>104045.000849</v>
      </c>
      <c r="W14" s="20">
        <f t="shared" si="0"/>
        <v>54193.000401999998</v>
      </c>
      <c r="X14" s="40">
        <f t="shared" si="1"/>
        <v>0.52086116545522487</v>
      </c>
      <c r="Y14" s="12">
        <v>181</v>
      </c>
      <c r="Z14" s="12">
        <v>46016.000340999999</v>
      </c>
      <c r="AA14" s="13">
        <f>Z14/V14</f>
        <v>0.44227017122891654</v>
      </c>
      <c r="AB14" s="4">
        <v>31</v>
      </c>
      <c r="AC14" s="4">
        <v>7306.0000680000003</v>
      </c>
      <c r="AD14" s="17">
        <f>AC14/V14</f>
        <v>7.0219616592662265E-2</v>
      </c>
      <c r="AE14" s="9">
        <v>3</v>
      </c>
      <c r="AF14" s="9">
        <v>870.99999300000002</v>
      </c>
      <c r="AG14" s="18">
        <f>AF14/V14</f>
        <v>8.3713776336460221E-3</v>
      </c>
    </row>
    <row r="15" spans="1:33" ht="15.75" customHeight="1" x14ac:dyDescent="0.2">
      <c r="A15" s="1" t="s">
        <v>58</v>
      </c>
      <c r="B15" s="1" t="s">
        <v>59</v>
      </c>
      <c r="C15" s="34">
        <v>1946187</v>
      </c>
      <c r="D15" s="34">
        <v>1234908</v>
      </c>
      <c r="E15" s="37">
        <v>0.63449999999999995</v>
      </c>
      <c r="F15" s="34">
        <v>2059200</v>
      </c>
      <c r="G15" s="34">
        <v>1153533</v>
      </c>
      <c r="H15" s="37">
        <v>0.56020000000000003</v>
      </c>
      <c r="I15" s="34">
        <v>2363675</v>
      </c>
      <c r="J15" s="34">
        <v>1504899</v>
      </c>
      <c r="K15" s="37">
        <v>0.63670000000000004</v>
      </c>
      <c r="L15" s="34">
        <v>2226764</v>
      </c>
      <c r="M15" s="34">
        <v>922420</v>
      </c>
      <c r="N15" s="43">
        <v>0.41420000000000001</v>
      </c>
      <c r="O15" s="34">
        <v>1781788</v>
      </c>
      <c r="P15" s="34">
        <v>872759</v>
      </c>
      <c r="Q15" s="43">
        <v>0.48980000000000001</v>
      </c>
      <c r="R15" s="34">
        <v>1268309</v>
      </c>
      <c r="S15" s="34">
        <v>728785</v>
      </c>
      <c r="T15" s="43">
        <v>0.5746</v>
      </c>
      <c r="U15" s="24">
        <v>447</v>
      </c>
      <c r="V15" s="21">
        <v>140380.00077899999</v>
      </c>
      <c r="W15" s="20">
        <f t="shared" si="0"/>
        <v>64246.000287999996</v>
      </c>
      <c r="X15" s="40">
        <f t="shared" si="1"/>
        <v>0.45765778552133196</v>
      </c>
      <c r="Y15" s="12">
        <v>182</v>
      </c>
      <c r="Z15" s="12">
        <v>55254.000187999998</v>
      </c>
      <c r="AA15" s="13">
        <f>Z15/V15</f>
        <v>0.39360307651647813</v>
      </c>
      <c r="AB15" s="4">
        <v>27</v>
      </c>
      <c r="AC15" s="4">
        <v>8352.0000789999995</v>
      </c>
      <c r="AD15" s="17">
        <f>AC15/V15</f>
        <v>5.9495654884263317E-2</v>
      </c>
      <c r="AE15" s="9">
        <v>4</v>
      </c>
      <c r="AF15" s="9">
        <v>640.00002099999995</v>
      </c>
      <c r="AG15" s="18">
        <f>AF15/V15</f>
        <v>4.5590541205905175E-3</v>
      </c>
    </row>
    <row r="16" spans="1:33" ht="15.75" customHeight="1" x14ac:dyDescent="0.2">
      <c r="A16" s="1" t="s">
        <v>60</v>
      </c>
      <c r="B16" s="1" t="s">
        <v>61</v>
      </c>
      <c r="C16" s="34">
        <v>2462462</v>
      </c>
      <c r="D16" s="34">
        <v>1547081</v>
      </c>
      <c r="E16" s="37">
        <v>0.62829999999999997</v>
      </c>
      <c r="F16" s="34">
        <v>2430568</v>
      </c>
      <c r="G16" s="34">
        <v>1428868</v>
      </c>
      <c r="H16" s="37">
        <v>0.58789999999999998</v>
      </c>
      <c r="I16" s="34">
        <v>2312457</v>
      </c>
      <c r="J16" s="34">
        <v>1396735</v>
      </c>
      <c r="K16" s="37">
        <v>0.60399999999999998</v>
      </c>
      <c r="L16" s="34">
        <v>2169185</v>
      </c>
      <c r="M16" s="34">
        <v>1047866</v>
      </c>
      <c r="N16" s="43">
        <v>0.48309999999999997</v>
      </c>
      <c r="O16" s="34">
        <v>1962588</v>
      </c>
      <c r="P16" s="34">
        <v>924685</v>
      </c>
      <c r="Q16" s="43">
        <v>0.47120000000000001</v>
      </c>
      <c r="R16" s="34">
        <v>1352486</v>
      </c>
      <c r="S16" s="34">
        <v>700100</v>
      </c>
      <c r="T16" s="43">
        <v>0.51759999999999995</v>
      </c>
      <c r="U16" s="24">
        <v>495</v>
      </c>
      <c r="V16" s="21">
        <v>136914.00034100001</v>
      </c>
      <c r="W16" s="20">
        <f t="shared" si="0"/>
        <v>61636.000005000002</v>
      </c>
      <c r="X16" s="40">
        <f t="shared" si="1"/>
        <v>0.4501804041331674</v>
      </c>
      <c r="Y16" s="12">
        <v>188</v>
      </c>
      <c r="Z16" s="12">
        <v>51072.999966000003</v>
      </c>
      <c r="AA16" s="13">
        <f>Z16/V16</f>
        <v>0.3730297839431822</v>
      </c>
      <c r="AB16" s="4">
        <v>32</v>
      </c>
      <c r="AC16" s="4">
        <v>9150.0000299999992</v>
      </c>
      <c r="AD16" s="17">
        <f>AC16/V16</f>
        <v>6.6830273070766139E-2</v>
      </c>
      <c r="AE16" s="9">
        <v>5</v>
      </c>
      <c r="AF16" s="9">
        <v>1413.0000090000001</v>
      </c>
      <c r="AG16" s="18">
        <f>AF16/V16</f>
        <v>1.0320347119219083E-2</v>
      </c>
    </row>
    <row r="17" spans="1:33" ht="15.75" customHeight="1" x14ac:dyDescent="0.2">
      <c r="A17" s="1" t="s">
        <v>62</v>
      </c>
      <c r="B17" s="1" t="s">
        <v>63</v>
      </c>
      <c r="C17" s="34">
        <v>2586110</v>
      </c>
      <c r="D17" s="34">
        <v>1652095</v>
      </c>
      <c r="E17" s="37">
        <v>0.63880000000000003</v>
      </c>
      <c r="F17" s="34">
        <v>2293453</v>
      </c>
      <c r="G17" s="34">
        <v>1382123</v>
      </c>
      <c r="H17" s="37">
        <v>0.60260000000000002</v>
      </c>
      <c r="I17" s="34">
        <v>2326696</v>
      </c>
      <c r="J17" s="34">
        <v>1439930</v>
      </c>
      <c r="K17" s="37">
        <v>0.61890000000000001</v>
      </c>
      <c r="L17" s="34">
        <v>2250592</v>
      </c>
      <c r="M17" s="34">
        <v>1233602</v>
      </c>
      <c r="N17" s="43">
        <v>0.54810000000000003</v>
      </c>
      <c r="O17" s="34">
        <v>1895954</v>
      </c>
      <c r="P17" s="34">
        <v>1056878</v>
      </c>
      <c r="Q17" s="43">
        <v>0.55740000000000001</v>
      </c>
      <c r="R17" s="34">
        <v>1484769</v>
      </c>
      <c r="S17" s="34">
        <v>916617</v>
      </c>
      <c r="T17" s="43">
        <v>0.61729999999999996</v>
      </c>
      <c r="U17" s="24">
        <v>474</v>
      </c>
      <c r="V17" s="21">
        <v>117540.00058399999</v>
      </c>
      <c r="W17" s="20">
        <f t="shared" si="0"/>
        <v>67049.000283999994</v>
      </c>
      <c r="X17" s="40">
        <f t="shared" si="1"/>
        <v>0.57043559597469462</v>
      </c>
      <c r="Y17" s="12">
        <v>209</v>
      </c>
      <c r="Z17" s="12">
        <v>53525.000226999997</v>
      </c>
      <c r="AA17" s="13">
        <f>Z17/V17</f>
        <v>0.4553768926413127</v>
      </c>
      <c r="AB17" s="4">
        <v>46</v>
      </c>
      <c r="AC17" s="4">
        <v>11532.000043</v>
      </c>
      <c r="AD17" s="17">
        <f>AC17/V17</f>
        <v>9.8111281144316928E-2</v>
      </c>
      <c r="AE17" s="9">
        <v>6</v>
      </c>
      <c r="AF17" s="9">
        <v>1992.000014</v>
      </c>
      <c r="AG17" s="18">
        <f>AF17/V17</f>
        <v>1.6947422189065045E-2</v>
      </c>
    </row>
    <row r="18" spans="1:33" ht="15.75" customHeight="1" x14ac:dyDescent="0.2">
      <c r="A18" s="1" t="s">
        <v>64</v>
      </c>
      <c r="B18" s="1" t="s">
        <v>65</v>
      </c>
      <c r="C18" s="34">
        <v>1979478</v>
      </c>
      <c r="D18" s="34">
        <v>1272126</v>
      </c>
      <c r="E18" s="37">
        <v>0.64270000000000005</v>
      </c>
      <c r="F18" s="34">
        <v>1781451</v>
      </c>
      <c r="G18" s="34">
        <v>1200935</v>
      </c>
      <c r="H18" s="37">
        <v>0.67410000000000003</v>
      </c>
      <c r="I18" s="34">
        <v>2208645</v>
      </c>
      <c r="J18" s="34">
        <v>1519007</v>
      </c>
      <c r="K18" s="37">
        <v>0.68779999999999997</v>
      </c>
      <c r="L18" s="34">
        <v>1652867</v>
      </c>
      <c r="M18" s="34">
        <v>956452</v>
      </c>
      <c r="N18" s="43">
        <v>0.57869999999999999</v>
      </c>
      <c r="O18" s="34">
        <v>1528785</v>
      </c>
      <c r="P18" s="34">
        <v>888954</v>
      </c>
      <c r="Q18" s="43">
        <v>0.58150000000000002</v>
      </c>
      <c r="R18" s="34">
        <v>1031256</v>
      </c>
      <c r="S18" s="34">
        <v>637310</v>
      </c>
      <c r="T18" s="43">
        <v>0.61799999999999999</v>
      </c>
      <c r="U18" s="24">
        <v>268</v>
      </c>
      <c r="V18" s="21">
        <v>79132.000260000001</v>
      </c>
      <c r="W18" s="20">
        <f t="shared" si="0"/>
        <v>38304.000031000003</v>
      </c>
      <c r="X18" s="40">
        <f t="shared" si="1"/>
        <v>0.48405196260863487</v>
      </c>
      <c r="Y18" s="12">
        <v>117</v>
      </c>
      <c r="Z18" s="12">
        <v>32958.000022</v>
      </c>
      <c r="AA18" s="13">
        <f>Z18/V18</f>
        <v>0.41649395836970593</v>
      </c>
      <c r="AB18" s="4">
        <v>12</v>
      </c>
      <c r="AC18" s="4">
        <v>4825.0000209999998</v>
      </c>
      <c r="AD18" s="17">
        <f>AC18/V18</f>
        <v>6.0974068709835995E-2</v>
      </c>
      <c r="AE18" s="9">
        <v>2</v>
      </c>
      <c r="AF18" s="9">
        <v>520.99998800000003</v>
      </c>
      <c r="AG18" s="18">
        <f>AF18/V18</f>
        <v>6.5839355290928676E-3</v>
      </c>
    </row>
    <row r="19" spans="1:33" ht="15.75" customHeight="1" x14ac:dyDescent="0.2">
      <c r="A19" s="1" t="s">
        <v>66</v>
      </c>
      <c r="B19" s="1" t="s">
        <v>67</v>
      </c>
      <c r="C19" s="34">
        <v>2286259</v>
      </c>
      <c r="D19" s="34">
        <v>1284277</v>
      </c>
      <c r="E19" s="37">
        <v>0.56169999999999998</v>
      </c>
      <c r="F19" s="34">
        <v>2154407</v>
      </c>
      <c r="G19" s="34">
        <v>1221781</v>
      </c>
      <c r="H19" s="37">
        <v>0.56710000000000005</v>
      </c>
      <c r="I19" s="34">
        <v>2575694</v>
      </c>
      <c r="J19" s="34">
        <v>1520552</v>
      </c>
      <c r="K19" s="37">
        <v>0.59030000000000005</v>
      </c>
      <c r="L19" s="34">
        <v>2026663</v>
      </c>
      <c r="M19" s="34">
        <v>994010</v>
      </c>
      <c r="N19" s="43">
        <v>0.49049999999999999</v>
      </c>
      <c r="O19" s="34">
        <v>1850153</v>
      </c>
      <c r="P19" s="34">
        <v>864561</v>
      </c>
      <c r="Q19" s="43">
        <v>0.46729999999999999</v>
      </c>
      <c r="R19" s="34">
        <v>1361634</v>
      </c>
      <c r="S19" s="34">
        <v>723406</v>
      </c>
      <c r="T19" s="43">
        <v>0.53129999999999999</v>
      </c>
      <c r="U19" s="24">
        <v>594</v>
      </c>
      <c r="V19" s="21">
        <v>170405.00076</v>
      </c>
      <c r="W19" s="20">
        <f t="shared" si="0"/>
        <v>66795.000279</v>
      </c>
      <c r="X19" s="40">
        <f t="shared" si="1"/>
        <v>0.39197793480881882</v>
      </c>
      <c r="Y19" s="12">
        <v>202</v>
      </c>
      <c r="Z19" s="12">
        <v>56190.000285000002</v>
      </c>
      <c r="AA19" s="13">
        <f>Z19/V19</f>
        <v>0.32974384574627902</v>
      </c>
      <c r="AB19" s="4">
        <v>30</v>
      </c>
      <c r="AC19" s="4">
        <v>8772.9999609999995</v>
      </c>
      <c r="AD19" s="17">
        <f>AC19/V19</f>
        <v>5.1483230667367416E-2</v>
      </c>
      <c r="AE19" s="9">
        <v>6</v>
      </c>
      <c r="AF19" s="9">
        <v>1832.000033</v>
      </c>
      <c r="AG19" s="18">
        <f>AF19/V19</f>
        <v>1.0750858395172369E-2</v>
      </c>
    </row>
    <row r="20" spans="1:33" ht="15.75" customHeight="1" x14ac:dyDescent="0.2">
      <c r="A20" s="1" t="s">
        <v>68</v>
      </c>
      <c r="B20" s="1" t="s">
        <v>69</v>
      </c>
      <c r="C20" s="34">
        <v>1304166</v>
      </c>
      <c r="D20" s="34">
        <v>869802</v>
      </c>
      <c r="E20" s="37">
        <v>0.66690000000000005</v>
      </c>
      <c r="F20" s="34">
        <v>1239717</v>
      </c>
      <c r="G20" s="34">
        <v>848063</v>
      </c>
      <c r="H20" s="37">
        <v>0.68410000000000004</v>
      </c>
      <c r="I20" s="34">
        <v>1593396</v>
      </c>
      <c r="J20" s="34">
        <v>1077960</v>
      </c>
      <c r="K20" s="37">
        <v>0.67649999999999999</v>
      </c>
      <c r="L20" s="34">
        <v>1182388</v>
      </c>
      <c r="M20" s="34">
        <v>720371</v>
      </c>
      <c r="N20" s="43">
        <v>0.60929999999999995</v>
      </c>
      <c r="O20" s="34">
        <v>1127464</v>
      </c>
      <c r="P20" s="34">
        <v>666439</v>
      </c>
      <c r="Q20" s="43">
        <v>0.59109999999999996</v>
      </c>
      <c r="R20" s="34">
        <v>780199</v>
      </c>
      <c r="S20" s="34">
        <v>489049</v>
      </c>
      <c r="T20" s="43">
        <v>0.62680000000000002</v>
      </c>
      <c r="U20" s="24">
        <v>324</v>
      </c>
      <c r="V20" s="21">
        <v>91595.000543999995</v>
      </c>
      <c r="W20" s="20">
        <f t="shared" si="0"/>
        <v>44775.000305999994</v>
      </c>
      <c r="X20" s="40">
        <f t="shared" si="1"/>
        <v>0.48883672733307293</v>
      </c>
      <c r="Y20" s="12">
        <v>139</v>
      </c>
      <c r="Z20" s="12">
        <v>40286.000252999998</v>
      </c>
      <c r="AA20" s="13">
        <f>Z20/V20</f>
        <v>0.43982750165111456</v>
      </c>
      <c r="AB20" s="4">
        <v>9</v>
      </c>
      <c r="AC20" s="4">
        <v>2886.0000540000001</v>
      </c>
      <c r="AD20" s="17">
        <f>AC20/V20</f>
        <v>3.1508270504498073E-2</v>
      </c>
      <c r="AE20" s="9">
        <v>8</v>
      </c>
      <c r="AF20" s="9">
        <v>1602.9999989999999</v>
      </c>
      <c r="AG20" s="18">
        <f>AF20/V20</f>
        <v>1.7500955177460347E-2</v>
      </c>
    </row>
    <row r="21" spans="1:33" ht="15.75" customHeight="1" x14ac:dyDescent="0.2">
      <c r="A21" s="1" t="s">
        <v>70</v>
      </c>
      <c r="B21" s="1" t="s">
        <v>71</v>
      </c>
      <c r="C21" s="34">
        <v>2212284</v>
      </c>
      <c r="D21" s="34">
        <v>1388336</v>
      </c>
      <c r="E21" s="37">
        <v>0.62760000000000005</v>
      </c>
      <c r="F21" s="34">
        <v>1952249</v>
      </c>
      <c r="G21" s="34">
        <v>1192141</v>
      </c>
      <c r="H21" s="37">
        <v>0.61070000000000002</v>
      </c>
      <c r="I21" s="34">
        <v>1900459</v>
      </c>
      <c r="J21" s="34">
        <v>1138495</v>
      </c>
      <c r="K21" s="37">
        <v>0.59909999999999997</v>
      </c>
      <c r="L21" s="34">
        <v>1792705</v>
      </c>
      <c r="M21" s="34">
        <v>1102833</v>
      </c>
      <c r="N21" s="43">
        <v>0.61519999999999997</v>
      </c>
      <c r="O21" s="34">
        <v>1656033</v>
      </c>
      <c r="P21" s="34">
        <v>1030824</v>
      </c>
      <c r="Q21" s="43">
        <v>0.62250000000000005</v>
      </c>
      <c r="R21" s="34">
        <v>1230814</v>
      </c>
      <c r="S21" s="34">
        <v>801223</v>
      </c>
      <c r="T21" s="43">
        <v>0.65100000000000002</v>
      </c>
      <c r="U21" s="24">
        <v>219</v>
      </c>
      <c r="V21" s="21">
        <v>51231.000171</v>
      </c>
      <c r="W21" s="20">
        <f t="shared" si="0"/>
        <v>26154.999995000002</v>
      </c>
      <c r="X21" s="40">
        <f t="shared" si="1"/>
        <v>0.5105307315433868</v>
      </c>
      <c r="Y21" s="12">
        <v>83</v>
      </c>
      <c r="Z21" s="12">
        <v>19869.999983000002</v>
      </c>
      <c r="AA21" s="13">
        <f>Z21/V21</f>
        <v>0.38785110414939122</v>
      </c>
      <c r="AB21" s="4">
        <v>17</v>
      </c>
      <c r="AC21" s="4">
        <v>4863.9999829999997</v>
      </c>
      <c r="AD21" s="17">
        <f>AC21/V21</f>
        <v>9.4942514625223587E-2</v>
      </c>
      <c r="AE21" s="9">
        <v>5</v>
      </c>
      <c r="AF21" s="9">
        <v>1421.000029</v>
      </c>
      <c r="AG21" s="18">
        <f>AF21/V21</f>
        <v>2.7737112768771912E-2</v>
      </c>
    </row>
    <row r="22" spans="1:33" ht="15.75" customHeight="1" x14ac:dyDescent="0.2">
      <c r="A22" s="1" t="s">
        <v>72</v>
      </c>
      <c r="B22" s="1" t="s">
        <v>73</v>
      </c>
      <c r="C22" s="34">
        <v>1756691</v>
      </c>
      <c r="D22" s="34">
        <v>1029614</v>
      </c>
      <c r="E22" s="37">
        <v>0.58609999999999995</v>
      </c>
      <c r="F22" s="34">
        <v>1434140</v>
      </c>
      <c r="G22" s="34">
        <v>857788</v>
      </c>
      <c r="H22" s="37">
        <v>0.59809999999999997</v>
      </c>
      <c r="I22" s="34">
        <v>1326466</v>
      </c>
      <c r="J22" s="34">
        <v>799585</v>
      </c>
      <c r="K22" s="37">
        <v>0.6028</v>
      </c>
      <c r="L22" s="34">
        <v>1484083</v>
      </c>
      <c r="M22" s="34">
        <v>749309</v>
      </c>
      <c r="N22" s="43">
        <v>0.50490000000000002</v>
      </c>
      <c r="O22" s="34">
        <v>1356037</v>
      </c>
      <c r="P22" s="34">
        <v>726134</v>
      </c>
      <c r="Q22" s="43">
        <v>0.53549999999999998</v>
      </c>
      <c r="R22" s="34">
        <v>923629</v>
      </c>
      <c r="S22" s="34">
        <v>497213</v>
      </c>
      <c r="T22" s="43">
        <v>0.5383</v>
      </c>
      <c r="U22" s="24">
        <v>265</v>
      </c>
      <c r="V22" s="21">
        <v>60951.999761999999</v>
      </c>
      <c r="W22" s="20">
        <f t="shared" si="0"/>
        <v>31921.000012</v>
      </c>
      <c r="X22" s="40">
        <f t="shared" si="1"/>
        <v>0.52370718166167329</v>
      </c>
      <c r="Y22" s="12">
        <v>100</v>
      </c>
      <c r="Z22" s="12">
        <v>25016.999975999999</v>
      </c>
      <c r="AA22" s="13">
        <f>Z22/V22</f>
        <v>0.4104377226946479</v>
      </c>
      <c r="AB22" s="4">
        <v>29</v>
      </c>
      <c r="AC22" s="4">
        <v>6745.0000440000003</v>
      </c>
      <c r="AD22" s="17">
        <f>AC22/V22</f>
        <v>0.1106608490342775</v>
      </c>
      <c r="AE22" s="9">
        <v>1</v>
      </c>
      <c r="AF22" s="9">
        <v>158.99999199999999</v>
      </c>
      <c r="AG22" s="18">
        <f>AF22/V22</f>
        <v>2.6086099327478863E-3</v>
      </c>
    </row>
    <row r="23" spans="1:33" ht="15.75" customHeight="1" x14ac:dyDescent="0.2">
      <c r="A23" s="1" t="s">
        <v>74</v>
      </c>
      <c r="B23" s="1" t="s">
        <v>75</v>
      </c>
      <c r="C23" s="34">
        <v>3045305</v>
      </c>
      <c r="D23" s="34">
        <v>1777824</v>
      </c>
      <c r="E23" s="37">
        <v>0.58379999999999999</v>
      </c>
      <c r="F23" s="34">
        <v>2584871</v>
      </c>
      <c r="G23" s="34">
        <v>1465188</v>
      </c>
      <c r="H23" s="37">
        <v>0.56679999999999997</v>
      </c>
      <c r="I23" s="34">
        <v>2663323</v>
      </c>
      <c r="J23" s="34">
        <v>1650521</v>
      </c>
      <c r="K23" s="37">
        <v>0.61970000000000003</v>
      </c>
      <c r="L23" s="34">
        <v>2700257</v>
      </c>
      <c r="M23" s="34">
        <v>1449995</v>
      </c>
      <c r="N23" s="43">
        <v>0.53700000000000003</v>
      </c>
      <c r="O23" s="34">
        <v>2606739</v>
      </c>
      <c r="P23" s="34">
        <v>1381473</v>
      </c>
      <c r="Q23" s="43">
        <v>0.53</v>
      </c>
      <c r="R23" s="34">
        <v>1894858</v>
      </c>
      <c r="S23" s="34">
        <v>1096580</v>
      </c>
      <c r="T23" s="43">
        <v>0.57869999999999999</v>
      </c>
      <c r="U23" s="24">
        <v>600</v>
      </c>
      <c r="V23" s="21">
        <v>171445.001101</v>
      </c>
      <c r="W23" s="20">
        <f t="shared" si="0"/>
        <v>102164.00052500001</v>
      </c>
      <c r="X23" s="40">
        <f t="shared" si="1"/>
        <v>0.59589955886094426</v>
      </c>
      <c r="Y23" s="12">
        <v>271</v>
      </c>
      <c r="Z23" s="12">
        <v>78352.000427999999</v>
      </c>
      <c r="AA23" s="13">
        <f>Z23/V23</f>
        <v>0.45700953614764211</v>
      </c>
      <c r="AB23" s="4">
        <v>80</v>
      </c>
      <c r="AC23" s="4">
        <v>21810.000126999999</v>
      </c>
      <c r="AD23" s="17">
        <f>AC23/V23</f>
        <v>0.12721280869630899</v>
      </c>
      <c r="AE23" s="9">
        <v>7</v>
      </c>
      <c r="AF23" s="9">
        <v>2001.9999700000001</v>
      </c>
      <c r="AG23" s="18">
        <f>AF23/V23</f>
        <v>1.1677214016993131E-2</v>
      </c>
    </row>
    <row r="24" spans="1:33" ht="15.75" customHeight="1" x14ac:dyDescent="0.2">
      <c r="A24" s="1" t="s">
        <v>76</v>
      </c>
      <c r="B24" s="1" t="s">
        <v>77</v>
      </c>
      <c r="C24" s="34">
        <v>3433309</v>
      </c>
      <c r="D24" s="34">
        <v>2215664</v>
      </c>
      <c r="E24" s="37">
        <v>0.64529999999999998</v>
      </c>
      <c r="F24" s="34">
        <v>3137755</v>
      </c>
      <c r="G24" s="34">
        <v>1936234</v>
      </c>
      <c r="H24" s="37">
        <v>0.61709999999999998</v>
      </c>
      <c r="I24" s="34">
        <v>3939743</v>
      </c>
      <c r="J24" s="34">
        <v>2460424</v>
      </c>
      <c r="K24" s="37">
        <v>0.62450000000000006</v>
      </c>
      <c r="L24" s="34">
        <v>3033791</v>
      </c>
      <c r="M24" s="34">
        <v>1628791</v>
      </c>
      <c r="N24" s="43">
        <v>0.53690000000000004</v>
      </c>
      <c r="O24" s="34">
        <v>2814726</v>
      </c>
      <c r="P24" s="34">
        <v>1523768</v>
      </c>
      <c r="Q24" s="43">
        <v>0.54139999999999999</v>
      </c>
      <c r="R24" s="34">
        <v>2015849</v>
      </c>
      <c r="S24" s="34">
        <v>1144871</v>
      </c>
      <c r="T24" s="43">
        <v>0.56789999999999996</v>
      </c>
      <c r="U24" s="24">
        <v>510</v>
      </c>
      <c r="V24" s="21">
        <v>194699.00084600001</v>
      </c>
      <c r="W24" s="20">
        <f t="shared" si="0"/>
        <v>102826.000375</v>
      </c>
      <c r="X24" s="40">
        <f t="shared" si="1"/>
        <v>0.52812803315992218</v>
      </c>
      <c r="Y24" s="12">
        <v>212</v>
      </c>
      <c r="Z24" s="12">
        <v>97631.000373000003</v>
      </c>
      <c r="AA24" s="13">
        <f>Z24/V24</f>
        <v>0.50144582123573733</v>
      </c>
      <c r="AB24" s="4">
        <v>14</v>
      </c>
      <c r="AC24" s="4">
        <v>3264.9999929999999</v>
      </c>
      <c r="AD24" s="17">
        <f>AC24/V24</f>
        <v>1.6769474824282735E-2</v>
      </c>
      <c r="AE24" s="9">
        <v>10</v>
      </c>
      <c r="AF24" s="9">
        <v>1930.0000090000001</v>
      </c>
      <c r="AG24" s="18">
        <f>AF24/V24</f>
        <v>9.9127370999020255E-3</v>
      </c>
    </row>
    <row r="25" spans="1:33" ht="15.75" customHeight="1" x14ac:dyDescent="0.2">
      <c r="A25" s="1" t="s">
        <v>78</v>
      </c>
      <c r="B25" s="1" t="s">
        <v>79</v>
      </c>
      <c r="C25" s="34">
        <v>3622999</v>
      </c>
      <c r="D25" s="34">
        <v>2289625</v>
      </c>
      <c r="E25" s="37">
        <v>0.63200000000000001</v>
      </c>
      <c r="F25" s="34">
        <v>3665101</v>
      </c>
      <c r="G25" s="34">
        <v>2287905</v>
      </c>
      <c r="H25" s="37">
        <v>0.62419999999999998</v>
      </c>
      <c r="I25" s="34">
        <v>3754460</v>
      </c>
      <c r="J25" s="34">
        <v>2458717</v>
      </c>
      <c r="K25" s="37">
        <v>0.65490000000000004</v>
      </c>
      <c r="L25" s="34">
        <v>3285032</v>
      </c>
      <c r="M25" s="34">
        <v>1806994</v>
      </c>
      <c r="N25" s="43">
        <v>0.55010000000000003</v>
      </c>
      <c r="O25" s="34">
        <v>3058771</v>
      </c>
      <c r="P25" s="34">
        <v>1696377</v>
      </c>
      <c r="Q25" s="43">
        <v>0.55459999999999998</v>
      </c>
      <c r="R25" s="34">
        <v>2320579</v>
      </c>
      <c r="S25" s="34">
        <v>1455429</v>
      </c>
      <c r="T25" s="43">
        <v>0.62719999999999998</v>
      </c>
      <c r="U25" s="24">
        <v>803</v>
      </c>
      <c r="V25" s="21">
        <v>211774.00043499999</v>
      </c>
      <c r="W25" s="20">
        <f t="shared" si="0"/>
        <v>122996.00026300001</v>
      </c>
      <c r="X25" s="40">
        <f t="shared" si="1"/>
        <v>0.58078895431146793</v>
      </c>
      <c r="Y25" s="12">
        <v>383</v>
      </c>
      <c r="Z25" s="12">
        <v>103557.00012700001</v>
      </c>
      <c r="AA25" s="13">
        <f>Z25/V25</f>
        <v>0.48899770469597781</v>
      </c>
      <c r="AB25" s="4">
        <v>61</v>
      </c>
      <c r="AC25" s="4">
        <v>17017.000125999999</v>
      </c>
      <c r="AD25" s="17">
        <f>AC25/V25</f>
        <v>8.0354529314485154E-2</v>
      </c>
      <c r="AE25" s="9">
        <v>13</v>
      </c>
      <c r="AF25" s="9">
        <v>2422.0000100000002</v>
      </c>
      <c r="AG25" s="18">
        <f>AF25/V25</f>
        <v>1.1436720301004972E-2</v>
      </c>
    </row>
    <row r="26" spans="1:33" ht="15.75" customHeight="1" x14ac:dyDescent="0.2">
      <c r="A26" s="1" t="s">
        <v>80</v>
      </c>
      <c r="B26" s="1" t="s">
        <v>81</v>
      </c>
      <c r="C26" s="34">
        <v>1955888</v>
      </c>
      <c r="D26" s="34">
        <v>1124600</v>
      </c>
      <c r="E26" s="37">
        <v>0.57499999999999996</v>
      </c>
      <c r="F26" s="34">
        <v>1987968</v>
      </c>
      <c r="G26" s="34">
        <v>1098966</v>
      </c>
      <c r="H26" s="37">
        <v>0.55279999999999996</v>
      </c>
      <c r="I26" s="34">
        <v>2407509</v>
      </c>
      <c r="J26" s="34">
        <v>1370245</v>
      </c>
      <c r="K26" s="37">
        <v>0.56920000000000004</v>
      </c>
      <c r="L26" s="34">
        <v>1651264</v>
      </c>
      <c r="M26" s="34">
        <v>910817</v>
      </c>
      <c r="N26" s="43">
        <v>0.55159999999999998</v>
      </c>
      <c r="O26" s="34">
        <v>1633958</v>
      </c>
      <c r="P26" s="34">
        <v>904628</v>
      </c>
      <c r="Q26" s="43">
        <v>0.55359999999999998</v>
      </c>
      <c r="R26" s="34">
        <v>1174768</v>
      </c>
      <c r="S26" s="34">
        <v>755848</v>
      </c>
      <c r="T26" s="43">
        <v>0.64339999999999997</v>
      </c>
      <c r="U26" s="24">
        <v>350</v>
      </c>
      <c r="V26" s="21">
        <v>91894.000518000001</v>
      </c>
      <c r="W26" s="20">
        <f t="shared" si="0"/>
        <v>48878.000255999999</v>
      </c>
      <c r="X26" s="40">
        <f t="shared" si="1"/>
        <v>0.53189544453912285</v>
      </c>
      <c r="Y26" s="12">
        <v>157</v>
      </c>
      <c r="Z26" s="12">
        <v>39110.000189999999</v>
      </c>
      <c r="AA26" s="13">
        <f>Z26/V26</f>
        <v>0.4255990594548032</v>
      </c>
      <c r="AB26" s="4">
        <v>31</v>
      </c>
      <c r="AC26" s="4">
        <v>9213.0000839999993</v>
      </c>
      <c r="AD26" s="17">
        <f>AC26/V26</f>
        <v>0.10025681798666906</v>
      </c>
      <c r="AE26" s="9">
        <v>2</v>
      </c>
      <c r="AF26" s="9">
        <v>554.99998200000005</v>
      </c>
      <c r="AG26" s="18">
        <f>AF26/V26</f>
        <v>6.0395670976506003E-3</v>
      </c>
    </row>
    <row r="27" spans="1:33" ht="15.75" customHeight="1" x14ac:dyDescent="0.2">
      <c r="A27" s="1" t="s">
        <v>82</v>
      </c>
      <c r="B27" s="1" t="s">
        <v>83</v>
      </c>
      <c r="C27" s="34">
        <v>2179085</v>
      </c>
      <c r="D27" s="34">
        <v>1110817</v>
      </c>
      <c r="E27" s="37">
        <v>0.50980000000000003</v>
      </c>
      <c r="F27" s="34">
        <v>1917148</v>
      </c>
      <c r="G27" s="34">
        <v>1028512</v>
      </c>
      <c r="H27" s="37">
        <v>0.53649999999999998</v>
      </c>
      <c r="I27" s="34">
        <v>2064749</v>
      </c>
      <c r="J27" s="34">
        <v>1191279</v>
      </c>
      <c r="K27" s="37">
        <v>0.57699999999999996</v>
      </c>
      <c r="L27" s="34">
        <v>1589658</v>
      </c>
      <c r="M27" s="34">
        <v>904792</v>
      </c>
      <c r="N27" s="43">
        <v>0.56920000000000004</v>
      </c>
      <c r="O27" s="34">
        <v>1494296</v>
      </c>
      <c r="P27" s="34">
        <v>890719</v>
      </c>
      <c r="Q27" s="43">
        <v>0.59609999999999996</v>
      </c>
      <c r="R27" s="34">
        <v>1079979</v>
      </c>
      <c r="S27" s="34">
        <v>668822</v>
      </c>
      <c r="T27" s="43">
        <v>0.61929999999999996</v>
      </c>
      <c r="U27" s="24">
        <v>420</v>
      </c>
      <c r="V27" s="21">
        <v>98274.000241999995</v>
      </c>
      <c r="W27" s="20">
        <f t="shared" si="0"/>
        <v>55634.000257</v>
      </c>
      <c r="X27" s="40">
        <f t="shared" si="1"/>
        <v>0.566111078413427</v>
      </c>
      <c r="Y27" s="12">
        <v>199</v>
      </c>
      <c r="Z27" s="12">
        <v>46382.000285000002</v>
      </c>
      <c r="AA27" s="13">
        <f>Z27/V27</f>
        <v>0.47196613723654474</v>
      </c>
      <c r="AB27" s="4">
        <v>31</v>
      </c>
      <c r="AC27" s="4">
        <v>7018.9999690000004</v>
      </c>
      <c r="AD27" s="17">
        <f>AC27/V27</f>
        <v>7.1422756290735023E-2</v>
      </c>
      <c r="AE27" s="9">
        <v>10</v>
      </c>
      <c r="AF27" s="9">
        <v>2233.0000030000001</v>
      </c>
      <c r="AG27" s="18">
        <f>AF27/V27</f>
        <v>2.2722184886147214E-2</v>
      </c>
    </row>
    <row r="28" spans="1:33" ht="15.75" customHeight="1" x14ac:dyDescent="0.2">
      <c r="A28" s="1" t="s">
        <v>84</v>
      </c>
      <c r="B28" s="1" t="s">
        <v>85</v>
      </c>
      <c r="C28" s="34">
        <v>2480012</v>
      </c>
      <c r="D28" s="34">
        <v>1960906</v>
      </c>
      <c r="E28" s="37">
        <v>0.79069999999999996</v>
      </c>
      <c r="F28" s="34">
        <v>2229424</v>
      </c>
      <c r="G28" s="34">
        <v>1728499</v>
      </c>
      <c r="H28" s="37">
        <v>0.77529999999999999</v>
      </c>
      <c r="I28" s="34">
        <v>2079859</v>
      </c>
      <c r="J28" s="34">
        <v>1641966</v>
      </c>
      <c r="K28" s="37">
        <v>0.78949999999999998</v>
      </c>
      <c r="L28" s="34">
        <v>2155829</v>
      </c>
      <c r="M28" s="34">
        <v>1478440</v>
      </c>
      <c r="N28" s="43">
        <v>0.68579999999999997</v>
      </c>
      <c r="O28" s="34">
        <v>1955661</v>
      </c>
      <c r="P28" s="34">
        <v>1512909</v>
      </c>
      <c r="Q28" s="43">
        <v>0.77359999999999995</v>
      </c>
      <c r="R28" s="34">
        <v>1335223</v>
      </c>
      <c r="S28" s="34">
        <v>1045681</v>
      </c>
      <c r="T28" s="43">
        <v>0.78320000000000001</v>
      </c>
      <c r="U28" s="24">
        <v>794</v>
      </c>
      <c r="V28" s="21">
        <v>173838.00021299999</v>
      </c>
      <c r="W28" s="20">
        <f t="shared" si="0"/>
        <v>151673.00016499998</v>
      </c>
      <c r="X28" s="40">
        <f t="shared" si="1"/>
        <v>0.87249623200426996</v>
      </c>
      <c r="Y28" s="12">
        <v>657</v>
      </c>
      <c r="Z28" s="12">
        <v>138326.00013299999</v>
      </c>
      <c r="AA28" s="13">
        <f>Z28/V28</f>
        <v>0.79571785204335121</v>
      </c>
      <c r="AB28" s="4">
        <v>54</v>
      </c>
      <c r="AC28" s="4">
        <v>12460.000040999999</v>
      </c>
      <c r="AD28" s="17">
        <f>AC28/V28</f>
        <v>7.1675928311031117E-2</v>
      </c>
      <c r="AE28" s="9">
        <v>5</v>
      </c>
      <c r="AF28" s="9">
        <v>886.99999100000002</v>
      </c>
      <c r="AG28" s="18">
        <f>AF28/V28</f>
        <v>5.1024516498876992E-3</v>
      </c>
    </row>
    <row r="29" spans="1:33" ht="15.75" customHeight="1" x14ac:dyDescent="0.2">
      <c r="A29" s="1" t="s">
        <v>86</v>
      </c>
      <c r="B29" s="1" t="s">
        <v>87</v>
      </c>
      <c r="C29" s="34">
        <v>2431524</v>
      </c>
      <c r="D29" s="34">
        <v>1388388</v>
      </c>
      <c r="E29" s="37">
        <v>0.57099999999999995</v>
      </c>
      <c r="F29" s="34">
        <v>2514470</v>
      </c>
      <c r="G29" s="34">
        <v>1475237</v>
      </c>
      <c r="H29" s="37">
        <v>0.5867</v>
      </c>
      <c r="I29" s="34">
        <v>2663019</v>
      </c>
      <c r="J29" s="34">
        <v>1598973</v>
      </c>
      <c r="K29" s="37">
        <v>0.60040000000000004</v>
      </c>
      <c r="L29" s="34">
        <v>2175569</v>
      </c>
      <c r="M29" s="34">
        <v>1116907</v>
      </c>
      <c r="N29" s="43">
        <v>0.51339999999999997</v>
      </c>
      <c r="O29" s="34">
        <v>2148003</v>
      </c>
      <c r="P29" s="34">
        <v>1179245</v>
      </c>
      <c r="Q29" s="43">
        <v>0.54900000000000004</v>
      </c>
      <c r="R29" s="34">
        <v>1508647</v>
      </c>
      <c r="S29" s="34">
        <v>968539</v>
      </c>
      <c r="T29" s="43">
        <v>0.64200000000000002</v>
      </c>
      <c r="U29" s="24">
        <v>502</v>
      </c>
      <c r="V29" s="21">
        <v>144454.000157</v>
      </c>
      <c r="W29" s="20">
        <f t="shared" si="0"/>
        <v>76305.999905000004</v>
      </c>
      <c r="X29" s="40">
        <f t="shared" si="1"/>
        <v>0.52823736152731482</v>
      </c>
      <c r="Y29" s="12">
        <v>234</v>
      </c>
      <c r="Z29" s="12">
        <v>68980.999953000006</v>
      </c>
      <c r="AA29" s="13">
        <f>Z29/V29</f>
        <v>0.47752917799457212</v>
      </c>
      <c r="AB29" s="4">
        <v>20</v>
      </c>
      <c r="AC29" s="4">
        <v>5260.9999950000001</v>
      </c>
      <c r="AD29" s="17">
        <f>AC29/V29</f>
        <v>3.6419898301757486E-2</v>
      </c>
      <c r="AE29" s="9">
        <v>7</v>
      </c>
      <c r="AF29" s="9">
        <v>2063.999957</v>
      </c>
      <c r="AG29" s="18">
        <f>AF29/V29</f>
        <v>1.4288285230985222E-2</v>
      </c>
    </row>
    <row r="30" spans="1:33" ht="15.75" customHeight="1" x14ac:dyDescent="0.2">
      <c r="A30" s="1" t="s">
        <v>88</v>
      </c>
      <c r="B30" s="1" t="s">
        <v>89</v>
      </c>
      <c r="C30" s="34">
        <v>2456143</v>
      </c>
      <c r="D30" s="34">
        <v>1201351</v>
      </c>
      <c r="E30" s="37">
        <v>0.48909999999999998</v>
      </c>
      <c r="F30" s="34">
        <v>2348692</v>
      </c>
      <c r="G30" s="34">
        <v>1163269</v>
      </c>
      <c r="H30" s="37">
        <v>0.49530000000000002</v>
      </c>
      <c r="I30" s="34">
        <v>2688509</v>
      </c>
      <c r="J30" s="34">
        <v>1384488</v>
      </c>
      <c r="K30" s="37">
        <v>0.51500000000000001</v>
      </c>
      <c r="L30" s="34">
        <v>1865586</v>
      </c>
      <c r="M30" s="34">
        <v>897012</v>
      </c>
      <c r="N30" s="43">
        <v>0.48080000000000001</v>
      </c>
      <c r="O30" s="34">
        <v>1762398</v>
      </c>
      <c r="P30" s="34">
        <v>908770</v>
      </c>
      <c r="Q30" s="43">
        <v>0.51559999999999995</v>
      </c>
      <c r="R30" s="34">
        <v>1263474</v>
      </c>
      <c r="S30" s="34">
        <v>749272</v>
      </c>
      <c r="T30" s="43">
        <v>0.59299999999999997</v>
      </c>
      <c r="U30" s="24">
        <v>492</v>
      </c>
      <c r="V30" s="21">
        <v>139542.00050600001</v>
      </c>
      <c r="W30" s="20">
        <f t="shared" si="0"/>
        <v>77694.000251000005</v>
      </c>
      <c r="X30" s="40">
        <f t="shared" si="1"/>
        <v>0.55677860407096091</v>
      </c>
      <c r="Y30" s="12">
        <v>236</v>
      </c>
      <c r="Z30" s="12">
        <v>68439.000188000005</v>
      </c>
      <c r="AA30" s="13">
        <f>Z30/V30</f>
        <v>0.49045448638997602</v>
      </c>
      <c r="AB30" s="4">
        <v>34</v>
      </c>
      <c r="AC30" s="4">
        <v>8847.0000749999999</v>
      </c>
      <c r="AD30" s="17">
        <f>AC30/V30</f>
        <v>6.3400266893977902E-2</v>
      </c>
      <c r="AE30" s="9">
        <v>3</v>
      </c>
      <c r="AF30" s="9">
        <v>407.99998799999997</v>
      </c>
      <c r="AG30" s="18">
        <f>AF30/V30</f>
        <v>2.9238507870070047E-3</v>
      </c>
    </row>
    <row r="31" spans="1:33" ht="15.75" customHeight="1" x14ac:dyDescent="0.2">
      <c r="A31" s="1" t="s">
        <v>90</v>
      </c>
      <c r="B31" s="1" t="s">
        <v>91</v>
      </c>
      <c r="C31" s="34">
        <v>2126127</v>
      </c>
      <c r="D31" s="34">
        <v>1313516</v>
      </c>
      <c r="E31" s="37">
        <v>0.61780000000000002</v>
      </c>
      <c r="F31" s="34">
        <v>2202734</v>
      </c>
      <c r="G31" s="34">
        <v>1296517</v>
      </c>
      <c r="H31" s="37">
        <v>0.58860000000000001</v>
      </c>
      <c r="I31" s="34">
        <v>2098763</v>
      </c>
      <c r="J31" s="34">
        <v>1070714</v>
      </c>
      <c r="K31" s="37">
        <v>0.51019999999999999</v>
      </c>
      <c r="L31" s="34">
        <v>2084036</v>
      </c>
      <c r="M31" s="34">
        <v>1057004</v>
      </c>
      <c r="N31" s="43">
        <v>0.50719999999999998</v>
      </c>
      <c r="O31" s="34">
        <v>1872408</v>
      </c>
      <c r="P31" s="34">
        <v>965433</v>
      </c>
      <c r="Q31" s="43">
        <v>0.51559999999999995</v>
      </c>
      <c r="R31" s="34">
        <v>1265525</v>
      </c>
      <c r="S31" s="34">
        <v>677595</v>
      </c>
      <c r="T31" s="43">
        <v>0.53539999999999999</v>
      </c>
      <c r="U31" s="24">
        <v>759</v>
      </c>
      <c r="V31" s="21">
        <v>185583.000719</v>
      </c>
      <c r="W31" s="20">
        <f t="shared" si="0"/>
        <v>94306.00063000001</v>
      </c>
      <c r="X31" s="40">
        <f t="shared" si="1"/>
        <v>0.50816077046190877</v>
      </c>
      <c r="Y31" s="12">
        <v>293</v>
      </c>
      <c r="Z31" s="12">
        <v>72837.000486000004</v>
      </c>
      <c r="AA31" s="13">
        <f>Z31/V31</f>
        <v>0.39247668269081365</v>
      </c>
      <c r="AB31" s="4">
        <v>63</v>
      </c>
      <c r="AC31" s="4">
        <v>15179.000062999999</v>
      </c>
      <c r="AD31" s="17">
        <f>AC31/V31</f>
        <v>8.1790896818094025E-2</v>
      </c>
      <c r="AE31" s="9">
        <v>26</v>
      </c>
      <c r="AF31" s="9">
        <v>6290.0000810000001</v>
      </c>
      <c r="AG31" s="18">
        <f>AF31/V31</f>
        <v>3.3893190953001057E-2</v>
      </c>
    </row>
    <row r="32" spans="1:33" ht="15.75" customHeight="1" x14ac:dyDescent="0.2">
      <c r="A32" s="1" t="s">
        <v>92</v>
      </c>
      <c r="B32" s="1" t="s">
        <v>93</v>
      </c>
      <c r="C32" s="34">
        <v>2997900</v>
      </c>
      <c r="D32" s="34">
        <v>1757042</v>
      </c>
      <c r="E32" s="37">
        <v>0.58609999999999995</v>
      </c>
      <c r="F32" s="34">
        <v>2656696</v>
      </c>
      <c r="G32" s="34">
        <v>1541642</v>
      </c>
      <c r="H32" s="37">
        <v>0.58030000000000004</v>
      </c>
      <c r="I32" s="34">
        <v>2757141</v>
      </c>
      <c r="J32" s="34">
        <v>1647775</v>
      </c>
      <c r="K32" s="37">
        <v>0.59760000000000002</v>
      </c>
      <c r="L32" s="34">
        <v>2722674</v>
      </c>
      <c r="M32" s="34">
        <v>1363264</v>
      </c>
      <c r="N32" s="43">
        <v>0.50070000000000003</v>
      </c>
      <c r="O32" s="34">
        <v>2565797</v>
      </c>
      <c r="P32" s="34">
        <v>1296769</v>
      </c>
      <c r="Q32" s="43">
        <v>0.50539999999999996</v>
      </c>
      <c r="R32" s="34">
        <v>1733787</v>
      </c>
      <c r="S32" s="34">
        <v>952932</v>
      </c>
      <c r="T32" s="43">
        <v>0.54959999999999998</v>
      </c>
      <c r="U32" s="24">
        <v>598</v>
      </c>
      <c r="V32" s="21">
        <v>153508.00064899999</v>
      </c>
      <c r="W32" s="20">
        <f t="shared" si="0"/>
        <v>75936.000262000001</v>
      </c>
      <c r="X32" s="40">
        <f t="shared" si="1"/>
        <v>0.49467128710528663</v>
      </c>
      <c r="Y32" s="12">
        <v>255</v>
      </c>
      <c r="Z32" s="12">
        <v>66307.000188000005</v>
      </c>
      <c r="AA32" s="13">
        <f>Z32/V32</f>
        <v>0.4319449143215191</v>
      </c>
      <c r="AB32" s="4">
        <v>32</v>
      </c>
      <c r="AC32" s="4">
        <v>8198.0000889999992</v>
      </c>
      <c r="AD32" s="17">
        <f>AC32/V32</f>
        <v>5.3404383187459645E-2</v>
      </c>
      <c r="AE32" s="9">
        <v>8</v>
      </c>
      <c r="AF32" s="9">
        <v>1430.9999849999999</v>
      </c>
      <c r="AG32" s="18">
        <f>AF32/V32</f>
        <v>9.3219895963078721E-3</v>
      </c>
    </row>
    <row r="33" spans="1:33" ht="15.75" customHeight="1" x14ac:dyDescent="0.2">
      <c r="A33" s="1" t="s">
        <v>94</v>
      </c>
      <c r="B33" s="1" t="s">
        <v>95</v>
      </c>
      <c r="C33" s="34">
        <v>1912112</v>
      </c>
      <c r="D33" s="34">
        <v>1326113</v>
      </c>
      <c r="E33" s="37">
        <v>0.69350000000000001</v>
      </c>
      <c r="F33" s="34">
        <v>1811710</v>
      </c>
      <c r="G33" s="34">
        <v>1222373</v>
      </c>
      <c r="H33" s="37">
        <v>0.67469999999999997</v>
      </c>
      <c r="I33" s="34">
        <v>2059140</v>
      </c>
      <c r="J33" s="34">
        <v>1447584</v>
      </c>
      <c r="K33" s="37">
        <v>0.70299999999999996</v>
      </c>
      <c r="L33" s="34">
        <v>1765839</v>
      </c>
      <c r="M33" s="34">
        <v>1129253</v>
      </c>
      <c r="N33" s="43">
        <v>0.63949999999999996</v>
      </c>
      <c r="O33" s="34">
        <v>1573840</v>
      </c>
      <c r="P33" s="34">
        <v>981217</v>
      </c>
      <c r="Q33" s="43">
        <v>0.62350000000000005</v>
      </c>
      <c r="R33" s="34">
        <v>1094984</v>
      </c>
      <c r="S33" s="34">
        <v>747741</v>
      </c>
      <c r="T33" s="43">
        <v>0.68289999999999995</v>
      </c>
      <c r="U33" s="24">
        <v>345</v>
      </c>
      <c r="V33" s="21">
        <v>100798.000246</v>
      </c>
      <c r="W33" s="20">
        <f t="shared" si="0"/>
        <v>54093.000146999992</v>
      </c>
      <c r="X33" s="40">
        <f t="shared" si="1"/>
        <v>0.53664755267946485</v>
      </c>
      <c r="Y33" s="12">
        <v>158</v>
      </c>
      <c r="Z33" s="12">
        <v>46565.000163999997</v>
      </c>
      <c r="AA33" s="13">
        <f>Z33/V33</f>
        <v>0.46196353152202396</v>
      </c>
      <c r="AB33" s="4">
        <v>16</v>
      </c>
      <c r="AC33" s="4">
        <v>6634.9999710000002</v>
      </c>
      <c r="AD33" s="17">
        <f>AC33/V33</f>
        <v>6.5824718296068577E-2</v>
      </c>
      <c r="AE33" s="9">
        <v>2</v>
      </c>
      <c r="AF33" s="9">
        <v>893.00001199999997</v>
      </c>
      <c r="AG33" s="18">
        <f>AF33/V33</f>
        <v>8.8593028613723635E-3</v>
      </c>
    </row>
    <row r="34" spans="1:33" ht="15.75" customHeight="1" x14ac:dyDescent="0.2">
      <c r="A34" s="1" t="s">
        <v>96</v>
      </c>
      <c r="B34" s="1" t="s">
        <v>97</v>
      </c>
      <c r="C34" s="34">
        <v>2994332</v>
      </c>
      <c r="D34" s="34">
        <v>1607625</v>
      </c>
      <c r="E34" s="37">
        <v>0.53690000000000004</v>
      </c>
      <c r="F34" s="34">
        <v>2504500</v>
      </c>
      <c r="G34" s="34">
        <v>1286357</v>
      </c>
      <c r="H34" s="37">
        <v>0.51359999999999995</v>
      </c>
      <c r="I34" s="34">
        <v>2212617</v>
      </c>
      <c r="J34" s="34">
        <v>1093283</v>
      </c>
      <c r="K34" s="37">
        <v>0.49409999999999998</v>
      </c>
      <c r="L34" s="34">
        <v>2555071</v>
      </c>
      <c r="M34" s="34">
        <v>1414352</v>
      </c>
      <c r="N34" s="43">
        <v>0.55349999999999999</v>
      </c>
      <c r="O34" s="34">
        <v>2019358</v>
      </c>
      <c r="P34" s="34">
        <v>1088857</v>
      </c>
      <c r="Q34" s="43">
        <v>0.53920000000000001</v>
      </c>
      <c r="R34" s="34">
        <v>1412997</v>
      </c>
      <c r="S34" s="34">
        <v>793483</v>
      </c>
      <c r="T34" s="43">
        <v>0.56159999999999999</v>
      </c>
      <c r="U34" s="24">
        <v>583</v>
      </c>
      <c r="V34" s="21">
        <v>128197.00073499999</v>
      </c>
      <c r="W34" s="20">
        <f t="shared" ref="W34:W65" si="2">Z34+AC34+AF34</f>
        <v>50078.000465999998</v>
      </c>
      <c r="X34" s="40">
        <f t="shared" ref="X34:X65" si="3">W34/V34</f>
        <v>0.39063316753812199</v>
      </c>
      <c r="Y34" s="12">
        <v>196</v>
      </c>
      <c r="Z34" s="12">
        <v>40268.000318999999</v>
      </c>
      <c r="AA34" s="13">
        <f>Z34/V34</f>
        <v>0.31411031528139438</v>
      </c>
      <c r="AB34" s="4">
        <v>30</v>
      </c>
      <c r="AC34" s="4">
        <v>6245.0000659999996</v>
      </c>
      <c r="AD34" s="17">
        <f>AC34/V34</f>
        <v>4.8714088708746266E-2</v>
      </c>
      <c r="AE34" s="9">
        <v>15</v>
      </c>
      <c r="AF34" s="9">
        <v>3565.0000810000001</v>
      </c>
      <c r="AG34" s="18">
        <f>AF34/V34</f>
        <v>2.7808763547981303E-2</v>
      </c>
    </row>
    <row r="35" spans="1:33" ht="15.75" customHeight="1" x14ac:dyDescent="0.2">
      <c r="A35" s="1" t="s">
        <v>98</v>
      </c>
      <c r="B35" s="1" t="s">
        <v>99</v>
      </c>
      <c r="C35" s="34">
        <v>1535954</v>
      </c>
      <c r="D35" s="34">
        <v>897007</v>
      </c>
      <c r="E35" s="37">
        <v>0.58399999999999996</v>
      </c>
      <c r="F35" s="34">
        <v>1670766</v>
      </c>
      <c r="G35" s="34">
        <v>969916</v>
      </c>
      <c r="H35" s="37">
        <v>0.58050000000000002</v>
      </c>
      <c r="I35" s="34">
        <v>1690748</v>
      </c>
      <c r="J35" s="34">
        <v>978551</v>
      </c>
      <c r="K35" s="37">
        <v>0.57879999999999998</v>
      </c>
      <c r="L35" s="34">
        <v>1484177</v>
      </c>
      <c r="M35" s="34">
        <v>761601</v>
      </c>
      <c r="N35" s="43">
        <v>0.5131</v>
      </c>
      <c r="O35" s="34">
        <v>1331872</v>
      </c>
      <c r="P35" s="34">
        <v>775902</v>
      </c>
      <c r="Q35" s="43">
        <v>0.58260000000000001</v>
      </c>
      <c r="R35" s="34">
        <v>998842</v>
      </c>
      <c r="S35" s="34">
        <v>554201</v>
      </c>
      <c r="T35" s="43">
        <v>0.55479999999999996</v>
      </c>
      <c r="U35" s="24">
        <v>304</v>
      </c>
      <c r="V35" s="21">
        <v>86660.000411999994</v>
      </c>
      <c r="W35" s="20">
        <f t="shared" si="2"/>
        <v>39336.000091999995</v>
      </c>
      <c r="X35" s="40">
        <f t="shared" si="3"/>
        <v>0.45391183827588644</v>
      </c>
      <c r="Y35" s="12">
        <v>124</v>
      </c>
      <c r="Z35" s="12">
        <v>33208.000036999998</v>
      </c>
      <c r="AA35" s="13">
        <f>Z35/V35</f>
        <v>0.38319870619803986</v>
      </c>
      <c r="AB35" s="4">
        <v>14</v>
      </c>
      <c r="AC35" s="4">
        <v>5435.0000309999996</v>
      </c>
      <c r="AD35" s="17">
        <f>AC35/V35</f>
        <v>6.2716362856691188E-2</v>
      </c>
      <c r="AE35" s="9">
        <v>4</v>
      </c>
      <c r="AF35" s="9">
        <v>693.00002400000005</v>
      </c>
      <c r="AG35" s="18">
        <f>AF35/V35</f>
        <v>7.9967692211554489E-3</v>
      </c>
    </row>
    <row r="36" spans="1:33" ht="15.75" customHeight="1" x14ac:dyDescent="0.2">
      <c r="A36" s="1" t="s">
        <v>100</v>
      </c>
      <c r="B36" s="1" t="s">
        <v>101</v>
      </c>
      <c r="C36" s="34">
        <v>2353676</v>
      </c>
      <c r="D36" s="34">
        <v>1340878</v>
      </c>
      <c r="E36" s="37">
        <v>0.56969999999999998</v>
      </c>
      <c r="F36" s="34">
        <v>2359833</v>
      </c>
      <c r="G36" s="34">
        <v>1311442</v>
      </c>
      <c r="H36" s="37">
        <v>0.55569999999999997</v>
      </c>
      <c r="I36" s="34">
        <v>2550172</v>
      </c>
      <c r="J36" s="34">
        <v>1495120</v>
      </c>
      <c r="K36" s="37">
        <v>0.58630000000000004</v>
      </c>
      <c r="L36" s="34">
        <v>2007532</v>
      </c>
      <c r="M36" s="34">
        <v>994806</v>
      </c>
      <c r="N36" s="43">
        <v>0.4955</v>
      </c>
      <c r="O36" s="34">
        <v>1914303</v>
      </c>
      <c r="P36" s="34">
        <v>1060789</v>
      </c>
      <c r="Q36" s="43">
        <v>0.55410000000000004</v>
      </c>
      <c r="R36" s="34">
        <v>1383075</v>
      </c>
      <c r="S36" s="34">
        <v>834388</v>
      </c>
      <c r="T36" s="43">
        <v>0.60329999999999995</v>
      </c>
      <c r="U36" s="24">
        <v>440</v>
      </c>
      <c r="V36" s="21">
        <v>114054.000007</v>
      </c>
      <c r="W36" s="20">
        <f t="shared" si="2"/>
        <v>59995.000201000003</v>
      </c>
      <c r="X36" s="40">
        <f t="shared" si="3"/>
        <v>0.52602276287826688</v>
      </c>
      <c r="Y36" s="12">
        <v>203</v>
      </c>
      <c r="Z36" s="12">
        <v>52823.000168999999</v>
      </c>
      <c r="AA36" s="13">
        <f>Z36/V36</f>
        <v>0.46314026834445104</v>
      </c>
      <c r="AB36" s="4">
        <v>25</v>
      </c>
      <c r="AC36" s="4">
        <v>5421.0000030000001</v>
      </c>
      <c r="AD36" s="17">
        <f>AC36/V36</f>
        <v>4.7530117336238006E-2</v>
      </c>
      <c r="AE36" s="9">
        <v>11</v>
      </c>
      <c r="AF36" s="9">
        <v>1751.000029</v>
      </c>
      <c r="AG36" s="18">
        <f>AF36/V36</f>
        <v>1.5352377197577757E-2</v>
      </c>
    </row>
    <row r="37" spans="1:33" ht="15.75" customHeight="1" x14ac:dyDescent="0.2">
      <c r="A37" s="1" t="s">
        <v>102</v>
      </c>
      <c r="B37" s="1" t="s">
        <v>103</v>
      </c>
      <c r="C37" s="34">
        <v>5940080</v>
      </c>
      <c r="D37" s="34">
        <v>4057309</v>
      </c>
      <c r="E37" s="37">
        <v>0.68300000000000005</v>
      </c>
      <c r="F37" s="34">
        <v>5494436</v>
      </c>
      <c r="G37" s="34">
        <v>3551542</v>
      </c>
      <c r="H37" s="37">
        <v>0.64639999999999997</v>
      </c>
      <c r="I37" s="34">
        <v>5322667</v>
      </c>
      <c r="J37" s="34">
        <v>3653643</v>
      </c>
      <c r="K37" s="37">
        <v>0.68640000000000001</v>
      </c>
      <c r="L37" s="34">
        <v>5426115</v>
      </c>
      <c r="M37" s="34">
        <v>3112738</v>
      </c>
      <c r="N37" s="43">
        <v>0.57369999999999999</v>
      </c>
      <c r="O37" s="34">
        <v>4753308</v>
      </c>
      <c r="P37" s="34">
        <v>2943206</v>
      </c>
      <c r="Q37" s="43">
        <v>0.61919999999999997</v>
      </c>
      <c r="R37" s="34">
        <v>3352733</v>
      </c>
      <c r="S37" s="34">
        <v>2256855</v>
      </c>
      <c r="T37" s="43">
        <v>0.67310000000000003</v>
      </c>
      <c r="U37" s="24">
        <v>1985</v>
      </c>
      <c r="V37" s="21">
        <v>529958.00212700001</v>
      </c>
      <c r="W37" s="20">
        <f t="shared" si="2"/>
        <v>240281.00071399999</v>
      </c>
      <c r="X37" s="40">
        <f t="shared" si="3"/>
        <v>0.45339630640470763</v>
      </c>
      <c r="Y37" s="12">
        <v>944</v>
      </c>
      <c r="Z37" s="12">
        <v>222060.00059099999</v>
      </c>
      <c r="AA37" s="13">
        <f>Z37/V37</f>
        <v>0.41901433641865299</v>
      </c>
      <c r="AB37" s="4">
        <v>71</v>
      </c>
      <c r="AC37" s="4">
        <v>16449.000097</v>
      </c>
      <c r="AD37" s="17">
        <f>AC37/V37</f>
        <v>3.1038308754621154E-2</v>
      </c>
      <c r="AE37" s="9">
        <v>8</v>
      </c>
      <c r="AF37" s="9">
        <v>1772.0000259999999</v>
      </c>
      <c r="AG37" s="18">
        <f>AF37/V37</f>
        <v>3.3436612314334956E-3</v>
      </c>
    </row>
    <row r="38" spans="1:33" ht="15.75" customHeight="1" x14ac:dyDescent="0.2">
      <c r="A38" s="1" t="s">
        <v>104</v>
      </c>
      <c r="B38" s="1" t="s">
        <v>105</v>
      </c>
      <c r="C38" s="34">
        <v>2071667</v>
      </c>
      <c r="D38" s="34">
        <v>1193144</v>
      </c>
      <c r="E38" s="37">
        <v>0.57589999999999997</v>
      </c>
      <c r="F38" s="34">
        <v>2111452</v>
      </c>
      <c r="G38" s="34">
        <v>1204224</v>
      </c>
      <c r="H38" s="37">
        <v>0.57030000000000003</v>
      </c>
      <c r="I38" s="34">
        <v>2730682</v>
      </c>
      <c r="J38" s="34">
        <v>1732646</v>
      </c>
      <c r="K38" s="37">
        <v>0.63449999999999995</v>
      </c>
      <c r="L38" s="34">
        <v>1896740</v>
      </c>
      <c r="M38" s="34">
        <v>1102563</v>
      </c>
      <c r="N38" s="43">
        <v>0.58130000000000004</v>
      </c>
      <c r="O38" s="34">
        <v>1914693</v>
      </c>
      <c r="P38" s="34">
        <v>1090404</v>
      </c>
      <c r="Q38" s="43">
        <v>0.56950000000000001</v>
      </c>
      <c r="R38" s="34">
        <v>1418800</v>
      </c>
      <c r="S38" s="34">
        <v>893241</v>
      </c>
      <c r="T38" s="43">
        <v>0.62960000000000005</v>
      </c>
      <c r="U38" s="24">
        <v>334</v>
      </c>
      <c r="V38" s="21">
        <v>95508.000541000001</v>
      </c>
      <c r="W38" s="20">
        <f t="shared" si="2"/>
        <v>46611.000054000004</v>
      </c>
      <c r="X38" s="40">
        <f t="shared" si="3"/>
        <v>0.48803241393364394</v>
      </c>
      <c r="Y38" s="12">
        <v>134</v>
      </c>
      <c r="Z38" s="12">
        <v>37556.000007000002</v>
      </c>
      <c r="AA38" s="13">
        <f>Z38/V38</f>
        <v>0.39322360215129659</v>
      </c>
      <c r="AB38" s="4">
        <v>28</v>
      </c>
      <c r="AC38" s="4">
        <v>7728.0000689999997</v>
      </c>
      <c r="AD38" s="17">
        <f>AC38/V38</f>
        <v>8.0914688038961693E-2</v>
      </c>
      <c r="AE38" s="9">
        <v>3</v>
      </c>
      <c r="AF38" s="9">
        <v>1326.9999780000001</v>
      </c>
      <c r="AG38" s="18">
        <f>AF38/V38</f>
        <v>1.3894123743385675E-2</v>
      </c>
    </row>
    <row r="39" spans="1:33" ht="15.75" customHeight="1" x14ac:dyDescent="0.2">
      <c r="A39" s="1" t="s">
        <v>106</v>
      </c>
      <c r="B39" s="1" t="s">
        <v>107</v>
      </c>
      <c r="C39" s="34">
        <v>2601107</v>
      </c>
      <c r="D39" s="34">
        <v>1194275</v>
      </c>
      <c r="E39" s="37">
        <v>0.45910000000000001</v>
      </c>
      <c r="F39" s="34">
        <v>2430683</v>
      </c>
      <c r="G39" s="34">
        <v>1087770</v>
      </c>
      <c r="H39" s="37">
        <v>0.44750000000000001</v>
      </c>
      <c r="I39" s="34">
        <v>2794486</v>
      </c>
      <c r="J39" s="34">
        <v>1406635</v>
      </c>
      <c r="K39" s="37">
        <v>0.50339999999999996</v>
      </c>
      <c r="L39" s="34">
        <v>2085011</v>
      </c>
      <c r="M39" s="34">
        <v>914403</v>
      </c>
      <c r="N39" s="43">
        <v>0.43859999999999999</v>
      </c>
      <c r="O39" s="34">
        <v>1867228</v>
      </c>
      <c r="P39" s="34">
        <v>826700</v>
      </c>
      <c r="Q39" s="43">
        <v>0.44269999999999998</v>
      </c>
      <c r="R39" s="34">
        <v>1369738</v>
      </c>
      <c r="S39" s="34">
        <v>654374</v>
      </c>
      <c r="T39" s="43">
        <v>0.47770000000000001</v>
      </c>
      <c r="U39" s="24">
        <v>377</v>
      </c>
      <c r="V39" s="21">
        <v>108404.000631</v>
      </c>
      <c r="W39" s="20">
        <f t="shared" si="2"/>
        <v>50872.000306000002</v>
      </c>
      <c r="X39" s="40">
        <f t="shared" si="3"/>
        <v>0.46928157641676804</v>
      </c>
      <c r="Y39" s="12">
        <v>158</v>
      </c>
      <c r="Z39" s="12">
        <v>44736.000266000003</v>
      </c>
      <c r="AA39" s="13">
        <f>Z39/V39</f>
        <v>0.41267849900003567</v>
      </c>
      <c r="AB39" s="4">
        <v>14</v>
      </c>
      <c r="AC39" s="4">
        <v>4787.9999980000002</v>
      </c>
      <c r="AD39" s="17">
        <f>AC39/V39</f>
        <v>4.4168111602246429E-2</v>
      </c>
      <c r="AE39" s="9">
        <v>6</v>
      </c>
      <c r="AF39" s="9">
        <v>1348.0000419999999</v>
      </c>
      <c r="AG39" s="18">
        <f>AF39/V39</f>
        <v>1.2434965814485964E-2</v>
      </c>
    </row>
    <row r="40" spans="1:33" ht="15.75" customHeight="1" x14ac:dyDescent="0.2">
      <c r="A40" s="1" t="s">
        <v>108</v>
      </c>
      <c r="B40" s="1" t="s">
        <v>109</v>
      </c>
      <c r="C40" s="34">
        <v>2758806</v>
      </c>
      <c r="D40" s="34">
        <v>1889852</v>
      </c>
      <c r="E40" s="37">
        <v>0.68500000000000005</v>
      </c>
      <c r="F40" s="34">
        <v>2414890</v>
      </c>
      <c r="G40" s="34">
        <v>1551906</v>
      </c>
      <c r="H40" s="37">
        <v>0.64259999999999995</v>
      </c>
      <c r="I40" s="34">
        <v>2751123</v>
      </c>
      <c r="J40" s="34">
        <v>1919424</v>
      </c>
      <c r="K40" s="37">
        <v>0.69769999999999999</v>
      </c>
      <c r="L40" s="34">
        <v>2187032</v>
      </c>
      <c r="M40" s="34">
        <v>1394947</v>
      </c>
      <c r="N40" s="43">
        <v>0.63780000000000003</v>
      </c>
      <c r="O40" s="34">
        <v>2158023</v>
      </c>
      <c r="P40" s="34">
        <v>1147426</v>
      </c>
      <c r="Q40" s="43">
        <v>0.53169999999999995</v>
      </c>
      <c r="R40" s="34">
        <v>1384244</v>
      </c>
      <c r="S40" s="34">
        <v>926319</v>
      </c>
      <c r="T40" s="43">
        <v>0.66920000000000002</v>
      </c>
      <c r="U40" s="24">
        <v>542</v>
      </c>
      <c r="V40" s="21">
        <v>145092.00103099999</v>
      </c>
      <c r="W40" s="20">
        <f t="shared" si="2"/>
        <v>83100.000560999993</v>
      </c>
      <c r="X40" s="40">
        <f t="shared" si="3"/>
        <v>0.57274005438277098</v>
      </c>
      <c r="Y40" s="12">
        <v>261</v>
      </c>
      <c r="Z40" s="12">
        <v>71034.000434999994</v>
      </c>
      <c r="AA40" s="13">
        <f>Z40/V40</f>
        <v>0.48957902524084046</v>
      </c>
      <c r="AB40" s="4">
        <v>41</v>
      </c>
      <c r="AC40" s="4">
        <v>10869.00009</v>
      </c>
      <c r="AD40" s="17">
        <f>AC40/V40</f>
        <v>7.4911090982043571E-2</v>
      </c>
      <c r="AE40" s="9">
        <v>7</v>
      </c>
      <c r="AF40" s="9">
        <v>1197.0000359999999</v>
      </c>
      <c r="AG40" s="18">
        <f>AF40/V40</f>
        <v>8.2499381598869249E-3</v>
      </c>
    </row>
    <row r="41" spans="1:33" ht="15.75" customHeight="1" x14ac:dyDescent="0.2">
      <c r="A41" s="1" t="s">
        <v>110</v>
      </c>
      <c r="B41" s="1" t="s">
        <v>111</v>
      </c>
      <c r="C41" s="34">
        <v>3085365</v>
      </c>
      <c r="D41" s="34">
        <v>1849947</v>
      </c>
      <c r="E41" s="37">
        <v>0.59960000000000002</v>
      </c>
      <c r="F41" s="34">
        <v>2806098</v>
      </c>
      <c r="G41" s="34">
        <v>1576764</v>
      </c>
      <c r="H41" s="37">
        <v>0.56189999999999996</v>
      </c>
      <c r="I41" s="34">
        <v>3108937</v>
      </c>
      <c r="J41" s="34">
        <v>1699795</v>
      </c>
      <c r="K41" s="37">
        <v>0.54669999999999996</v>
      </c>
      <c r="L41" s="34">
        <v>3194839</v>
      </c>
      <c r="M41" s="34">
        <v>1389410</v>
      </c>
      <c r="N41" s="43">
        <v>0.43490000000000001</v>
      </c>
      <c r="O41" s="34">
        <v>2890324</v>
      </c>
      <c r="P41" s="34">
        <v>1453657</v>
      </c>
      <c r="Q41" s="43">
        <v>0.50290000000000001</v>
      </c>
      <c r="R41" s="34">
        <v>2169782</v>
      </c>
      <c r="S41" s="34">
        <v>1219478</v>
      </c>
      <c r="T41" s="43">
        <v>0.56200000000000006</v>
      </c>
      <c r="U41" s="24">
        <v>743</v>
      </c>
      <c r="V41" s="21">
        <v>194663.000421</v>
      </c>
      <c r="W41" s="20">
        <f t="shared" si="2"/>
        <v>107624.000384</v>
      </c>
      <c r="X41" s="40">
        <f t="shared" si="3"/>
        <v>0.55287342818738172</v>
      </c>
      <c r="Y41" s="12">
        <v>337</v>
      </c>
      <c r="Z41" s="12">
        <v>89249.000182999996</v>
      </c>
      <c r="AA41" s="13">
        <f>Z41/V41</f>
        <v>0.4584795261039854</v>
      </c>
      <c r="AB41" s="4">
        <v>51</v>
      </c>
      <c r="AC41" s="4">
        <v>16016.000124</v>
      </c>
      <c r="AD41" s="17">
        <f>AC41/V41</f>
        <v>8.2275522771980317E-2</v>
      </c>
      <c r="AE41" s="9">
        <v>10</v>
      </c>
      <c r="AF41" s="9">
        <v>2359.0000770000001</v>
      </c>
      <c r="AG41" s="18">
        <f>AF41/V41</f>
        <v>1.2118379311415947E-2</v>
      </c>
    </row>
    <row r="42" spans="1:33" ht="15.75" customHeight="1" x14ac:dyDescent="0.2">
      <c r="A42" s="1" t="s">
        <v>112</v>
      </c>
      <c r="B42" s="1" t="s">
        <v>113</v>
      </c>
      <c r="C42" s="34">
        <v>2542568</v>
      </c>
      <c r="D42" s="34">
        <v>1318235</v>
      </c>
      <c r="E42" s="37">
        <v>0.51849999999999996</v>
      </c>
      <c r="F42" s="34">
        <v>2182143</v>
      </c>
      <c r="G42" s="34">
        <v>1100711</v>
      </c>
      <c r="H42" s="37">
        <v>0.50439999999999996</v>
      </c>
      <c r="I42" s="34">
        <v>2098888</v>
      </c>
      <c r="J42" s="34">
        <v>1106404</v>
      </c>
      <c r="K42" s="37">
        <v>0.52710000000000001</v>
      </c>
      <c r="L42" s="34">
        <v>2152064</v>
      </c>
      <c r="M42" s="34">
        <v>1006837</v>
      </c>
      <c r="N42" s="43">
        <v>0.46779999999999999</v>
      </c>
      <c r="O42" s="34">
        <v>1868761</v>
      </c>
      <c r="P42" s="34">
        <v>854837</v>
      </c>
      <c r="Q42" s="43">
        <v>0.45739999999999997</v>
      </c>
      <c r="R42" s="34">
        <v>1242415</v>
      </c>
      <c r="S42" s="34">
        <v>602035</v>
      </c>
      <c r="T42" s="43">
        <v>0.48459999999999998</v>
      </c>
      <c r="U42" s="24">
        <v>614</v>
      </c>
      <c r="V42" s="21">
        <v>156696.00055900001</v>
      </c>
      <c r="W42" s="20">
        <f t="shared" si="2"/>
        <v>48104.000104999999</v>
      </c>
      <c r="X42" s="40">
        <f t="shared" si="3"/>
        <v>0.30698932923235411</v>
      </c>
      <c r="Y42" s="12">
        <v>176</v>
      </c>
      <c r="Z42" s="12">
        <v>42396.000116000003</v>
      </c>
      <c r="AA42" s="13">
        <f>Z42/V42</f>
        <v>0.27056210729537311</v>
      </c>
      <c r="AB42" s="4">
        <v>22</v>
      </c>
      <c r="AC42" s="4">
        <v>4265.9999980000002</v>
      </c>
      <c r="AD42" s="17">
        <f>AC42/V42</f>
        <v>2.7224689735420166E-2</v>
      </c>
      <c r="AE42" s="9">
        <v>6</v>
      </c>
      <c r="AF42" s="9">
        <v>1441.9999909999999</v>
      </c>
      <c r="AG42" s="18">
        <f>AF42/V42</f>
        <v>9.2025322015608837E-3</v>
      </c>
    </row>
    <row r="43" spans="1:33" ht="15.75" customHeight="1" x14ac:dyDescent="0.2">
      <c r="A43" s="1" t="s">
        <v>114</v>
      </c>
      <c r="B43" s="1" t="s">
        <v>115</v>
      </c>
      <c r="C43" s="34">
        <v>2302124</v>
      </c>
      <c r="D43" s="34">
        <v>1501138</v>
      </c>
      <c r="E43" s="37">
        <v>0.65210000000000001</v>
      </c>
      <c r="F43" s="34">
        <v>2256431</v>
      </c>
      <c r="G43" s="34">
        <v>1436580</v>
      </c>
      <c r="H43" s="37">
        <v>0.63670000000000004</v>
      </c>
      <c r="I43" s="34">
        <v>2537335</v>
      </c>
      <c r="J43" s="34">
        <v>1642561</v>
      </c>
      <c r="K43" s="37">
        <v>0.64739999999999998</v>
      </c>
      <c r="L43" s="34">
        <v>2131933</v>
      </c>
      <c r="M43" s="34">
        <v>1194366</v>
      </c>
      <c r="N43" s="43">
        <v>0.56020000000000003</v>
      </c>
      <c r="O43" s="34">
        <v>2004666</v>
      </c>
      <c r="P43" s="34">
        <v>1059919</v>
      </c>
      <c r="Q43" s="43">
        <v>0.52869999999999995</v>
      </c>
      <c r="R43" s="34">
        <v>1481064</v>
      </c>
      <c r="S43" s="34">
        <v>890083</v>
      </c>
      <c r="T43" s="43">
        <v>0.60099999999999998</v>
      </c>
      <c r="U43" s="24">
        <v>533</v>
      </c>
      <c r="V43" s="21">
        <v>141247.00042500001</v>
      </c>
      <c r="W43" s="20">
        <f t="shared" si="2"/>
        <v>69429.000142999983</v>
      </c>
      <c r="X43" s="40">
        <f t="shared" si="3"/>
        <v>0.49154318275145048</v>
      </c>
      <c r="Y43" s="12">
        <v>230</v>
      </c>
      <c r="Z43" s="12">
        <v>60909.000056999997</v>
      </c>
      <c r="AA43" s="13">
        <f>Z43/V43</f>
        <v>0.43122331712340856</v>
      </c>
      <c r="AB43" s="4">
        <v>29</v>
      </c>
      <c r="AC43" s="4">
        <v>6435.0000639999998</v>
      </c>
      <c r="AD43" s="17">
        <f>AC43/V43</f>
        <v>4.5558490053860548E-2</v>
      </c>
      <c r="AE43" s="9">
        <v>8</v>
      </c>
      <c r="AF43" s="9">
        <v>2085.0000220000002</v>
      </c>
      <c r="AG43" s="18">
        <f>AF43/V43</f>
        <v>1.4761375574181508E-2</v>
      </c>
    </row>
    <row r="44" spans="1:33" ht="15.75" customHeight="1" x14ac:dyDescent="0.2">
      <c r="A44" s="1" t="s">
        <v>116</v>
      </c>
      <c r="B44" s="1" t="s">
        <v>117</v>
      </c>
      <c r="C44" s="34">
        <v>2705777</v>
      </c>
      <c r="D44" s="34">
        <v>1496466</v>
      </c>
      <c r="E44" s="37">
        <v>0.55310000000000004</v>
      </c>
      <c r="F44" s="34">
        <v>2606751</v>
      </c>
      <c r="G44" s="34">
        <v>1348421</v>
      </c>
      <c r="H44" s="37">
        <v>0.51729999999999998</v>
      </c>
      <c r="I44" s="34">
        <v>2929715</v>
      </c>
      <c r="J44" s="34">
        <v>1641388</v>
      </c>
      <c r="K44" s="37">
        <v>0.56030000000000002</v>
      </c>
      <c r="L44" s="34">
        <v>2326040</v>
      </c>
      <c r="M44" s="34">
        <v>1191567</v>
      </c>
      <c r="N44" s="43">
        <v>0.51229999999999998</v>
      </c>
      <c r="O44" s="34">
        <v>2131188</v>
      </c>
      <c r="P44" s="34">
        <v>1075262</v>
      </c>
      <c r="Q44" s="43">
        <v>0.50449999999999995</v>
      </c>
      <c r="R44" s="34">
        <v>1383419</v>
      </c>
      <c r="S44" s="34">
        <v>761041</v>
      </c>
      <c r="T44" s="43">
        <v>0.55010000000000003</v>
      </c>
      <c r="U44" s="24">
        <v>503</v>
      </c>
      <c r="V44" s="21">
        <v>115439.000272</v>
      </c>
      <c r="W44" s="20">
        <f t="shared" si="2"/>
        <v>65878.000083999999</v>
      </c>
      <c r="X44" s="40">
        <f t="shared" si="3"/>
        <v>0.57067368851754396</v>
      </c>
      <c r="Y44" s="12">
        <v>233</v>
      </c>
      <c r="Z44" s="12">
        <v>53385.000109000001</v>
      </c>
      <c r="AA44" s="13">
        <f>Z44/V44</f>
        <v>0.4624520307973306</v>
      </c>
      <c r="AB44" s="4">
        <v>53</v>
      </c>
      <c r="AC44" s="4">
        <v>11098.999986999999</v>
      </c>
      <c r="AD44" s="17">
        <f>AC44/V44</f>
        <v>9.6146016171729506E-2</v>
      </c>
      <c r="AE44" s="9">
        <v>4</v>
      </c>
      <c r="AF44" s="9">
        <v>1393.999988</v>
      </c>
      <c r="AG44" s="18">
        <f>AF44/V44</f>
        <v>1.2075641548483835E-2</v>
      </c>
    </row>
    <row r="45" spans="1:33" ht="15.75" customHeight="1" x14ac:dyDescent="0.2">
      <c r="A45" s="1" t="s">
        <v>118</v>
      </c>
      <c r="B45" s="1" t="s">
        <v>119</v>
      </c>
      <c r="C45" s="34">
        <v>2445966</v>
      </c>
      <c r="D45" s="34">
        <v>1431719</v>
      </c>
      <c r="E45" s="37">
        <v>0.58530000000000004</v>
      </c>
      <c r="F45" s="34">
        <v>2428870</v>
      </c>
      <c r="G45" s="34">
        <v>1308577</v>
      </c>
      <c r="H45" s="37">
        <v>0.53879999999999995</v>
      </c>
      <c r="I45" s="34">
        <v>3006786</v>
      </c>
      <c r="J45" s="34">
        <v>1716645</v>
      </c>
      <c r="K45" s="37">
        <v>0.57089999999999996</v>
      </c>
      <c r="L45" s="34">
        <v>2077680</v>
      </c>
      <c r="M45" s="34">
        <v>1101228</v>
      </c>
      <c r="N45" s="43">
        <v>0.53</v>
      </c>
      <c r="O45" s="34">
        <v>2187081</v>
      </c>
      <c r="P45" s="34">
        <v>1124609</v>
      </c>
      <c r="Q45" s="43">
        <v>0.51419999999999999</v>
      </c>
      <c r="R45" s="34">
        <v>1606014</v>
      </c>
      <c r="S45" s="34">
        <v>925401</v>
      </c>
      <c r="T45" s="43">
        <v>0.57620000000000005</v>
      </c>
      <c r="U45" s="24">
        <v>385</v>
      </c>
      <c r="V45" s="21">
        <v>117517.000917</v>
      </c>
      <c r="W45" s="20">
        <f t="shared" si="2"/>
        <v>61747.000268999996</v>
      </c>
      <c r="X45" s="40">
        <f t="shared" si="3"/>
        <v>0.52543036145562216</v>
      </c>
      <c r="Y45" s="12">
        <v>166</v>
      </c>
      <c r="Z45" s="12">
        <v>52494.000206999997</v>
      </c>
      <c r="AA45" s="13">
        <f>Z45/V45</f>
        <v>0.4466928171871532</v>
      </c>
      <c r="AB45" s="4">
        <v>24</v>
      </c>
      <c r="AC45" s="4">
        <v>9145.0000710000004</v>
      </c>
      <c r="AD45" s="17">
        <f>AC45/V45</f>
        <v>7.7818528380067656E-2</v>
      </c>
      <c r="AE45" s="9">
        <v>1</v>
      </c>
      <c r="AF45" s="9">
        <v>107.99999099999999</v>
      </c>
      <c r="AG45" s="18">
        <f>AF45/V45</f>
        <v>9.1901588840135836E-4</v>
      </c>
    </row>
    <row r="46" spans="1:33" ht="15.75" customHeight="1" x14ac:dyDescent="0.2">
      <c r="A46" s="1" t="s">
        <v>120</v>
      </c>
      <c r="B46" s="1" t="s">
        <v>121</v>
      </c>
      <c r="C46" s="34">
        <v>1787550</v>
      </c>
      <c r="D46" s="34">
        <v>733204</v>
      </c>
      <c r="E46" s="37">
        <v>0.41020000000000001</v>
      </c>
      <c r="F46" s="34">
        <v>1630472</v>
      </c>
      <c r="G46" s="34">
        <v>573009</v>
      </c>
      <c r="H46" s="37">
        <v>0.35139999999999999</v>
      </c>
      <c r="I46" s="34">
        <v>1872068</v>
      </c>
      <c r="J46" s="34">
        <v>717701</v>
      </c>
      <c r="K46" s="37">
        <v>0.38340000000000002</v>
      </c>
      <c r="L46" s="34">
        <v>1386852</v>
      </c>
      <c r="M46" s="34">
        <v>346510</v>
      </c>
      <c r="N46" s="43">
        <v>0.24990000000000001</v>
      </c>
      <c r="O46" s="34">
        <v>1377919</v>
      </c>
      <c r="P46" s="34">
        <v>358303</v>
      </c>
      <c r="Q46" s="43">
        <v>0.26</v>
      </c>
      <c r="R46" s="34">
        <v>864855</v>
      </c>
      <c r="S46" s="34">
        <v>261116</v>
      </c>
      <c r="T46" s="43">
        <v>0.3019</v>
      </c>
      <c r="U46" s="24">
        <v>454</v>
      </c>
      <c r="V46" s="21">
        <v>115183.00026</v>
      </c>
      <c r="W46" s="20">
        <f t="shared" si="2"/>
        <v>58128.000137000003</v>
      </c>
      <c r="X46" s="40">
        <f t="shared" si="3"/>
        <v>0.50465780545557049</v>
      </c>
      <c r="Y46" s="12">
        <v>237</v>
      </c>
      <c r="Z46" s="12">
        <v>56489.000135000002</v>
      </c>
      <c r="AA46" s="13">
        <f>Z46/V46</f>
        <v>0.4904282750708755</v>
      </c>
      <c r="AB46" s="4">
        <v>0</v>
      </c>
      <c r="AC46" s="4">
        <v>0</v>
      </c>
      <c r="AD46" s="17">
        <f>AC46/V46</f>
        <v>0</v>
      </c>
      <c r="AE46" s="9">
        <v>7</v>
      </c>
      <c r="AF46" s="9">
        <v>1639.000002</v>
      </c>
      <c r="AG46" s="18">
        <f>AF46/V46</f>
        <v>1.4229530384694981E-2</v>
      </c>
    </row>
    <row r="47" spans="1:33" ht="15.75" customHeight="1" x14ac:dyDescent="0.2">
      <c r="A47" s="1" t="s">
        <v>122</v>
      </c>
      <c r="B47" s="1" t="s">
        <v>123</v>
      </c>
      <c r="C47" s="34">
        <v>2773071</v>
      </c>
      <c r="D47" s="34">
        <v>1733241</v>
      </c>
      <c r="E47" s="37">
        <v>0.625</v>
      </c>
      <c r="F47" s="34">
        <v>2705506</v>
      </c>
      <c r="G47" s="34">
        <v>1670045</v>
      </c>
      <c r="H47" s="37">
        <v>0.61729999999999996</v>
      </c>
      <c r="I47" s="34">
        <v>2573357</v>
      </c>
      <c r="J47" s="34">
        <v>1689788</v>
      </c>
      <c r="K47" s="37">
        <v>0.65659999999999996</v>
      </c>
      <c r="L47" s="34">
        <v>2493326</v>
      </c>
      <c r="M47" s="34">
        <v>1420927</v>
      </c>
      <c r="N47" s="43">
        <v>0.56989999999999996</v>
      </c>
      <c r="O47" s="34">
        <v>2233708</v>
      </c>
      <c r="P47" s="34">
        <v>1316473</v>
      </c>
      <c r="Q47" s="43">
        <v>0.58940000000000003</v>
      </c>
      <c r="R47" s="34">
        <v>1641804</v>
      </c>
      <c r="S47" s="34">
        <v>1017771</v>
      </c>
      <c r="T47" s="43">
        <v>0.61990000000000001</v>
      </c>
      <c r="U47" s="24">
        <v>492</v>
      </c>
      <c r="V47" s="21">
        <v>122644.000182</v>
      </c>
      <c r="W47" s="20">
        <f t="shared" si="2"/>
        <v>70340.999987000003</v>
      </c>
      <c r="X47" s="40">
        <f t="shared" si="3"/>
        <v>0.57353804411643516</v>
      </c>
      <c r="Y47" s="12">
        <v>234</v>
      </c>
      <c r="Z47" s="12">
        <v>56933.999965000003</v>
      </c>
      <c r="AA47" s="13">
        <f>Z47/V47</f>
        <v>0.46422164867838345</v>
      </c>
      <c r="AB47" s="4">
        <v>39</v>
      </c>
      <c r="AC47" s="4">
        <v>11490.000019999999</v>
      </c>
      <c r="AD47" s="17">
        <f>AC47/V47</f>
        <v>9.3685789789546864E-2</v>
      </c>
      <c r="AE47" s="9">
        <v>6</v>
      </c>
      <c r="AF47" s="9">
        <v>1917.000002</v>
      </c>
      <c r="AG47" s="18">
        <f>AF47/V47</f>
        <v>1.5630605648504856E-2</v>
      </c>
    </row>
    <row r="48" spans="1:33" ht="15.75" customHeight="1" x14ac:dyDescent="0.2">
      <c r="A48" s="1" t="s">
        <v>124</v>
      </c>
      <c r="B48" s="33" t="s">
        <v>125</v>
      </c>
      <c r="C48" s="34">
        <v>1941459</v>
      </c>
      <c r="D48" s="34">
        <v>1430978</v>
      </c>
      <c r="E48" s="37">
        <v>0.73709999999999998</v>
      </c>
      <c r="F48" s="34">
        <v>1837372</v>
      </c>
      <c r="G48" s="34">
        <v>1402755</v>
      </c>
      <c r="H48" s="37">
        <v>0.76349999999999996</v>
      </c>
      <c r="I48" s="34">
        <v>1844008</v>
      </c>
      <c r="J48" s="34">
        <v>1388136</v>
      </c>
      <c r="K48" s="37">
        <v>0.75280000000000002</v>
      </c>
      <c r="L48" s="34">
        <v>1455808</v>
      </c>
      <c r="M48" s="34">
        <v>919170</v>
      </c>
      <c r="N48" s="43">
        <v>0.63139999999999996</v>
      </c>
      <c r="O48" s="34">
        <v>1654890</v>
      </c>
      <c r="P48" s="34">
        <v>1028768</v>
      </c>
      <c r="Q48" s="43">
        <v>0.62170000000000003</v>
      </c>
      <c r="R48" s="34">
        <v>1036382</v>
      </c>
      <c r="S48" s="34">
        <v>659795</v>
      </c>
      <c r="T48" s="43">
        <v>0.63660000000000005</v>
      </c>
      <c r="U48" s="24">
        <v>679</v>
      </c>
      <c r="V48" s="21">
        <v>176515.000761</v>
      </c>
      <c r="W48" s="20">
        <f t="shared" si="2"/>
        <v>89951.000354999996</v>
      </c>
      <c r="X48" s="40">
        <f t="shared" si="3"/>
        <v>0.50959408530265926</v>
      </c>
      <c r="Y48" s="12">
        <v>343</v>
      </c>
      <c r="Z48" s="12">
        <v>89108.000323999993</v>
      </c>
      <c r="AA48" s="13">
        <f>Z48/V48</f>
        <v>0.50481828705681264</v>
      </c>
      <c r="AB48" s="4">
        <v>0</v>
      </c>
      <c r="AC48" s="4">
        <v>0</v>
      </c>
      <c r="AD48" s="17">
        <f>AC48/V48</f>
        <v>0</v>
      </c>
      <c r="AE48" s="9">
        <v>3</v>
      </c>
      <c r="AF48" s="9">
        <v>843.00003100000004</v>
      </c>
      <c r="AG48" s="18">
        <f>AF48/V48</f>
        <v>4.7757982458466281E-3</v>
      </c>
    </row>
    <row r="49" spans="1:33" ht="15.75" customHeight="1" x14ac:dyDescent="0.2">
      <c r="A49" s="1" t="s">
        <v>126</v>
      </c>
      <c r="B49" s="1" t="s">
        <v>127</v>
      </c>
      <c r="C49" s="34">
        <v>2452127</v>
      </c>
      <c r="D49" s="34">
        <v>1294617</v>
      </c>
      <c r="E49" s="37">
        <v>0.52800000000000002</v>
      </c>
      <c r="F49" s="34">
        <v>2575071</v>
      </c>
      <c r="G49" s="34">
        <v>1223456</v>
      </c>
      <c r="H49" s="37">
        <v>0.47510000000000002</v>
      </c>
      <c r="I49" s="34">
        <v>2447263</v>
      </c>
      <c r="J49" s="34">
        <v>1330608</v>
      </c>
      <c r="K49" s="37">
        <v>0.54369999999999996</v>
      </c>
      <c r="L49" s="34">
        <v>2152010</v>
      </c>
      <c r="M49" s="34">
        <v>1070924</v>
      </c>
      <c r="N49" s="43">
        <v>0.49759999999999999</v>
      </c>
      <c r="O49" s="34">
        <v>2109586</v>
      </c>
      <c r="P49" s="34">
        <v>1064575</v>
      </c>
      <c r="Q49" s="43">
        <v>0.50460000000000005</v>
      </c>
      <c r="R49" s="34">
        <v>1337123</v>
      </c>
      <c r="S49" s="34">
        <v>742126</v>
      </c>
      <c r="T49" s="43">
        <v>0.55500000000000005</v>
      </c>
      <c r="U49" s="24">
        <v>315</v>
      </c>
      <c r="V49" s="21">
        <v>78777.000408000007</v>
      </c>
      <c r="W49" s="20">
        <f t="shared" si="2"/>
        <v>47593.000311999996</v>
      </c>
      <c r="X49" s="40">
        <f t="shared" si="3"/>
        <v>0.60414841978632638</v>
      </c>
      <c r="Y49" s="12">
        <v>161</v>
      </c>
      <c r="Z49" s="12">
        <v>41991.000269999997</v>
      </c>
      <c r="AA49" s="13">
        <f>Z49/V49</f>
        <v>0.53303629298553112</v>
      </c>
      <c r="AB49" s="4">
        <v>23</v>
      </c>
      <c r="AC49" s="4">
        <v>5194.0000229999996</v>
      </c>
      <c r="AD49" s="17">
        <f>AC49/V49</f>
        <v>6.5932949923192749E-2</v>
      </c>
      <c r="AE49" s="9">
        <v>2</v>
      </c>
      <c r="AF49" s="9">
        <v>408.00001900000001</v>
      </c>
      <c r="AG49" s="18">
        <f>AF49/V49</f>
        <v>5.1791768776025468E-3</v>
      </c>
    </row>
    <row r="50" spans="1:33" ht="15.75" customHeight="1" x14ac:dyDescent="0.2">
      <c r="A50" s="1" t="s">
        <v>128</v>
      </c>
      <c r="B50" s="1" t="s">
        <v>129</v>
      </c>
      <c r="C50" s="34">
        <v>1584009</v>
      </c>
      <c r="D50" s="34">
        <v>770779</v>
      </c>
      <c r="E50" s="37">
        <v>0.48659999999999998</v>
      </c>
      <c r="F50" s="34">
        <v>1530616</v>
      </c>
      <c r="G50" s="34">
        <v>760400</v>
      </c>
      <c r="H50" s="37">
        <v>0.49680000000000002</v>
      </c>
      <c r="I50" s="34">
        <v>1735446</v>
      </c>
      <c r="J50" s="34">
        <v>919457</v>
      </c>
      <c r="K50" s="37">
        <v>0.52980000000000005</v>
      </c>
      <c r="L50" s="34">
        <v>1299219</v>
      </c>
      <c r="M50" s="34">
        <v>544170</v>
      </c>
      <c r="N50" s="43">
        <v>0.41880000000000001</v>
      </c>
      <c r="O50" s="34">
        <v>1123018</v>
      </c>
      <c r="P50" s="34">
        <v>462537</v>
      </c>
      <c r="Q50" s="43">
        <v>0.41189999999999999</v>
      </c>
      <c r="R50" s="34">
        <v>805784</v>
      </c>
      <c r="S50" s="34">
        <v>391526</v>
      </c>
      <c r="T50" s="43">
        <v>0.4859</v>
      </c>
      <c r="U50" s="24">
        <v>306</v>
      </c>
      <c r="V50" s="21">
        <v>80985.000020000007</v>
      </c>
      <c r="W50" s="20">
        <f t="shared" si="2"/>
        <v>43043.999866000006</v>
      </c>
      <c r="X50" s="40">
        <f t="shared" si="3"/>
        <v>0.53150583262789264</v>
      </c>
      <c r="Y50" s="12">
        <v>131</v>
      </c>
      <c r="Z50" s="12">
        <v>35200.999849</v>
      </c>
      <c r="AA50" s="13">
        <f>Z50/V50</f>
        <v>0.4346607376712574</v>
      </c>
      <c r="AB50" s="4">
        <v>23</v>
      </c>
      <c r="AC50" s="4">
        <v>6568.0000120000004</v>
      </c>
      <c r="AD50" s="17">
        <f>AC50/V50</f>
        <v>8.110143866614769E-2</v>
      </c>
      <c r="AE50" s="9">
        <v>4</v>
      </c>
      <c r="AF50" s="9">
        <v>1275.0000050000001</v>
      </c>
      <c r="AG50" s="18">
        <f>AF50/V50</f>
        <v>1.5743656290487459E-2</v>
      </c>
    </row>
    <row r="51" spans="1:33" ht="15.75" customHeight="1" x14ac:dyDescent="0.2">
      <c r="A51" s="1" t="s">
        <v>130</v>
      </c>
      <c r="B51" s="1" t="s">
        <v>131</v>
      </c>
      <c r="C51" s="34">
        <v>1956397</v>
      </c>
      <c r="D51" s="34">
        <v>1240113</v>
      </c>
      <c r="E51" s="37">
        <v>0.63390000000000002</v>
      </c>
      <c r="F51" s="34">
        <v>1901522</v>
      </c>
      <c r="G51" s="34">
        <v>1128965</v>
      </c>
      <c r="H51" s="37">
        <v>0.59370000000000001</v>
      </c>
      <c r="I51" s="34">
        <v>1976315</v>
      </c>
      <c r="J51" s="34">
        <v>1187889</v>
      </c>
      <c r="K51" s="37">
        <v>0.60109999999999997</v>
      </c>
      <c r="L51" s="34">
        <v>1803575</v>
      </c>
      <c r="M51" s="34">
        <v>957697</v>
      </c>
      <c r="N51" s="43">
        <v>0.53100000000000003</v>
      </c>
      <c r="O51" s="34">
        <v>1589506</v>
      </c>
      <c r="P51" s="34">
        <v>940528</v>
      </c>
      <c r="Q51" s="43">
        <v>0.5917</v>
      </c>
      <c r="R51" s="34">
        <v>1140422</v>
      </c>
      <c r="S51" s="34">
        <v>688936</v>
      </c>
      <c r="T51" s="43">
        <v>0.60409999999999997</v>
      </c>
      <c r="U51" s="24">
        <v>388</v>
      </c>
      <c r="V51" s="21">
        <v>95199.000448999999</v>
      </c>
      <c r="W51" s="20">
        <f t="shared" si="2"/>
        <v>49709.000400999998</v>
      </c>
      <c r="X51" s="40">
        <f t="shared" si="3"/>
        <v>0.52215884795586798</v>
      </c>
      <c r="Y51" s="12">
        <v>181</v>
      </c>
      <c r="Z51" s="12">
        <v>45513.000365</v>
      </c>
      <c r="AA51" s="13">
        <f>Z51/V51</f>
        <v>0.47808275454932136</v>
      </c>
      <c r="AB51" s="4">
        <v>15</v>
      </c>
      <c r="AC51" s="4">
        <v>2842.0000209999998</v>
      </c>
      <c r="AD51" s="17">
        <f>AC51/V51</f>
        <v>2.9853254840869006E-2</v>
      </c>
      <c r="AE51" s="9">
        <v>3</v>
      </c>
      <c r="AF51" s="9">
        <v>1354.0000150000001</v>
      </c>
      <c r="AG51" s="18">
        <f>AF51/V51</f>
        <v>1.422283856567764E-2</v>
      </c>
    </row>
    <row r="52" spans="1:33" ht="14" x14ac:dyDescent="0.2">
      <c r="A52" s="1" t="s">
        <v>132</v>
      </c>
      <c r="B52" s="1" t="s">
        <v>133</v>
      </c>
      <c r="C52" s="34">
        <v>3170087</v>
      </c>
      <c r="D52" s="34">
        <v>2107630</v>
      </c>
      <c r="E52" s="37">
        <v>0.66479999999999995</v>
      </c>
      <c r="F52" s="34">
        <v>2897600</v>
      </c>
      <c r="G52" s="34">
        <v>1872024</v>
      </c>
      <c r="H52" s="37">
        <v>0.64610000000000001</v>
      </c>
      <c r="I52" s="34">
        <v>3204877</v>
      </c>
      <c r="J52" s="34">
        <v>2165690</v>
      </c>
      <c r="K52" s="37">
        <v>0.67569999999999997</v>
      </c>
      <c r="L52" s="34">
        <v>2698337</v>
      </c>
      <c r="M52" s="34">
        <v>1554735</v>
      </c>
      <c r="N52" s="43">
        <v>0.57620000000000005</v>
      </c>
      <c r="O52" s="34">
        <v>2478697</v>
      </c>
      <c r="P52" s="34">
        <v>1502133</v>
      </c>
      <c r="Q52" s="43">
        <v>0.60599999999999998</v>
      </c>
      <c r="R52" s="34">
        <v>1797624</v>
      </c>
      <c r="S52" s="34">
        <v>1084532</v>
      </c>
      <c r="T52" s="43">
        <v>0.60329999999999995</v>
      </c>
      <c r="U52" s="24">
        <v>722</v>
      </c>
      <c r="V52" s="21">
        <v>170557.000439</v>
      </c>
      <c r="W52" s="20">
        <f t="shared" si="2"/>
        <v>91775.000226000004</v>
      </c>
      <c r="X52" s="40">
        <f t="shared" si="3"/>
        <v>0.53808990536758117</v>
      </c>
      <c r="Y52" s="12">
        <v>320</v>
      </c>
      <c r="Z52" s="12">
        <v>78398.000123000005</v>
      </c>
      <c r="AA52" s="13">
        <f>Z52/V52</f>
        <v>0.45965864738011258</v>
      </c>
      <c r="AB52" s="4">
        <v>49</v>
      </c>
      <c r="AC52" s="4">
        <v>11571.000144</v>
      </c>
      <c r="AD52" s="17">
        <f>AC52/V52</f>
        <v>6.7842422851112388E-2</v>
      </c>
      <c r="AE52" s="9">
        <v>8</v>
      </c>
      <c r="AF52" s="9">
        <v>1805.999959</v>
      </c>
      <c r="AG52" s="18">
        <f>AF52/V52</f>
        <v>1.0588835136356183E-2</v>
      </c>
    </row>
    <row r="53" spans="1:33" ht="14" x14ac:dyDescent="0.2">
      <c r="A53" s="1" t="s">
        <v>134</v>
      </c>
      <c r="B53" s="1" t="s">
        <v>135</v>
      </c>
      <c r="C53" s="34">
        <v>2713899</v>
      </c>
      <c r="D53" s="34">
        <v>1656246</v>
      </c>
      <c r="E53" s="37">
        <v>0.61029999999999995</v>
      </c>
      <c r="F53" s="34">
        <v>2748856</v>
      </c>
      <c r="G53" s="34">
        <v>1644592</v>
      </c>
      <c r="H53" s="37">
        <v>0.59830000000000005</v>
      </c>
      <c r="I53" s="34">
        <v>3584390</v>
      </c>
      <c r="J53" s="34">
        <v>2241150</v>
      </c>
      <c r="K53" s="37">
        <v>0.62529999999999997</v>
      </c>
      <c r="L53" s="34">
        <v>2498200</v>
      </c>
      <c r="M53" s="34">
        <v>1405220</v>
      </c>
      <c r="N53" s="43">
        <v>0.5625</v>
      </c>
      <c r="O53" s="34">
        <v>2569536</v>
      </c>
      <c r="P53" s="34">
        <v>1391929</v>
      </c>
      <c r="Q53" s="43">
        <v>0.54169999999999996</v>
      </c>
      <c r="R53" s="34">
        <v>1915521</v>
      </c>
      <c r="S53" s="34">
        <v>1156915</v>
      </c>
      <c r="T53" s="43">
        <v>0.60399999999999998</v>
      </c>
      <c r="U53" s="24">
        <v>491</v>
      </c>
      <c r="V53" s="21">
        <v>147966.00064899999</v>
      </c>
      <c r="W53" s="20">
        <f t="shared" si="2"/>
        <v>77329.000297000006</v>
      </c>
      <c r="X53" s="40">
        <f t="shared" si="3"/>
        <v>0.52261330277106888</v>
      </c>
      <c r="Y53" s="12">
        <v>216</v>
      </c>
      <c r="Z53" s="12">
        <v>64082.000296999999</v>
      </c>
      <c r="AA53" s="13">
        <f>Z53/V53</f>
        <v>0.43308597931908144</v>
      </c>
      <c r="AB53" s="4">
        <v>43</v>
      </c>
      <c r="AC53" s="4">
        <v>11242.999991999999</v>
      </c>
      <c r="AD53" s="17">
        <f>AC53/V53</f>
        <v>7.5983671537289632E-2</v>
      </c>
      <c r="AE53" s="9">
        <v>4</v>
      </c>
      <c r="AF53" s="9">
        <v>2004.000008</v>
      </c>
      <c r="AG53" s="18">
        <f>AF53/V53</f>
        <v>1.3543651914697767E-2</v>
      </c>
    </row>
    <row r="54" spans="1:33" ht="14" x14ac:dyDescent="0.2">
      <c r="A54" s="1" t="s">
        <v>136</v>
      </c>
      <c r="B54" s="1" t="s">
        <v>137</v>
      </c>
      <c r="C54" s="34">
        <v>2054455</v>
      </c>
      <c r="D54" s="34">
        <v>1478541</v>
      </c>
      <c r="E54" s="37">
        <v>0.71970000000000001</v>
      </c>
      <c r="F54" s="34">
        <v>2017881</v>
      </c>
      <c r="G54" s="34">
        <v>1400478</v>
      </c>
      <c r="H54" s="37">
        <v>0.69399999999999995</v>
      </c>
      <c r="I54" s="34">
        <v>2013425</v>
      </c>
      <c r="J54" s="34">
        <v>1427193</v>
      </c>
      <c r="K54" s="37">
        <v>0.70879999999999999</v>
      </c>
      <c r="L54" s="34">
        <v>1951338</v>
      </c>
      <c r="M54" s="34">
        <v>1135737</v>
      </c>
      <c r="N54" s="43">
        <v>0.58199999999999996</v>
      </c>
      <c r="O54" s="34">
        <v>1876360</v>
      </c>
      <c r="P54" s="34">
        <v>1067117</v>
      </c>
      <c r="Q54" s="43">
        <v>0.56869999999999998</v>
      </c>
      <c r="R54" s="34">
        <v>1368950</v>
      </c>
      <c r="S54" s="34">
        <v>820447</v>
      </c>
      <c r="T54" s="43">
        <v>0.59930000000000005</v>
      </c>
      <c r="U54" s="24">
        <v>490</v>
      </c>
      <c r="V54" s="21">
        <v>132099.00030399999</v>
      </c>
      <c r="W54" s="20">
        <f t="shared" si="2"/>
        <v>74126.000218999994</v>
      </c>
      <c r="X54" s="40">
        <f t="shared" si="3"/>
        <v>0.56113975161366492</v>
      </c>
      <c r="Y54" s="12">
        <v>234</v>
      </c>
      <c r="Z54" s="12">
        <v>65527.000207999998</v>
      </c>
      <c r="AA54" s="13">
        <f>Z54/V54</f>
        <v>0.49604463362479984</v>
      </c>
      <c r="AB54" s="4">
        <v>29</v>
      </c>
      <c r="AC54" s="4">
        <v>7611.9999879999996</v>
      </c>
      <c r="AD54" s="17">
        <f>AC54/V54</f>
        <v>5.7623448856406724E-2</v>
      </c>
      <c r="AE54" s="9">
        <v>4</v>
      </c>
      <c r="AF54" s="9">
        <v>987.00002300000006</v>
      </c>
      <c r="AG54" s="18">
        <f>AF54/V54</f>
        <v>7.4716691324583284E-3</v>
      </c>
    </row>
    <row r="55" spans="1:33" ht="14" x14ac:dyDescent="0.2">
      <c r="A55" s="1" t="s">
        <v>138</v>
      </c>
      <c r="B55" s="1" t="s">
        <v>139</v>
      </c>
      <c r="C55" s="34">
        <v>1669548</v>
      </c>
      <c r="D55" s="34">
        <v>1050730</v>
      </c>
      <c r="E55" s="37">
        <v>0.62929999999999997</v>
      </c>
      <c r="F55" s="34">
        <v>1665869</v>
      </c>
      <c r="G55" s="34">
        <v>1029436</v>
      </c>
      <c r="H55" s="37">
        <v>0.61799999999999999</v>
      </c>
      <c r="I55" s="34">
        <v>1784656</v>
      </c>
      <c r="J55" s="34">
        <v>1145289</v>
      </c>
      <c r="K55" s="37">
        <v>0.64170000000000005</v>
      </c>
      <c r="L55" s="34">
        <v>1573917</v>
      </c>
      <c r="M55" s="34">
        <v>852046</v>
      </c>
      <c r="N55" s="43">
        <v>0.54139999999999999</v>
      </c>
      <c r="O55" s="34">
        <v>1515633</v>
      </c>
      <c r="P55" s="34">
        <v>853886</v>
      </c>
      <c r="Q55" s="43">
        <v>0.56340000000000001</v>
      </c>
      <c r="R55" s="34">
        <v>1036985</v>
      </c>
      <c r="S55" s="34">
        <v>624665</v>
      </c>
      <c r="T55" s="43">
        <v>0.60240000000000005</v>
      </c>
      <c r="U55" s="24">
        <v>400</v>
      </c>
      <c r="V55" s="21">
        <v>100264.000527</v>
      </c>
      <c r="W55" s="20">
        <f t="shared" si="2"/>
        <v>48560.000314999997</v>
      </c>
      <c r="X55" s="40">
        <f t="shared" si="3"/>
        <v>0.48432139212242303</v>
      </c>
      <c r="Y55" s="12">
        <v>166</v>
      </c>
      <c r="Z55" s="12">
        <v>41393.000198000002</v>
      </c>
      <c r="AA55" s="13">
        <f>Z55/V55</f>
        <v>0.41284010193522369</v>
      </c>
      <c r="AB55" s="4">
        <v>24</v>
      </c>
      <c r="AC55" s="4">
        <v>5746.0000819999996</v>
      </c>
      <c r="AD55" s="17">
        <f>AC55/V55</f>
        <v>5.7308705535369743E-2</v>
      </c>
      <c r="AE55" s="9">
        <v>6</v>
      </c>
      <c r="AF55" s="9">
        <v>1421.000035</v>
      </c>
      <c r="AG55" s="18">
        <f>AF55/V55</f>
        <v>1.417258465182965E-2</v>
      </c>
    </row>
    <row r="56" spans="1:33" ht="14" x14ac:dyDescent="0.2">
      <c r="A56" s="1" t="s">
        <v>140</v>
      </c>
      <c r="B56" s="1" t="s">
        <v>141</v>
      </c>
      <c r="C56" s="34">
        <v>3264123</v>
      </c>
      <c r="D56" s="34">
        <v>1981012</v>
      </c>
      <c r="E56" s="37">
        <v>0.6069</v>
      </c>
      <c r="F56" s="34">
        <v>2972014</v>
      </c>
      <c r="G56" s="34">
        <v>1686460</v>
      </c>
      <c r="H56" s="37">
        <v>0.56740000000000002</v>
      </c>
      <c r="I56" s="34">
        <v>2690156</v>
      </c>
      <c r="J56" s="34">
        <v>1644041</v>
      </c>
      <c r="K56" s="37">
        <v>0.61109999999999998</v>
      </c>
      <c r="L56" s="34">
        <v>2557124</v>
      </c>
      <c r="M56" s="34">
        <v>1392534</v>
      </c>
      <c r="N56" s="43">
        <v>0.54459999999999997</v>
      </c>
      <c r="O56" s="34">
        <v>2209987</v>
      </c>
      <c r="P56" s="34">
        <v>1154677</v>
      </c>
      <c r="Q56" s="43">
        <v>0.52249999999999996</v>
      </c>
      <c r="R56" s="34">
        <v>1416199</v>
      </c>
      <c r="S56" s="34">
        <v>798010</v>
      </c>
      <c r="T56" s="43">
        <v>0.5635</v>
      </c>
      <c r="U56" s="24">
        <v>760</v>
      </c>
      <c r="V56" s="21">
        <v>167748.000226</v>
      </c>
      <c r="W56" s="20">
        <f t="shared" si="2"/>
        <v>92075.000140000004</v>
      </c>
      <c r="X56" s="40">
        <f t="shared" si="3"/>
        <v>0.54888880949967289</v>
      </c>
      <c r="Y56" s="12">
        <v>342</v>
      </c>
      <c r="Z56" s="12">
        <v>74759.000167999999</v>
      </c>
      <c r="AA56" s="13">
        <f>Z56/V56</f>
        <v>0.44566254183227377</v>
      </c>
      <c r="AB56" s="4">
        <v>61</v>
      </c>
      <c r="AC56" s="4">
        <v>15380.999952</v>
      </c>
      <c r="AD56" s="17">
        <f>AC56/V56</f>
        <v>9.1691107681032322E-2</v>
      </c>
      <c r="AE56" s="9">
        <v>9</v>
      </c>
      <c r="AF56" s="9">
        <v>1935.0000199999999</v>
      </c>
      <c r="AG56" s="18">
        <f>AF56/V56</f>
        <v>1.1535159986366774E-2</v>
      </c>
    </row>
    <row r="57" spans="1:33" ht="14" x14ac:dyDescent="0.2">
      <c r="A57" s="1" t="s">
        <v>142</v>
      </c>
      <c r="B57" s="1" t="s">
        <v>143</v>
      </c>
      <c r="C57" s="34">
        <v>2778860</v>
      </c>
      <c r="D57" s="34">
        <v>1817154</v>
      </c>
      <c r="E57" s="37">
        <v>0.65390000000000004</v>
      </c>
      <c r="F57" s="34">
        <v>2824157</v>
      </c>
      <c r="G57" s="34">
        <v>1781744</v>
      </c>
      <c r="H57" s="37">
        <v>0.63090000000000002</v>
      </c>
      <c r="I57" s="34">
        <v>2904990</v>
      </c>
      <c r="J57" s="34">
        <v>1804083</v>
      </c>
      <c r="K57" s="37">
        <v>0.621</v>
      </c>
      <c r="L57" s="34">
        <v>2554566</v>
      </c>
      <c r="M57" s="34">
        <v>1366294</v>
      </c>
      <c r="N57" s="43">
        <v>0.53480000000000005</v>
      </c>
      <c r="O57" s="34">
        <v>2316027</v>
      </c>
      <c r="P57" s="34">
        <v>1221233</v>
      </c>
      <c r="Q57" s="43">
        <v>0.52729999999999999</v>
      </c>
      <c r="R57" s="34">
        <v>1733883</v>
      </c>
      <c r="S57" s="34">
        <v>983739</v>
      </c>
      <c r="T57" s="43">
        <v>0.56740000000000002</v>
      </c>
      <c r="U57" s="24">
        <v>512</v>
      </c>
      <c r="V57" s="21">
        <v>154463.000497</v>
      </c>
      <c r="W57" s="20">
        <f t="shared" si="2"/>
        <v>88825.000299000007</v>
      </c>
      <c r="X57" s="40">
        <f t="shared" si="3"/>
        <v>0.57505680980685847</v>
      </c>
      <c r="Y57" s="12">
        <v>249</v>
      </c>
      <c r="Z57" s="12">
        <v>77369.000310000003</v>
      </c>
      <c r="AA57" s="13">
        <f>Z57/V57</f>
        <v>0.50089018121529161</v>
      </c>
      <c r="AB57" s="4">
        <v>23</v>
      </c>
      <c r="AC57" s="4">
        <v>8836.9999910000006</v>
      </c>
      <c r="AD57" s="17">
        <f>AC57/V57</f>
        <v>5.721111180390176E-2</v>
      </c>
      <c r="AE57" s="9">
        <v>7</v>
      </c>
      <c r="AF57" s="9">
        <v>2618.9999979999998</v>
      </c>
      <c r="AG57" s="18">
        <f>AF57/V57</f>
        <v>1.6955516787665059E-2</v>
      </c>
    </row>
    <row r="58" spans="1:33" ht="14" x14ac:dyDescent="0.2">
      <c r="A58" s="1" t="s">
        <v>144</v>
      </c>
      <c r="B58" s="1" t="s">
        <v>145</v>
      </c>
      <c r="C58" s="34">
        <v>3467241</v>
      </c>
      <c r="D58" s="34">
        <v>2180960</v>
      </c>
      <c r="E58" s="37">
        <v>0.629</v>
      </c>
      <c r="F58" s="34">
        <v>2958230</v>
      </c>
      <c r="G58" s="34">
        <v>1832353</v>
      </c>
      <c r="H58" s="37">
        <v>0.61939999999999995</v>
      </c>
      <c r="I58" s="34">
        <v>3393803</v>
      </c>
      <c r="J58" s="34">
        <v>2141506</v>
      </c>
      <c r="K58" s="37">
        <v>0.63100000000000001</v>
      </c>
      <c r="L58" s="34">
        <v>3528625</v>
      </c>
      <c r="M58" s="34">
        <v>1729409</v>
      </c>
      <c r="N58" s="43">
        <v>0.49009999999999998</v>
      </c>
      <c r="O58" s="34">
        <v>3426867</v>
      </c>
      <c r="P58" s="34">
        <v>1620768</v>
      </c>
      <c r="Q58" s="43">
        <v>0.47299999999999998</v>
      </c>
      <c r="R58" s="34">
        <v>2418535</v>
      </c>
      <c r="S58" s="34">
        <v>1234062</v>
      </c>
      <c r="T58" s="43">
        <v>0.51029999999999998</v>
      </c>
      <c r="U58" s="24">
        <v>891</v>
      </c>
      <c r="V58" s="21">
        <v>230385.000225</v>
      </c>
      <c r="W58" s="20">
        <f t="shared" si="2"/>
        <v>127788.99988600001</v>
      </c>
      <c r="X58" s="40">
        <f t="shared" si="3"/>
        <v>0.5546758676181085</v>
      </c>
      <c r="Y58" s="12">
        <v>404</v>
      </c>
      <c r="Z58" s="12">
        <v>102506.99996299999</v>
      </c>
      <c r="AA58" s="13">
        <f>Z58/V58</f>
        <v>0.44493782087761352</v>
      </c>
      <c r="AB58" s="4">
        <v>74</v>
      </c>
      <c r="AC58" s="4">
        <v>20903.999991000001</v>
      </c>
      <c r="AD58" s="17">
        <f>AC58/V58</f>
        <v>9.0735073770360955E-2</v>
      </c>
      <c r="AE58" s="9">
        <v>17</v>
      </c>
      <c r="AF58" s="9">
        <v>4377.9999319999997</v>
      </c>
      <c r="AG58" s="18">
        <f>AF58/V58</f>
        <v>1.9002972970134039E-2</v>
      </c>
    </row>
    <row r="59" spans="1:33" ht="14" x14ac:dyDescent="0.2">
      <c r="A59" s="1" t="s">
        <v>146</v>
      </c>
      <c r="B59" s="1" t="s">
        <v>147</v>
      </c>
      <c r="C59" s="34">
        <v>2927290</v>
      </c>
      <c r="D59" s="34">
        <v>1854971</v>
      </c>
      <c r="E59" s="37">
        <v>0.63370000000000004</v>
      </c>
      <c r="F59" s="34">
        <v>2701969</v>
      </c>
      <c r="G59" s="34">
        <v>1617476</v>
      </c>
      <c r="H59" s="37">
        <v>0.59860000000000002</v>
      </c>
      <c r="I59" s="34">
        <v>2234926</v>
      </c>
      <c r="J59" s="34">
        <v>1389173</v>
      </c>
      <c r="K59" s="37">
        <v>0.62160000000000004</v>
      </c>
      <c r="L59" s="34">
        <v>2509811</v>
      </c>
      <c r="M59" s="34">
        <v>1377980</v>
      </c>
      <c r="N59" s="43">
        <v>0.54900000000000004</v>
      </c>
      <c r="O59" s="34">
        <v>2230780</v>
      </c>
      <c r="P59" s="34">
        <v>1221246</v>
      </c>
      <c r="Q59" s="43">
        <v>0.54749999999999999</v>
      </c>
      <c r="R59" s="34">
        <v>1419359</v>
      </c>
      <c r="S59" s="34">
        <v>826702</v>
      </c>
      <c r="T59" s="43">
        <v>0.58240000000000003</v>
      </c>
      <c r="U59" s="24">
        <v>790</v>
      </c>
      <c r="V59" s="21">
        <v>167010.00002000001</v>
      </c>
      <c r="W59" s="20">
        <f t="shared" si="2"/>
        <v>91972.000041999985</v>
      </c>
      <c r="X59" s="40">
        <f t="shared" si="3"/>
        <v>0.55069756320571239</v>
      </c>
      <c r="Y59" s="12">
        <v>362</v>
      </c>
      <c r="Z59" s="12">
        <v>73422.000008999996</v>
      </c>
      <c r="AA59" s="13">
        <f>Z59/V59</f>
        <v>0.43962636967970459</v>
      </c>
      <c r="AB59" s="4">
        <v>79</v>
      </c>
      <c r="AC59" s="4">
        <v>17064.000005000002</v>
      </c>
      <c r="AD59" s="17">
        <f>AC59/V59</f>
        <v>0.10217352256126298</v>
      </c>
      <c r="AE59" s="9">
        <v>6</v>
      </c>
      <c r="AF59" s="9">
        <v>1486.0000279999999</v>
      </c>
      <c r="AG59" s="18">
        <f>AF59/V59</f>
        <v>8.8976709647449036E-3</v>
      </c>
    </row>
    <row r="60" spans="1:33" ht="14" x14ac:dyDescent="0.2">
      <c r="A60" s="1" t="s">
        <v>148</v>
      </c>
      <c r="B60" s="1" t="s">
        <v>149</v>
      </c>
      <c r="C60" s="34">
        <v>3005880</v>
      </c>
      <c r="D60" s="34">
        <v>1946659</v>
      </c>
      <c r="E60" s="37">
        <v>0.64759999999999995</v>
      </c>
      <c r="F60" s="34">
        <v>2881437</v>
      </c>
      <c r="G60" s="34">
        <v>1832127</v>
      </c>
      <c r="H60" s="37">
        <v>0.63580000000000003</v>
      </c>
      <c r="I60" s="34">
        <v>3049631</v>
      </c>
      <c r="J60" s="34">
        <v>2054551</v>
      </c>
      <c r="K60" s="37">
        <v>0.67369999999999997</v>
      </c>
      <c r="L60" s="34">
        <v>2589218</v>
      </c>
      <c r="M60" s="34">
        <v>1455438</v>
      </c>
      <c r="N60" s="43">
        <v>0.56210000000000004</v>
      </c>
      <c r="O60" s="34">
        <v>2409686</v>
      </c>
      <c r="P60" s="34">
        <v>1376078</v>
      </c>
      <c r="Q60" s="43">
        <v>0.57110000000000005</v>
      </c>
      <c r="R60" s="34">
        <v>1775124</v>
      </c>
      <c r="S60" s="34">
        <v>1068516</v>
      </c>
      <c r="T60" s="43">
        <v>0.60189999999999999</v>
      </c>
      <c r="U60" s="24">
        <v>616</v>
      </c>
      <c r="V60" s="21">
        <v>154407.00055</v>
      </c>
      <c r="W60" s="20">
        <f t="shared" si="2"/>
        <v>77429.000224000003</v>
      </c>
      <c r="X60" s="40">
        <f t="shared" si="3"/>
        <v>0.50146042568145721</v>
      </c>
      <c r="Y60" s="12">
        <v>261</v>
      </c>
      <c r="Z60" s="12">
        <v>67197.000157999995</v>
      </c>
      <c r="AA60" s="13">
        <f>Z60/V60</f>
        <v>0.43519399974511064</v>
      </c>
      <c r="AB60" s="4">
        <v>33</v>
      </c>
      <c r="AC60" s="4">
        <v>8714.0000729999992</v>
      </c>
      <c r="AD60" s="17">
        <f>AC60/V60</f>
        <v>5.6435265512318762E-2</v>
      </c>
      <c r="AE60" s="9">
        <v>7</v>
      </c>
      <c r="AF60" s="9">
        <v>1517.9999929999999</v>
      </c>
      <c r="AG60" s="18">
        <f>AF60/V60</f>
        <v>9.8311604240278079E-3</v>
      </c>
    </row>
    <row r="61" spans="1:33" ht="14" x14ac:dyDescent="0.2">
      <c r="A61" s="1" t="s">
        <v>150</v>
      </c>
      <c r="B61" s="1" t="s">
        <v>151</v>
      </c>
      <c r="C61" s="34">
        <v>2528385</v>
      </c>
      <c r="D61" s="34">
        <v>1848435</v>
      </c>
      <c r="E61" s="37">
        <v>0.73109999999999997</v>
      </c>
      <c r="F61" s="34">
        <v>2423162</v>
      </c>
      <c r="G61" s="34">
        <v>1746817</v>
      </c>
      <c r="H61" s="37">
        <v>0.72089999999999999</v>
      </c>
      <c r="I61" s="34">
        <v>2779611</v>
      </c>
      <c r="J61" s="34">
        <v>2080651</v>
      </c>
      <c r="K61" s="37">
        <v>0.74850000000000005</v>
      </c>
      <c r="L61" s="34">
        <v>2144725</v>
      </c>
      <c r="M61" s="34">
        <v>1321739</v>
      </c>
      <c r="N61" s="43">
        <v>0.61629999999999996</v>
      </c>
      <c r="O61" s="34">
        <v>2299493</v>
      </c>
      <c r="P61" s="34">
        <v>1325996</v>
      </c>
      <c r="Q61" s="43">
        <v>0.5766</v>
      </c>
      <c r="R61" s="34">
        <v>1719003</v>
      </c>
      <c r="S61" s="34">
        <v>1096539</v>
      </c>
      <c r="T61" s="43">
        <v>0.63790000000000002</v>
      </c>
      <c r="U61" s="24">
        <v>1045</v>
      </c>
      <c r="V61" s="21">
        <v>314796.00047700002</v>
      </c>
      <c r="W61" s="20">
        <f t="shared" si="2"/>
        <v>166321.000168</v>
      </c>
      <c r="X61" s="40">
        <f t="shared" si="3"/>
        <v>0.52834534084289275</v>
      </c>
      <c r="Y61" s="12">
        <v>461</v>
      </c>
      <c r="Z61" s="12">
        <v>143632.00015199999</v>
      </c>
      <c r="AA61" s="13">
        <f>Z61/V61</f>
        <v>0.45627009216876691</v>
      </c>
      <c r="AB61" s="4">
        <v>66</v>
      </c>
      <c r="AC61" s="4">
        <v>19722.000006999999</v>
      </c>
      <c r="AD61" s="17">
        <f>AC61/V61</f>
        <v>6.2650097133114466E-2</v>
      </c>
      <c r="AE61" s="9">
        <v>8</v>
      </c>
      <c r="AF61" s="9">
        <v>2967.0000089999999</v>
      </c>
      <c r="AG61" s="18">
        <f>AF61/V61</f>
        <v>9.4251515410113292E-3</v>
      </c>
    </row>
    <row r="62" spans="1:33" ht="14" x14ac:dyDescent="0.2">
      <c r="A62" s="1" t="s">
        <v>152</v>
      </c>
      <c r="B62" s="1" t="s">
        <v>153</v>
      </c>
      <c r="C62" s="34">
        <v>2395243</v>
      </c>
      <c r="D62" s="34">
        <v>1258137</v>
      </c>
      <c r="E62" s="37">
        <v>0.52529999999999999</v>
      </c>
      <c r="F62" s="34">
        <v>2010674</v>
      </c>
      <c r="G62" s="34">
        <v>1096630</v>
      </c>
      <c r="H62" s="37">
        <v>0.5454</v>
      </c>
      <c r="I62" s="34">
        <v>1988200</v>
      </c>
      <c r="J62" s="34">
        <v>1087512</v>
      </c>
      <c r="K62" s="37">
        <v>0.54700000000000004</v>
      </c>
      <c r="L62" s="34">
        <v>1932250</v>
      </c>
      <c r="M62" s="34">
        <v>916727</v>
      </c>
      <c r="N62" s="43">
        <v>0.47439999999999999</v>
      </c>
      <c r="O62" s="34">
        <v>1645912</v>
      </c>
      <c r="P62" s="34">
        <v>779289</v>
      </c>
      <c r="Q62" s="43">
        <v>0.47349999999999998</v>
      </c>
      <c r="R62" s="34">
        <v>1140556</v>
      </c>
      <c r="S62" s="34">
        <v>621849</v>
      </c>
      <c r="T62" s="43">
        <v>0.54520000000000002</v>
      </c>
      <c r="U62" s="24">
        <v>421</v>
      </c>
      <c r="V62" s="21">
        <v>112229.00044600001</v>
      </c>
      <c r="W62" s="20">
        <f t="shared" si="2"/>
        <v>62344.000470000006</v>
      </c>
      <c r="X62" s="40">
        <f t="shared" si="3"/>
        <v>0.55550704561426956</v>
      </c>
      <c r="Y62" s="12">
        <v>179</v>
      </c>
      <c r="Z62" s="12">
        <v>48544.000332000003</v>
      </c>
      <c r="AA62" s="13">
        <f>Z62/V62</f>
        <v>0.43254417431399461</v>
      </c>
      <c r="AB62" s="4">
        <v>39</v>
      </c>
      <c r="AC62" s="4">
        <v>12989.000139</v>
      </c>
      <c r="AD62" s="17">
        <f>AC62/V62</f>
        <v>0.11573657510430893</v>
      </c>
      <c r="AE62" s="9">
        <v>4</v>
      </c>
      <c r="AF62" s="9">
        <v>810.999999</v>
      </c>
      <c r="AG62" s="18">
        <f>AF62/V62</f>
        <v>7.2262961959660326E-3</v>
      </c>
    </row>
    <row r="63" spans="1:33" ht="14" x14ac:dyDescent="0.2">
      <c r="A63" s="1" t="s">
        <v>154</v>
      </c>
      <c r="B63" s="1" t="s">
        <v>155</v>
      </c>
      <c r="C63" s="34">
        <v>2612521</v>
      </c>
      <c r="D63" s="34">
        <v>1110591</v>
      </c>
      <c r="E63" s="37">
        <v>0.42509999999999998</v>
      </c>
      <c r="F63" s="34">
        <v>2596419</v>
      </c>
      <c r="G63" s="34">
        <v>1102540</v>
      </c>
      <c r="H63" s="37">
        <v>0.42459999999999998</v>
      </c>
      <c r="I63" s="34">
        <v>2237666</v>
      </c>
      <c r="J63" s="34">
        <v>980442</v>
      </c>
      <c r="K63" s="37">
        <v>0.43819999999999998</v>
      </c>
      <c r="L63" s="34">
        <v>1976547</v>
      </c>
      <c r="M63" s="34">
        <v>871783</v>
      </c>
      <c r="N63" s="43">
        <v>0.44109999999999999</v>
      </c>
      <c r="O63" s="34">
        <v>1775233</v>
      </c>
      <c r="P63" s="34">
        <v>820646</v>
      </c>
      <c r="Q63" s="43">
        <v>0.46229999999999999</v>
      </c>
      <c r="R63" s="34">
        <v>1148817</v>
      </c>
      <c r="S63" s="34">
        <v>588290</v>
      </c>
      <c r="T63" s="43">
        <v>0.5121</v>
      </c>
      <c r="U63" s="24">
        <v>388</v>
      </c>
      <c r="V63" s="21">
        <v>85893.000243000002</v>
      </c>
      <c r="W63" s="20">
        <f t="shared" si="2"/>
        <v>47768.000114000002</v>
      </c>
      <c r="X63" s="40">
        <f t="shared" si="3"/>
        <v>0.55613379412594144</v>
      </c>
      <c r="Y63" s="12">
        <v>172</v>
      </c>
      <c r="Z63" s="12">
        <v>40222.000106</v>
      </c>
      <c r="AA63" s="13">
        <f>Z63/V63</f>
        <v>0.4682803021457847</v>
      </c>
      <c r="AB63" s="4">
        <v>40</v>
      </c>
      <c r="AC63" s="4">
        <v>7322.0000019999998</v>
      </c>
      <c r="AD63" s="17">
        <f>AC63/V63</f>
        <v>8.5245596047236902E-2</v>
      </c>
      <c r="AE63" s="9">
        <v>2</v>
      </c>
      <c r="AF63" s="9">
        <v>224.00000600000001</v>
      </c>
      <c r="AG63" s="18">
        <f>AF63/V63</f>
        <v>2.6078959329198107E-3</v>
      </c>
    </row>
    <row r="64" spans="1:33" ht="14" x14ac:dyDescent="0.2">
      <c r="A64" s="1" t="s">
        <v>156</v>
      </c>
      <c r="B64" s="1" t="s">
        <v>157</v>
      </c>
      <c r="C64" s="34">
        <v>3629768</v>
      </c>
      <c r="D64" s="34">
        <v>2462769</v>
      </c>
      <c r="E64" s="37">
        <v>0.67849999999999999</v>
      </c>
      <c r="F64" s="34">
        <v>3481897</v>
      </c>
      <c r="G64" s="34">
        <v>2296449</v>
      </c>
      <c r="H64" s="37">
        <v>0.65949999999999998</v>
      </c>
      <c r="I64" s="34">
        <v>3545161</v>
      </c>
      <c r="J64" s="34">
        <v>2237721</v>
      </c>
      <c r="K64" s="37">
        <v>0.63119999999999998</v>
      </c>
      <c r="L64" s="34">
        <v>3315144</v>
      </c>
      <c r="M64" s="34">
        <v>1859458</v>
      </c>
      <c r="N64" s="43">
        <v>0.56089999999999995</v>
      </c>
      <c r="O64" s="34">
        <v>2989915</v>
      </c>
      <c r="P64" s="34">
        <v>1646806</v>
      </c>
      <c r="Q64" s="43">
        <v>0.55079999999999996</v>
      </c>
      <c r="R64" s="34">
        <v>2039266</v>
      </c>
      <c r="S64" s="34">
        <v>1281558</v>
      </c>
      <c r="T64" s="43">
        <v>0.62839999999999996</v>
      </c>
      <c r="U64" s="24">
        <v>839</v>
      </c>
      <c r="V64" s="21">
        <v>216193.000658</v>
      </c>
      <c r="W64" s="20">
        <f t="shared" si="2"/>
        <v>129356.000634</v>
      </c>
      <c r="X64" s="40">
        <f t="shared" si="3"/>
        <v>0.59833574741224305</v>
      </c>
      <c r="Y64" s="12">
        <v>374</v>
      </c>
      <c r="Z64" s="12">
        <v>101227.00034899999</v>
      </c>
      <c r="AA64" s="13">
        <f>Z64/V64</f>
        <v>0.4682251508647729</v>
      </c>
      <c r="AB64" s="4">
        <v>84</v>
      </c>
      <c r="AC64" s="4">
        <v>22950.000167999999</v>
      </c>
      <c r="AD64" s="17">
        <f>AC64/V64</f>
        <v>0.10615514886305251</v>
      </c>
      <c r="AE64" s="9">
        <v>23</v>
      </c>
      <c r="AF64" s="9">
        <v>5179.0001169999996</v>
      </c>
      <c r="AG64" s="18">
        <f>AF64/V64</f>
        <v>2.3955447684417697E-2</v>
      </c>
    </row>
    <row r="65" spans="1:33" ht="14" x14ac:dyDescent="0.2">
      <c r="A65" s="1" t="s">
        <v>158</v>
      </c>
      <c r="B65" s="1" t="s">
        <v>159</v>
      </c>
      <c r="C65" s="34">
        <v>3270483</v>
      </c>
      <c r="D65" s="34">
        <v>1981177</v>
      </c>
      <c r="E65" s="37">
        <v>0.60580000000000001</v>
      </c>
      <c r="F65" s="34">
        <v>3069496</v>
      </c>
      <c r="G65" s="34">
        <v>1775206</v>
      </c>
      <c r="H65" s="37">
        <v>0.57830000000000004</v>
      </c>
      <c r="I65" s="34">
        <v>3299681</v>
      </c>
      <c r="J65" s="34">
        <v>1962569</v>
      </c>
      <c r="K65" s="37">
        <v>0.5948</v>
      </c>
      <c r="L65" s="34">
        <v>2995402</v>
      </c>
      <c r="M65" s="34">
        <v>1449826</v>
      </c>
      <c r="N65" s="43">
        <v>0.48399999999999999</v>
      </c>
      <c r="O65" s="34">
        <v>2656813</v>
      </c>
      <c r="P65" s="34">
        <v>1321799</v>
      </c>
      <c r="Q65" s="43">
        <v>0.4975</v>
      </c>
      <c r="R65" s="34">
        <v>1966159</v>
      </c>
      <c r="S65" s="34">
        <v>1038662</v>
      </c>
      <c r="T65" s="43">
        <v>0.52829999999999999</v>
      </c>
      <c r="U65" s="24">
        <v>763</v>
      </c>
      <c r="V65" s="21">
        <v>198217.000424</v>
      </c>
      <c r="W65" s="20">
        <f t="shared" si="2"/>
        <v>100075.000208</v>
      </c>
      <c r="X65" s="40">
        <f t="shared" si="3"/>
        <v>0.50487596923539646</v>
      </c>
      <c r="Y65" s="12">
        <v>295</v>
      </c>
      <c r="Z65" s="12">
        <v>78519.000159000003</v>
      </c>
      <c r="AA65" s="13">
        <f>Z65/V65</f>
        <v>0.3961264674121916</v>
      </c>
      <c r="AB65" s="4">
        <v>66</v>
      </c>
      <c r="AC65" s="4">
        <v>17935.000060999999</v>
      </c>
      <c r="AD65" s="17">
        <f>AC65/V65</f>
        <v>9.0481643969164013E-2</v>
      </c>
      <c r="AE65" s="9">
        <v>11</v>
      </c>
      <c r="AF65" s="9">
        <v>3620.999988</v>
      </c>
      <c r="AG65" s="18">
        <f>AF65/V65</f>
        <v>1.8267857854040916E-2</v>
      </c>
    </row>
    <row r="66" spans="1:33" ht="14" x14ac:dyDescent="0.2">
      <c r="A66" s="1" t="s">
        <v>160</v>
      </c>
      <c r="B66" s="1" t="s">
        <v>161</v>
      </c>
      <c r="C66" s="34">
        <v>3156209</v>
      </c>
      <c r="D66" s="34">
        <v>2051216</v>
      </c>
      <c r="E66" s="37">
        <v>0.64990000000000003</v>
      </c>
      <c r="F66" s="34">
        <v>2892787</v>
      </c>
      <c r="G66" s="34">
        <v>1875333</v>
      </c>
      <c r="H66" s="37">
        <v>0.64829999999999999</v>
      </c>
      <c r="I66" s="34">
        <v>2692497</v>
      </c>
      <c r="J66" s="34">
        <v>1770432</v>
      </c>
      <c r="K66" s="37">
        <v>0.65749999999999997</v>
      </c>
      <c r="L66" s="34">
        <v>2922428</v>
      </c>
      <c r="M66" s="34">
        <v>1639198</v>
      </c>
      <c r="N66" s="43">
        <v>0.56089999999999995</v>
      </c>
      <c r="O66" s="34">
        <v>2402694</v>
      </c>
      <c r="P66" s="34">
        <v>1352881</v>
      </c>
      <c r="Q66" s="43">
        <v>0.56310000000000004</v>
      </c>
      <c r="R66" s="34">
        <v>1660096</v>
      </c>
      <c r="S66" s="34">
        <v>1035780</v>
      </c>
      <c r="T66" s="43">
        <v>0.62390000000000001</v>
      </c>
      <c r="U66" s="24">
        <v>968</v>
      </c>
      <c r="V66" s="21">
        <v>205178.000894</v>
      </c>
      <c r="W66" s="20">
        <f t="shared" ref="W66:W97" si="4">Z66+AC66+AF66</f>
        <v>120781.000327</v>
      </c>
      <c r="X66" s="40">
        <f t="shared" ref="X66:X97" si="5">W66/V66</f>
        <v>0.58866447572709535</v>
      </c>
      <c r="Y66" s="12">
        <v>467</v>
      </c>
      <c r="Z66" s="12">
        <v>105363.000338</v>
      </c>
      <c r="AA66" s="13">
        <f>Z66/V66</f>
        <v>0.51351996743760608</v>
      </c>
      <c r="AB66" s="4">
        <v>72</v>
      </c>
      <c r="AC66" s="4">
        <v>13273.000034000001</v>
      </c>
      <c r="AD66" s="17">
        <f>AC66/V66</f>
        <v>6.4690171344720132E-2</v>
      </c>
      <c r="AE66" s="9">
        <v>11</v>
      </c>
      <c r="AF66" s="9">
        <v>2144.9999550000002</v>
      </c>
      <c r="AG66" s="18">
        <f>AF66/V66</f>
        <v>1.0454336944769044E-2</v>
      </c>
    </row>
    <row r="67" spans="1:33" ht="14" x14ac:dyDescent="0.2">
      <c r="A67" s="1" t="s">
        <v>162</v>
      </c>
      <c r="B67" s="1" t="s">
        <v>163</v>
      </c>
      <c r="C67" s="34">
        <v>3054810</v>
      </c>
      <c r="D67" s="34">
        <v>1780053</v>
      </c>
      <c r="E67" s="37">
        <v>0.5827</v>
      </c>
      <c r="F67" s="34">
        <v>2954689</v>
      </c>
      <c r="G67" s="34">
        <v>1612388</v>
      </c>
      <c r="H67" s="37">
        <v>0.54569999999999996</v>
      </c>
      <c r="I67" s="34">
        <v>3162632</v>
      </c>
      <c r="J67" s="34">
        <v>1795963</v>
      </c>
      <c r="K67" s="37">
        <v>0.56789999999999996</v>
      </c>
      <c r="L67" s="34">
        <v>2652895</v>
      </c>
      <c r="M67" s="34">
        <v>1481926</v>
      </c>
      <c r="N67" s="43">
        <v>0.55859999999999999</v>
      </c>
      <c r="O67" s="34">
        <v>2523466</v>
      </c>
      <c r="P67" s="34">
        <v>1389476</v>
      </c>
      <c r="Q67" s="43">
        <v>0.55059999999999998</v>
      </c>
      <c r="R67" s="34">
        <v>1736434</v>
      </c>
      <c r="S67" s="34">
        <v>1029224</v>
      </c>
      <c r="T67" s="43">
        <v>0.5927</v>
      </c>
      <c r="U67" s="24">
        <v>548</v>
      </c>
      <c r="V67" s="21">
        <v>134837.00039199999</v>
      </c>
      <c r="W67" s="20">
        <f t="shared" si="4"/>
        <v>80401.000251000005</v>
      </c>
      <c r="X67" s="40">
        <f t="shared" si="5"/>
        <v>0.5962829195047139</v>
      </c>
      <c r="Y67" s="12">
        <v>270</v>
      </c>
      <c r="Z67" s="12">
        <v>67762.000279999993</v>
      </c>
      <c r="AA67" s="13">
        <f>Z67/V67</f>
        <v>0.50254752095494093</v>
      </c>
      <c r="AB67" s="4">
        <v>41</v>
      </c>
      <c r="AC67" s="4">
        <v>11196.999995</v>
      </c>
      <c r="AD67" s="17">
        <f>AC67/V67</f>
        <v>8.3041004786875469E-2</v>
      </c>
      <c r="AE67" s="9">
        <v>7</v>
      </c>
      <c r="AF67" s="9">
        <v>1441.9999760000001</v>
      </c>
      <c r="AG67" s="18">
        <f>AF67/V67</f>
        <v>1.0694393762897408E-2</v>
      </c>
    </row>
    <row r="68" spans="1:33" ht="14" x14ac:dyDescent="0.2">
      <c r="A68" s="1" t="s">
        <v>164</v>
      </c>
      <c r="B68" s="1" t="s">
        <v>165</v>
      </c>
      <c r="C68" s="34">
        <v>2207088</v>
      </c>
      <c r="D68" s="34">
        <v>1425591</v>
      </c>
      <c r="E68" s="37">
        <v>0.64590000000000003</v>
      </c>
      <c r="F68" s="34">
        <v>2033153</v>
      </c>
      <c r="G68" s="34">
        <v>1254789</v>
      </c>
      <c r="H68" s="37">
        <v>0.61719999999999997</v>
      </c>
      <c r="I68" s="34">
        <v>2131807</v>
      </c>
      <c r="J68" s="34">
        <v>1402079</v>
      </c>
      <c r="K68" s="37">
        <v>0.65769999999999995</v>
      </c>
      <c r="L68" s="34">
        <v>1756623</v>
      </c>
      <c r="M68" s="34">
        <v>1009227</v>
      </c>
      <c r="N68" s="43">
        <v>0.57450000000000001</v>
      </c>
      <c r="O68" s="34">
        <v>1630049</v>
      </c>
      <c r="P68" s="34">
        <v>950846</v>
      </c>
      <c r="Q68" s="43">
        <v>0.58330000000000004</v>
      </c>
      <c r="R68" s="34">
        <v>1140187</v>
      </c>
      <c r="S68" s="34">
        <v>720765</v>
      </c>
      <c r="T68" s="43">
        <v>0.6321</v>
      </c>
      <c r="U68" s="24">
        <v>496</v>
      </c>
      <c r="V68" s="21">
        <v>131458.000523</v>
      </c>
      <c r="W68" s="20">
        <f t="shared" si="4"/>
        <v>73617.000299000007</v>
      </c>
      <c r="X68" s="40">
        <f t="shared" si="5"/>
        <v>0.56000395568255978</v>
      </c>
      <c r="Y68" s="12">
        <v>209</v>
      </c>
      <c r="Z68" s="12">
        <v>57805.000311000003</v>
      </c>
      <c r="AA68" s="13">
        <f>Z68/V68</f>
        <v>0.439722193255833</v>
      </c>
      <c r="AB68" s="4">
        <v>44</v>
      </c>
      <c r="AC68" s="4">
        <v>14223.999968</v>
      </c>
      <c r="AD68" s="17">
        <f>AC68/V68</f>
        <v>0.1082018584750295</v>
      </c>
      <c r="AE68" s="9">
        <v>7</v>
      </c>
      <c r="AF68" s="9">
        <v>1588.0000199999999</v>
      </c>
      <c r="AG68" s="18">
        <f>AF68/V68</f>
        <v>1.2079903951697198E-2</v>
      </c>
    </row>
    <row r="69" spans="1:33" ht="14" x14ac:dyDescent="0.2">
      <c r="A69" s="1" t="s">
        <v>166</v>
      </c>
      <c r="B69" s="1" t="s">
        <v>167</v>
      </c>
      <c r="C69" s="34">
        <v>2735706</v>
      </c>
      <c r="D69" s="34">
        <v>1475723</v>
      </c>
      <c r="E69" s="37">
        <v>0.53939999999999999</v>
      </c>
      <c r="F69" s="34">
        <v>2515848</v>
      </c>
      <c r="G69" s="34">
        <v>1217266</v>
      </c>
      <c r="H69" s="37">
        <v>0.48380000000000001</v>
      </c>
      <c r="I69" s="34">
        <v>2334165</v>
      </c>
      <c r="J69" s="34">
        <v>1009514</v>
      </c>
      <c r="K69" s="37">
        <v>0.4325</v>
      </c>
      <c r="L69" s="34">
        <v>2494079</v>
      </c>
      <c r="M69" s="34">
        <v>1152560</v>
      </c>
      <c r="N69" s="43">
        <v>0.46210000000000001</v>
      </c>
      <c r="O69" s="34">
        <v>1906594</v>
      </c>
      <c r="P69" s="34">
        <v>874333</v>
      </c>
      <c r="Q69" s="43">
        <v>0.45860000000000001</v>
      </c>
      <c r="R69" s="34">
        <v>1273534</v>
      </c>
      <c r="S69" s="34">
        <v>592776</v>
      </c>
      <c r="T69" s="43">
        <v>0.46550000000000002</v>
      </c>
      <c r="U69" s="24">
        <v>647</v>
      </c>
      <c r="V69" s="21">
        <v>150349.00089900001</v>
      </c>
      <c r="W69" s="20">
        <f t="shared" si="4"/>
        <v>69971.000406000006</v>
      </c>
      <c r="X69" s="40">
        <f t="shared" si="5"/>
        <v>0.46539052463012009</v>
      </c>
      <c r="Y69" s="12">
        <v>263</v>
      </c>
      <c r="Z69" s="12">
        <v>60799.000386</v>
      </c>
      <c r="AA69" s="13">
        <f>Z69/V69</f>
        <v>0.40438579586466933</v>
      </c>
      <c r="AB69" s="4">
        <v>36</v>
      </c>
      <c r="AC69" s="4">
        <v>7777.0000600000003</v>
      </c>
      <c r="AD69" s="17">
        <f>AC69/V69</f>
        <v>5.1726316859427343E-2</v>
      </c>
      <c r="AE69" s="9">
        <v>9</v>
      </c>
      <c r="AF69" s="9">
        <v>1394.9999600000001</v>
      </c>
      <c r="AG69" s="18">
        <f>AF69/V69</f>
        <v>9.2784119060233712E-3</v>
      </c>
    </row>
    <row r="70" spans="1:33" ht="14" x14ac:dyDescent="0.2">
      <c r="A70" s="1" t="s">
        <v>168</v>
      </c>
      <c r="B70" s="1" t="s">
        <v>169</v>
      </c>
      <c r="C70" s="34">
        <v>3011414</v>
      </c>
      <c r="D70" s="34">
        <v>1948267</v>
      </c>
      <c r="E70" s="37">
        <v>0.64700000000000002</v>
      </c>
      <c r="F70" s="34">
        <v>2919550</v>
      </c>
      <c r="G70" s="34">
        <v>1885909</v>
      </c>
      <c r="H70" s="37">
        <v>0.64600000000000002</v>
      </c>
      <c r="I70" s="34">
        <v>3002985</v>
      </c>
      <c r="J70" s="34">
        <v>1972097</v>
      </c>
      <c r="K70" s="37">
        <v>0.65669999999999995</v>
      </c>
      <c r="L70" s="34">
        <v>2699623</v>
      </c>
      <c r="M70" s="34">
        <v>1500450</v>
      </c>
      <c r="N70" s="43">
        <v>0.55579999999999996</v>
      </c>
      <c r="O70" s="34">
        <v>2544431</v>
      </c>
      <c r="P70" s="34">
        <v>1388410</v>
      </c>
      <c r="Q70" s="43">
        <v>0.54569999999999996</v>
      </c>
      <c r="R70" s="34">
        <v>1707194</v>
      </c>
      <c r="S70" s="34">
        <v>1008240</v>
      </c>
      <c r="T70" s="43">
        <v>0.59060000000000001</v>
      </c>
      <c r="U70" s="24">
        <v>783</v>
      </c>
      <c r="V70" s="21">
        <v>190916.00014600001</v>
      </c>
      <c r="W70" s="20">
        <f t="shared" si="4"/>
        <v>116224.000069</v>
      </c>
      <c r="X70" s="40">
        <f t="shared" si="5"/>
        <v>0.60877034915941841</v>
      </c>
      <c r="Y70" s="12">
        <v>387</v>
      </c>
      <c r="Z70" s="12">
        <v>100319.999973</v>
      </c>
      <c r="AA70" s="13">
        <f>Z70/V70</f>
        <v>0.5254666968524474</v>
      </c>
      <c r="AB70" s="4">
        <v>50</v>
      </c>
      <c r="AC70" s="4">
        <v>14150.000077999999</v>
      </c>
      <c r="AD70" s="17">
        <f>AC70/V70</f>
        <v>7.411636566437077E-2</v>
      </c>
      <c r="AE70" s="9">
        <v>7</v>
      </c>
      <c r="AF70" s="9">
        <v>1754.000018</v>
      </c>
      <c r="AG70" s="18">
        <f>AF70/V70</f>
        <v>9.1872866426001808E-3</v>
      </c>
    </row>
    <row r="71" spans="1:33" ht="14" x14ac:dyDescent="0.2">
      <c r="A71" s="1" t="s">
        <v>170</v>
      </c>
      <c r="B71" s="1" t="s">
        <v>171</v>
      </c>
      <c r="C71" s="34">
        <v>2289198</v>
      </c>
      <c r="D71" s="34">
        <v>1409429</v>
      </c>
      <c r="E71" s="37">
        <v>0.61570000000000003</v>
      </c>
      <c r="F71" s="34">
        <v>1836723</v>
      </c>
      <c r="G71" s="34">
        <v>1118972</v>
      </c>
      <c r="H71" s="37">
        <v>0.60919999999999996</v>
      </c>
      <c r="I71" s="34">
        <v>1605156</v>
      </c>
      <c r="J71" s="34">
        <v>963020</v>
      </c>
      <c r="K71" s="37">
        <v>0.6</v>
      </c>
      <c r="L71" s="34">
        <v>1902442</v>
      </c>
      <c r="M71" s="34">
        <v>1079012</v>
      </c>
      <c r="N71" s="43">
        <v>0.56720000000000004</v>
      </c>
      <c r="O71" s="34">
        <v>1605631</v>
      </c>
      <c r="P71" s="34">
        <v>922273</v>
      </c>
      <c r="Q71" s="43">
        <v>0.57440000000000002</v>
      </c>
      <c r="R71" s="34">
        <v>1041445</v>
      </c>
      <c r="S71" s="34">
        <v>625103</v>
      </c>
      <c r="T71" s="43">
        <v>0.60019999999999996</v>
      </c>
      <c r="U71" s="24">
        <v>636</v>
      </c>
      <c r="V71" s="21">
        <v>144066.000505</v>
      </c>
      <c r="W71" s="20">
        <f t="shared" si="4"/>
        <v>67888.000279</v>
      </c>
      <c r="X71" s="40">
        <f t="shared" si="5"/>
        <v>0.47122846501623994</v>
      </c>
      <c r="Y71" s="12">
        <v>238</v>
      </c>
      <c r="Z71" s="12">
        <v>53427.000206999997</v>
      </c>
      <c r="AA71" s="13">
        <f>Z71/V71</f>
        <v>0.37085086015937357</v>
      </c>
      <c r="AB71" s="4">
        <v>61</v>
      </c>
      <c r="AC71" s="4">
        <v>14113.000054</v>
      </c>
      <c r="AD71" s="17">
        <f>AC71/V71</f>
        <v>9.7962045205177956E-2</v>
      </c>
      <c r="AE71" s="9">
        <v>2</v>
      </c>
      <c r="AF71" s="9">
        <v>348.00001800000001</v>
      </c>
      <c r="AG71" s="18">
        <f>AF71/V71</f>
        <v>2.4155596516884092E-3</v>
      </c>
    </row>
    <row r="72" spans="1:33" ht="14" x14ac:dyDescent="0.2">
      <c r="A72" s="1" t="s">
        <v>172</v>
      </c>
      <c r="B72" s="1" t="s">
        <v>173</v>
      </c>
      <c r="C72" s="34">
        <v>2424492</v>
      </c>
      <c r="D72" s="34">
        <v>1462628</v>
      </c>
      <c r="E72" s="37">
        <v>0.60329999999999995</v>
      </c>
      <c r="F72" s="34">
        <v>2224836</v>
      </c>
      <c r="G72" s="34">
        <v>1255819</v>
      </c>
      <c r="H72" s="37">
        <v>0.5645</v>
      </c>
      <c r="I72" s="34">
        <v>2068319</v>
      </c>
      <c r="J72" s="34">
        <v>983595</v>
      </c>
      <c r="K72" s="37">
        <v>0.47560000000000002</v>
      </c>
      <c r="L72" s="34">
        <v>2163053</v>
      </c>
      <c r="M72" s="34">
        <v>1084466</v>
      </c>
      <c r="N72" s="43">
        <v>0.50139999999999996</v>
      </c>
      <c r="O72" s="34">
        <v>2026821</v>
      </c>
      <c r="P72" s="34">
        <v>1033215</v>
      </c>
      <c r="Q72" s="43">
        <v>0.50980000000000003</v>
      </c>
      <c r="R72" s="34">
        <v>1312859</v>
      </c>
      <c r="S72" s="34">
        <v>698528</v>
      </c>
      <c r="T72" s="43">
        <v>0.53210000000000002</v>
      </c>
      <c r="U72" s="24">
        <v>729</v>
      </c>
      <c r="V72" s="21">
        <v>158133.00050299999</v>
      </c>
      <c r="W72" s="20">
        <f t="shared" si="4"/>
        <v>81921.000266000003</v>
      </c>
      <c r="X72" s="40">
        <f t="shared" si="5"/>
        <v>0.51805126068195906</v>
      </c>
      <c r="Y72" s="12">
        <v>322</v>
      </c>
      <c r="Z72" s="12">
        <v>67958.000125999999</v>
      </c>
      <c r="AA72" s="13">
        <f>Z72/V72</f>
        <v>0.42975217007098243</v>
      </c>
      <c r="AB72" s="4">
        <v>51</v>
      </c>
      <c r="AC72" s="4">
        <v>13097.000126000001</v>
      </c>
      <c r="AD72" s="17">
        <f>AC72/V72</f>
        <v>8.2822687764983846E-2</v>
      </c>
      <c r="AE72" s="9">
        <v>9</v>
      </c>
      <c r="AF72" s="9">
        <v>866.00001399999996</v>
      </c>
      <c r="AG72" s="18">
        <f>AF72/V72</f>
        <v>5.4764028459927368E-3</v>
      </c>
    </row>
    <row r="73" spans="1:33" ht="14" x14ac:dyDescent="0.2">
      <c r="A73" s="1" t="s">
        <v>174</v>
      </c>
      <c r="B73" s="1" t="s">
        <v>175</v>
      </c>
      <c r="C73" s="34">
        <v>3560941</v>
      </c>
      <c r="D73" s="34">
        <v>2059634</v>
      </c>
      <c r="E73" s="37">
        <v>0.57840000000000003</v>
      </c>
      <c r="F73" s="34">
        <v>3747949</v>
      </c>
      <c r="G73" s="34">
        <v>2089393</v>
      </c>
      <c r="H73" s="37">
        <v>0.5575</v>
      </c>
      <c r="I73" s="34">
        <v>4027620</v>
      </c>
      <c r="J73" s="34">
        <v>2398908</v>
      </c>
      <c r="K73" s="37">
        <v>0.59560000000000002</v>
      </c>
      <c r="L73" s="34">
        <v>2992834</v>
      </c>
      <c r="M73" s="34">
        <v>1570847</v>
      </c>
      <c r="N73" s="43">
        <v>0.52490000000000003</v>
      </c>
      <c r="O73" s="34">
        <v>2981693</v>
      </c>
      <c r="P73" s="34">
        <v>1506440</v>
      </c>
      <c r="Q73" s="43">
        <v>0.50519999999999998</v>
      </c>
      <c r="R73" s="34">
        <v>2244564</v>
      </c>
      <c r="S73" s="34">
        <v>1251193</v>
      </c>
      <c r="T73" s="43">
        <v>0.55740000000000001</v>
      </c>
      <c r="U73" s="24">
        <v>716</v>
      </c>
      <c r="V73" s="21">
        <v>203705.00086900001</v>
      </c>
      <c r="W73" s="20">
        <f t="shared" si="4"/>
        <v>98075.000613000011</v>
      </c>
      <c r="X73" s="40">
        <f t="shared" si="5"/>
        <v>0.48145602805338461</v>
      </c>
      <c r="Y73" s="12">
        <v>303</v>
      </c>
      <c r="Z73" s="12">
        <v>82715.000492000006</v>
      </c>
      <c r="AA73" s="13">
        <f>Z73/V73</f>
        <v>0.40605287125568867</v>
      </c>
      <c r="AB73" s="4">
        <v>43</v>
      </c>
      <c r="AC73" s="4">
        <v>12427.000102</v>
      </c>
      <c r="AD73" s="17">
        <f>AC73/V73</f>
        <v>6.1004884754850171E-2</v>
      </c>
      <c r="AE73" s="9">
        <v>11</v>
      </c>
      <c r="AF73" s="9">
        <v>2933.0000190000001</v>
      </c>
      <c r="AG73" s="18">
        <f>AF73/V73</f>
        <v>1.439827204284579E-2</v>
      </c>
    </row>
    <row r="74" spans="1:33" ht="14" x14ac:dyDescent="0.2">
      <c r="A74" s="1" t="s">
        <v>176</v>
      </c>
      <c r="B74" s="1" t="s">
        <v>177</v>
      </c>
      <c r="C74" s="34">
        <v>3304680</v>
      </c>
      <c r="D74" s="34">
        <v>1936557</v>
      </c>
      <c r="E74" s="37">
        <v>0.58599999999999997</v>
      </c>
      <c r="F74" s="34">
        <v>3093017</v>
      </c>
      <c r="G74" s="34">
        <v>1788777</v>
      </c>
      <c r="H74" s="37">
        <v>0.57830000000000004</v>
      </c>
      <c r="I74" s="34">
        <v>2981781</v>
      </c>
      <c r="J74" s="34">
        <v>1761051</v>
      </c>
      <c r="K74" s="37">
        <v>0.59060000000000001</v>
      </c>
      <c r="L74" s="34">
        <v>3133819</v>
      </c>
      <c r="M74" s="34">
        <v>1534901</v>
      </c>
      <c r="N74" s="43">
        <v>0.48980000000000001</v>
      </c>
      <c r="O74" s="34">
        <v>1428239</v>
      </c>
      <c r="P74" s="34">
        <v>694600</v>
      </c>
      <c r="Q74" s="43">
        <v>0.48630000000000001</v>
      </c>
      <c r="R74" s="34">
        <v>1947064</v>
      </c>
      <c r="S74" s="34">
        <v>978707</v>
      </c>
      <c r="T74" s="43">
        <v>0.50270000000000004</v>
      </c>
      <c r="U74" s="24">
        <v>530</v>
      </c>
      <c r="V74" s="21">
        <v>141289.00015000001</v>
      </c>
      <c r="W74" s="20">
        <f t="shared" si="4"/>
        <v>80711.000060999999</v>
      </c>
      <c r="X74" s="40">
        <f t="shared" si="5"/>
        <v>0.57124758456293734</v>
      </c>
      <c r="Y74" s="12">
        <v>247</v>
      </c>
      <c r="Z74" s="12">
        <v>64346.000049000002</v>
      </c>
      <c r="AA74" s="13">
        <f>Z74/V74</f>
        <v>0.4554211579152434</v>
      </c>
      <c r="AB74" s="4">
        <v>48</v>
      </c>
      <c r="AC74" s="4">
        <v>14466.000001</v>
      </c>
      <c r="AD74" s="17">
        <f>AC74/V74</f>
        <v>0.1023858898119607</v>
      </c>
      <c r="AE74" s="9">
        <v>7</v>
      </c>
      <c r="AF74" s="9">
        <v>1899.0000110000001</v>
      </c>
      <c r="AG74" s="18">
        <f>AF74/V74</f>
        <v>1.3440536835733281E-2</v>
      </c>
    </row>
    <row r="75" spans="1:33" ht="14" x14ac:dyDescent="0.2">
      <c r="A75" s="1" t="s">
        <v>178</v>
      </c>
      <c r="B75" s="1" t="s">
        <v>179</v>
      </c>
      <c r="C75" s="34">
        <v>2859188</v>
      </c>
      <c r="D75" s="34">
        <v>1826021</v>
      </c>
      <c r="E75" s="37">
        <v>0.63870000000000005</v>
      </c>
      <c r="F75" s="34">
        <v>2644467</v>
      </c>
      <c r="G75" s="34">
        <v>1675518</v>
      </c>
      <c r="H75" s="37">
        <v>0.63360000000000005</v>
      </c>
      <c r="I75" s="34">
        <v>2524271</v>
      </c>
      <c r="J75" s="34">
        <v>1644050</v>
      </c>
      <c r="K75" s="37">
        <v>0.65129999999999999</v>
      </c>
      <c r="L75" s="34">
        <v>2745861</v>
      </c>
      <c r="M75" s="34">
        <v>1458276</v>
      </c>
      <c r="N75" s="43">
        <v>0.53110000000000002</v>
      </c>
      <c r="O75" s="34">
        <v>2538570</v>
      </c>
      <c r="P75" s="34">
        <v>1296641</v>
      </c>
      <c r="Q75" s="43">
        <v>0.51080000000000003</v>
      </c>
      <c r="R75" s="34">
        <v>1752031</v>
      </c>
      <c r="S75" s="34">
        <v>948389</v>
      </c>
      <c r="T75" s="43">
        <v>0.5413</v>
      </c>
      <c r="U75" s="24">
        <v>852</v>
      </c>
      <c r="V75" s="21">
        <v>198543.000829</v>
      </c>
      <c r="W75" s="20">
        <f t="shared" si="4"/>
        <v>127044.000379</v>
      </c>
      <c r="X75" s="40">
        <f t="shared" si="5"/>
        <v>0.63988153623415689</v>
      </c>
      <c r="Y75" s="12">
        <v>431</v>
      </c>
      <c r="Z75" s="12">
        <v>99676.000216999993</v>
      </c>
      <c r="AA75" s="13">
        <f>Z75/V75</f>
        <v>0.50203734103348407</v>
      </c>
      <c r="AB75" s="4">
        <v>81</v>
      </c>
      <c r="AC75" s="4">
        <v>22759.000100000001</v>
      </c>
      <c r="AD75" s="17">
        <f>AC75/V75</f>
        <v>0.11463008015881529</v>
      </c>
      <c r="AE75" s="9">
        <v>18</v>
      </c>
      <c r="AF75" s="9">
        <v>4609.0000620000001</v>
      </c>
      <c r="AG75" s="18">
        <f>AF75/V75</f>
        <v>2.3214115041857424E-2</v>
      </c>
    </row>
    <row r="76" spans="1:33" ht="14" x14ac:dyDescent="0.2">
      <c r="A76" s="1" t="s">
        <v>180</v>
      </c>
      <c r="B76" s="1" t="s">
        <v>181</v>
      </c>
      <c r="C76" s="34">
        <v>2112944</v>
      </c>
      <c r="D76" s="34">
        <v>1456566</v>
      </c>
      <c r="E76" s="37">
        <v>0.68940000000000001</v>
      </c>
      <c r="F76" s="34">
        <v>2134981</v>
      </c>
      <c r="G76" s="34">
        <v>1382240</v>
      </c>
      <c r="H76" s="37">
        <v>0.64739999999999998</v>
      </c>
      <c r="I76" s="34">
        <v>2839239</v>
      </c>
      <c r="J76" s="34">
        <v>2014605</v>
      </c>
      <c r="K76" s="37">
        <v>0.70960000000000001</v>
      </c>
      <c r="L76" s="34">
        <v>1906514</v>
      </c>
      <c r="M76" s="34">
        <v>1122741</v>
      </c>
      <c r="N76" s="43">
        <v>0.58889999999999998</v>
      </c>
      <c r="O76" s="34">
        <v>1750332</v>
      </c>
      <c r="P76" s="34">
        <v>1051456</v>
      </c>
      <c r="Q76" s="43">
        <v>0.60070000000000001</v>
      </c>
      <c r="R76" s="34">
        <v>1417636</v>
      </c>
      <c r="S76" s="34">
        <v>946571</v>
      </c>
      <c r="T76" s="43">
        <v>0.66769999999999996</v>
      </c>
      <c r="U76" s="24">
        <v>366</v>
      </c>
      <c r="V76" s="21">
        <v>107161.00023799999</v>
      </c>
      <c r="W76" s="20">
        <f t="shared" si="4"/>
        <v>50051.000072000003</v>
      </c>
      <c r="X76" s="40">
        <f t="shared" si="5"/>
        <v>0.46706357686881306</v>
      </c>
      <c r="Y76" s="12">
        <v>161</v>
      </c>
      <c r="Z76" s="12">
        <v>45121.000039999999</v>
      </c>
      <c r="AA76" s="13">
        <f>Z76/V76</f>
        <v>0.42105803361099831</v>
      </c>
      <c r="AB76" s="4">
        <v>14</v>
      </c>
      <c r="AC76" s="4">
        <v>4031.0000220000002</v>
      </c>
      <c r="AD76" s="17">
        <f>AC76/V76</f>
        <v>3.7616297095466836E-2</v>
      </c>
      <c r="AE76" s="9">
        <v>3</v>
      </c>
      <c r="AF76" s="9">
        <v>899.00000999999997</v>
      </c>
      <c r="AG76" s="18">
        <f>AF76/V76</f>
        <v>8.3892461623478638E-3</v>
      </c>
    </row>
    <row r="77" spans="1:33" ht="14" x14ac:dyDescent="0.2">
      <c r="A77" s="1" t="s">
        <v>182</v>
      </c>
      <c r="B77" s="1" t="s">
        <v>183</v>
      </c>
      <c r="C77" s="34">
        <v>2797292</v>
      </c>
      <c r="D77" s="34">
        <v>1281930</v>
      </c>
      <c r="E77" s="37">
        <v>0.45829999999999999</v>
      </c>
      <c r="F77" s="34">
        <v>2512013</v>
      </c>
      <c r="G77" s="34">
        <v>1074212</v>
      </c>
      <c r="H77" s="37">
        <v>0.42759999999999998</v>
      </c>
      <c r="I77" s="34">
        <v>2390499</v>
      </c>
      <c r="J77" s="34">
        <v>1233850</v>
      </c>
      <c r="K77" s="37">
        <v>0.5161</v>
      </c>
      <c r="L77" s="34">
        <v>2131266</v>
      </c>
      <c r="M77" s="34">
        <v>914671</v>
      </c>
      <c r="N77" s="43">
        <v>0.42920000000000003</v>
      </c>
      <c r="O77" s="34">
        <v>1973507</v>
      </c>
      <c r="P77" s="34">
        <v>910392</v>
      </c>
      <c r="Q77" s="43">
        <v>0.46129999999999999</v>
      </c>
      <c r="R77" s="34">
        <v>1418255</v>
      </c>
      <c r="S77" s="34">
        <v>710946</v>
      </c>
      <c r="T77" s="43">
        <v>0.50129999999999997</v>
      </c>
      <c r="U77" s="24">
        <v>1191</v>
      </c>
      <c r="V77" s="21">
        <v>283924.00043100002</v>
      </c>
      <c r="W77" s="20">
        <f t="shared" si="4"/>
        <v>117595.000132</v>
      </c>
      <c r="X77" s="40">
        <f t="shared" si="5"/>
        <v>0.41417773754064252</v>
      </c>
      <c r="Y77" s="12">
        <v>467</v>
      </c>
      <c r="Z77" s="12">
        <v>100671.000228</v>
      </c>
      <c r="AA77" s="13">
        <f>Z77/V77</f>
        <v>0.35457023737049431</v>
      </c>
      <c r="AB77" s="4">
        <v>69</v>
      </c>
      <c r="AC77" s="4">
        <v>15418.999871</v>
      </c>
      <c r="AD77" s="17">
        <f>AC77/V77</f>
        <v>5.4306785786315259E-2</v>
      </c>
      <c r="AE77" s="9">
        <v>12</v>
      </c>
      <c r="AF77" s="9">
        <v>1505.000033</v>
      </c>
      <c r="AG77" s="18">
        <f>AF77/V77</f>
        <v>5.3007143838329695E-3</v>
      </c>
    </row>
    <row r="78" spans="1:33" ht="14" x14ac:dyDescent="0.2">
      <c r="A78" s="1" t="s">
        <v>184</v>
      </c>
      <c r="B78" s="1" t="s">
        <v>185</v>
      </c>
      <c r="C78" s="34">
        <v>3543339</v>
      </c>
      <c r="D78" s="34">
        <v>2651424</v>
      </c>
      <c r="E78" s="37">
        <v>0.74829999999999997</v>
      </c>
      <c r="F78" s="34">
        <v>3301355</v>
      </c>
      <c r="G78" s="34">
        <v>2394025</v>
      </c>
      <c r="H78" s="37">
        <v>0.72519999999999996</v>
      </c>
      <c r="I78" s="34">
        <v>3409392</v>
      </c>
      <c r="J78" s="34">
        <v>2502686</v>
      </c>
      <c r="K78" s="37">
        <v>0.73409999999999997</v>
      </c>
      <c r="L78" s="34">
        <v>3003423</v>
      </c>
      <c r="M78" s="34">
        <v>1982618</v>
      </c>
      <c r="N78" s="43">
        <v>0.66010000000000002</v>
      </c>
      <c r="O78" s="34">
        <v>2668444</v>
      </c>
      <c r="P78" s="34">
        <v>1890729</v>
      </c>
      <c r="Q78" s="43">
        <v>0.70860000000000001</v>
      </c>
      <c r="R78" s="34">
        <v>2068159</v>
      </c>
      <c r="S78" s="34">
        <v>1546942</v>
      </c>
      <c r="T78" s="43">
        <v>0.748</v>
      </c>
      <c r="U78" s="24">
        <v>1036</v>
      </c>
      <c r="V78" s="21">
        <v>274779.00135099998</v>
      </c>
      <c r="W78" s="20">
        <f t="shared" si="4"/>
        <v>254656.00111299998</v>
      </c>
      <c r="X78" s="40">
        <f t="shared" si="5"/>
        <v>0.92676660101732056</v>
      </c>
      <c r="Y78" s="12">
        <v>861</v>
      </c>
      <c r="Z78" s="12">
        <v>226945.00099299999</v>
      </c>
      <c r="AA78" s="13">
        <f>Z78/V78</f>
        <v>0.82591828297353298</v>
      </c>
      <c r="AB78" s="4">
        <v>86</v>
      </c>
      <c r="AC78" s="4">
        <v>23627.000158999999</v>
      </c>
      <c r="AD78" s="17">
        <f>AC78/V78</f>
        <v>8.5985464838410644E-2</v>
      </c>
      <c r="AE78" s="9">
        <v>22</v>
      </c>
      <c r="AF78" s="9">
        <v>4083.999961</v>
      </c>
      <c r="AG78" s="18">
        <f>AF78/V78</f>
        <v>1.4862853205376995E-2</v>
      </c>
    </row>
    <row r="79" spans="1:33" ht="14" x14ac:dyDescent="0.2">
      <c r="A79" s="1" t="s">
        <v>186</v>
      </c>
      <c r="B79" s="1" t="s">
        <v>187</v>
      </c>
      <c r="C79" s="34">
        <v>3773657</v>
      </c>
      <c r="D79" s="34">
        <v>2299669</v>
      </c>
      <c r="E79" s="37">
        <v>0.60940000000000005</v>
      </c>
      <c r="F79" s="34">
        <v>3698383</v>
      </c>
      <c r="G79" s="34">
        <v>2223120</v>
      </c>
      <c r="H79" s="37">
        <v>0.60109999999999997</v>
      </c>
      <c r="I79" s="34">
        <v>3776612</v>
      </c>
      <c r="J79" s="34">
        <v>2295415</v>
      </c>
      <c r="K79" s="37">
        <v>0.60780000000000001</v>
      </c>
      <c r="L79" s="34">
        <v>3350467</v>
      </c>
      <c r="M79" s="34">
        <v>1745966</v>
      </c>
      <c r="N79" s="43">
        <v>0.52110000000000001</v>
      </c>
      <c r="O79" s="34">
        <v>3106628</v>
      </c>
      <c r="P79" s="34">
        <v>1592404</v>
      </c>
      <c r="Q79" s="43">
        <v>0.51259999999999994</v>
      </c>
      <c r="R79" s="34">
        <v>2227627</v>
      </c>
      <c r="S79" s="34">
        <v>1317159</v>
      </c>
      <c r="T79" s="43">
        <v>0.59130000000000005</v>
      </c>
      <c r="U79" s="24">
        <v>749</v>
      </c>
      <c r="V79" s="21">
        <v>194303.00064099999</v>
      </c>
      <c r="W79" s="20">
        <f t="shared" si="4"/>
        <v>110833.000207</v>
      </c>
      <c r="X79" s="40">
        <f t="shared" si="5"/>
        <v>0.57041321977203197</v>
      </c>
      <c r="Y79" s="12">
        <v>335</v>
      </c>
      <c r="Z79" s="12">
        <v>91479.000142000004</v>
      </c>
      <c r="AA79" s="13">
        <f>Z79/V79</f>
        <v>0.47080590541686657</v>
      </c>
      <c r="AB79" s="4">
        <v>59</v>
      </c>
      <c r="AC79" s="4">
        <v>15968.000058</v>
      </c>
      <c r="AD79" s="17">
        <f>AC79/V79</f>
        <v>8.2180923636392789E-2</v>
      </c>
      <c r="AE79" s="9">
        <v>15</v>
      </c>
      <c r="AF79" s="9">
        <v>3386.0000070000001</v>
      </c>
      <c r="AG79" s="18">
        <f>AF79/V79</f>
        <v>1.7426390718772659E-2</v>
      </c>
    </row>
    <row r="80" spans="1:33" ht="14" x14ac:dyDescent="0.2">
      <c r="A80" s="1" t="s">
        <v>188</v>
      </c>
      <c r="B80" s="1" t="s">
        <v>189</v>
      </c>
      <c r="C80" s="34">
        <v>3309566</v>
      </c>
      <c r="D80" s="34">
        <v>1590745</v>
      </c>
      <c r="E80" s="37">
        <v>0.48070000000000002</v>
      </c>
      <c r="F80" s="34">
        <v>2984174</v>
      </c>
      <c r="G80" s="34">
        <v>1325339</v>
      </c>
      <c r="H80" s="37">
        <v>0.44409999999999999</v>
      </c>
      <c r="I80" s="34">
        <v>2532471</v>
      </c>
      <c r="J80" s="34">
        <v>1176024</v>
      </c>
      <c r="K80" s="37">
        <v>0.46439999999999998</v>
      </c>
      <c r="L80" s="34">
        <v>2971683</v>
      </c>
      <c r="M80" s="34">
        <v>1379766</v>
      </c>
      <c r="N80" s="43">
        <v>0.46429999999999999</v>
      </c>
      <c r="O80" s="34">
        <v>2710847</v>
      </c>
      <c r="P80" s="34">
        <v>1298167</v>
      </c>
      <c r="Q80" s="43">
        <v>0.47889999999999999</v>
      </c>
      <c r="R80" s="34">
        <v>1848325</v>
      </c>
      <c r="S80" s="34">
        <v>987021</v>
      </c>
      <c r="T80" s="43">
        <v>0.53400000000000003</v>
      </c>
      <c r="U80" s="24">
        <v>1069</v>
      </c>
      <c r="V80" s="21">
        <v>218413.000696</v>
      </c>
      <c r="W80" s="20">
        <f t="shared" si="4"/>
        <v>100918.00019100001</v>
      </c>
      <c r="X80" s="40">
        <f t="shared" si="5"/>
        <v>0.46205125093017513</v>
      </c>
      <c r="Y80" s="12">
        <v>372</v>
      </c>
      <c r="Z80" s="12">
        <v>76405.000385000007</v>
      </c>
      <c r="AA80" s="13">
        <f>Z80/V80</f>
        <v>0.34981892168289452</v>
      </c>
      <c r="AB80" s="4">
        <v>108</v>
      </c>
      <c r="AC80" s="4">
        <v>23504.999838</v>
      </c>
      <c r="AD80" s="17">
        <f>AC80/V80</f>
        <v>0.10761721950203704</v>
      </c>
      <c r="AE80" s="9">
        <v>9</v>
      </c>
      <c r="AF80" s="9">
        <v>1007.999968</v>
      </c>
      <c r="AG80" s="18">
        <f>AF80/V80</f>
        <v>4.6151097452435683E-3</v>
      </c>
    </row>
    <row r="81" spans="1:33" ht="14" x14ac:dyDescent="0.2">
      <c r="A81" s="1" t="s">
        <v>190</v>
      </c>
      <c r="B81" s="1" t="s">
        <v>191</v>
      </c>
      <c r="C81" s="34">
        <v>2513524</v>
      </c>
      <c r="D81" s="34">
        <v>1673639</v>
      </c>
      <c r="E81" s="37">
        <v>0.66590000000000005</v>
      </c>
      <c r="F81" s="34">
        <v>2444882</v>
      </c>
      <c r="G81" s="34">
        <v>1542793</v>
      </c>
      <c r="H81" s="37">
        <v>0.63100000000000001</v>
      </c>
      <c r="I81" s="34">
        <v>2415900</v>
      </c>
      <c r="J81" s="34">
        <v>1529716</v>
      </c>
      <c r="K81" s="37">
        <v>0.63319999999999999</v>
      </c>
      <c r="L81" s="34">
        <v>2324479</v>
      </c>
      <c r="M81" s="34">
        <v>1243347</v>
      </c>
      <c r="N81" s="43">
        <v>0.53490000000000004</v>
      </c>
      <c r="O81" s="34">
        <v>2066736</v>
      </c>
      <c r="P81" s="34">
        <v>1082443</v>
      </c>
      <c r="Q81" s="43">
        <v>0.52370000000000005</v>
      </c>
      <c r="R81" s="34">
        <v>1473860</v>
      </c>
      <c r="S81" s="34">
        <v>820229</v>
      </c>
      <c r="T81" s="43">
        <v>0.55649999999999999</v>
      </c>
      <c r="U81" s="24">
        <v>722</v>
      </c>
      <c r="V81" s="21">
        <v>169614.000333</v>
      </c>
      <c r="W81" s="20">
        <f t="shared" si="4"/>
        <v>91912.00016499999</v>
      </c>
      <c r="X81" s="40">
        <f t="shared" si="5"/>
        <v>0.54188923075070972</v>
      </c>
      <c r="Y81" s="12">
        <v>300</v>
      </c>
      <c r="Z81" s="12">
        <v>70041.000065999993</v>
      </c>
      <c r="AA81" s="13">
        <f>Z81/V81</f>
        <v>0.4129435066002205</v>
      </c>
      <c r="AB81" s="4">
        <v>74</v>
      </c>
      <c r="AC81" s="4">
        <v>18833.000083999999</v>
      </c>
      <c r="AD81" s="17">
        <f>AC81/V81</f>
        <v>0.11103446677176131</v>
      </c>
      <c r="AE81" s="9">
        <v>10</v>
      </c>
      <c r="AF81" s="9">
        <v>3038.0000150000001</v>
      </c>
      <c r="AG81" s="18">
        <f>AF81/V81</f>
        <v>1.7911257378727882E-2</v>
      </c>
    </row>
    <row r="82" spans="1:33" ht="14" x14ac:dyDescent="0.2">
      <c r="A82" s="1" t="s">
        <v>192</v>
      </c>
      <c r="B82" s="1" t="s">
        <v>193</v>
      </c>
      <c r="C82" s="34">
        <v>2221180</v>
      </c>
      <c r="D82" s="34">
        <v>1436113</v>
      </c>
      <c r="E82" s="37">
        <v>0.64659999999999995</v>
      </c>
      <c r="F82" s="34">
        <v>2229394</v>
      </c>
      <c r="G82" s="34">
        <v>1367708</v>
      </c>
      <c r="H82" s="37">
        <v>0.61350000000000005</v>
      </c>
      <c r="I82" s="34">
        <v>2358694</v>
      </c>
      <c r="J82" s="34">
        <v>1472711</v>
      </c>
      <c r="K82" s="37">
        <v>0.62439999999999996</v>
      </c>
      <c r="L82" s="34">
        <v>2071327</v>
      </c>
      <c r="M82" s="34">
        <v>1090121</v>
      </c>
      <c r="N82" s="43">
        <v>0.52629999999999999</v>
      </c>
      <c r="O82" s="34">
        <v>1935729</v>
      </c>
      <c r="P82" s="34">
        <v>1036041</v>
      </c>
      <c r="Q82" s="43">
        <v>0.53520000000000001</v>
      </c>
      <c r="R82" s="34">
        <v>1408417</v>
      </c>
      <c r="S82" s="34">
        <v>809786</v>
      </c>
      <c r="T82" s="43">
        <v>0.57499999999999996</v>
      </c>
      <c r="U82" s="24">
        <v>604</v>
      </c>
      <c r="V82" s="21">
        <v>146082.000749</v>
      </c>
      <c r="W82" s="20">
        <f t="shared" si="4"/>
        <v>71463.000448000006</v>
      </c>
      <c r="X82" s="40">
        <f t="shared" si="5"/>
        <v>0.48919784834264879</v>
      </c>
      <c r="Y82" s="12">
        <v>249</v>
      </c>
      <c r="Z82" s="12">
        <v>56842.000417000003</v>
      </c>
      <c r="AA82" s="13">
        <f>Z82/V82</f>
        <v>0.38911022662310513</v>
      </c>
      <c r="AB82" s="4">
        <v>41</v>
      </c>
      <c r="AC82" s="4">
        <v>11809.000033</v>
      </c>
      <c r="AD82" s="17">
        <f>AC82/V82</f>
        <v>8.0838159201354162E-2</v>
      </c>
      <c r="AE82" s="9">
        <v>10</v>
      </c>
      <c r="AF82" s="9">
        <v>2811.9999979999998</v>
      </c>
      <c r="AG82" s="18">
        <f>AF82/V82</f>
        <v>1.9249462518189459E-2</v>
      </c>
    </row>
    <row r="83" spans="1:33" ht="14" x14ac:dyDescent="0.2">
      <c r="A83" s="1" t="s">
        <v>194</v>
      </c>
      <c r="B83" s="1" t="s">
        <v>195</v>
      </c>
      <c r="C83" s="34">
        <v>1873858</v>
      </c>
      <c r="D83" s="34">
        <v>1429367</v>
      </c>
      <c r="E83" s="37">
        <v>0.76280000000000003</v>
      </c>
      <c r="F83" s="34">
        <v>1763313</v>
      </c>
      <c r="G83" s="34">
        <v>1374434</v>
      </c>
      <c r="H83" s="37">
        <v>0.77949999999999997</v>
      </c>
      <c r="I83" s="34">
        <v>1721305</v>
      </c>
      <c r="J83" s="34">
        <v>1353995</v>
      </c>
      <c r="K83" s="37">
        <v>0.78659999999999997</v>
      </c>
      <c r="L83" s="34">
        <v>1741917</v>
      </c>
      <c r="M83" s="34">
        <v>1189386</v>
      </c>
      <c r="N83" s="43">
        <v>0.68279999999999996</v>
      </c>
      <c r="O83" s="34">
        <v>1576086</v>
      </c>
      <c r="P83" s="34">
        <v>1017294</v>
      </c>
      <c r="Q83" s="43">
        <v>0.64549999999999996</v>
      </c>
      <c r="R83" s="34">
        <v>1077669</v>
      </c>
      <c r="S83" s="34">
        <v>760318</v>
      </c>
      <c r="T83" s="43">
        <v>0.70550000000000002</v>
      </c>
      <c r="U83" s="24">
        <v>770</v>
      </c>
      <c r="V83" s="21">
        <v>170598.00068</v>
      </c>
      <c r="W83" s="20">
        <f t="shared" si="4"/>
        <v>96022.000503000003</v>
      </c>
      <c r="X83" s="40">
        <f t="shared" si="5"/>
        <v>0.56285536829422589</v>
      </c>
      <c r="Y83" s="12">
        <v>340</v>
      </c>
      <c r="Z83" s="12">
        <v>77453.000503000003</v>
      </c>
      <c r="AA83" s="13">
        <f>Z83/V83</f>
        <v>0.45400884063279751</v>
      </c>
      <c r="AB83" s="4">
        <v>73</v>
      </c>
      <c r="AC83" s="4">
        <v>17364.999949000001</v>
      </c>
      <c r="AD83" s="17">
        <f>AC83/V83</f>
        <v>0.10178900033871137</v>
      </c>
      <c r="AE83" s="9">
        <v>6</v>
      </c>
      <c r="AF83" s="9">
        <v>1204.000051</v>
      </c>
      <c r="AG83" s="18">
        <f>AF83/V83</f>
        <v>7.0575273227170389E-3</v>
      </c>
    </row>
    <row r="84" spans="1:33" ht="14" x14ac:dyDescent="0.2">
      <c r="A84" s="1" t="s">
        <v>196</v>
      </c>
      <c r="B84" s="1" t="s">
        <v>197</v>
      </c>
      <c r="C84" s="34">
        <v>3237792</v>
      </c>
      <c r="D84" s="34">
        <v>1860674</v>
      </c>
      <c r="E84" s="37">
        <v>0.57469999999999999</v>
      </c>
      <c r="F84" s="34">
        <v>4023703</v>
      </c>
      <c r="G84" s="34">
        <v>2394049</v>
      </c>
      <c r="H84" s="37">
        <v>0.59499999999999997</v>
      </c>
      <c r="I84" s="34">
        <v>3221342</v>
      </c>
      <c r="J84" s="34">
        <v>1868812</v>
      </c>
      <c r="K84" s="37">
        <v>0.58009999999999995</v>
      </c>
      <c r="L84" s="34">
        <v>2977200</v>
      </c>
      <c r="M84" s="34">
        <v>1460894</v>
      </c>
      <c r="N84" s="43">
        <v>0.49070000000000003</v>
      </c>
      <c r="O84" s="34">
        <v>2666738</v>
      </c>
      <c r="P84" s="34">
        <v>1296984</v>
      </c>
      <c r="Q84" s="43">
        <v>0.4864</v>
      </c>
      <c r="R84" s="34">
        <v>2006945</v>
      </c>
      <c r="S84" s="34">
        <v>1111809</v>
      </c>
      <c r="T84" s="43">
        <v>0.55400000000000005</v>
      </c>
      <c r="U84" s="24">
        <v>873</v>
      </c>
      <c r="V84" s="21">
        <v>200782.00020099999</v>
      </c>
      <c r="W84" s="20">
        <f t="shared" si="4"/>
        <v>120495.000268</v>
      </c>
      <c r="X84" s="40">
        <f t="shared" si="5"/>
        <v>0.60012849830848469</v>
      </c>
      <c r="Y84" s="12">
        <v>409</v>
      </c>
      <c r="Z84" s="12">
        <v>97812.000247000004</v>
      </c>
      <c r="AA84" s="13">
        <f>Z84/V84</f>
        <v>0.48715522382027177</v>
      </c>
      <c r="AB84" s="4">
        <v>72</v>
      </c>
      <c r="AC84" s="4">
        <v>19742.999979</v>
      </c>
      <c r="AD84" s="17">
        <f>AC84/V84</f>
        <v>9.8330527433911227E-2</v>
      </c>
      <c r="AE84" s="9">
        <v>12</v>
      </c>
      <c r="AF84" s="9">
        <v>2940.0000420000001</v>
      </c>
      <c r="AG84" s="18">
        <f>AF84/V84</f>
        <v>1.464274705430172E-2</v>
      </c>
    </row>
    <row r="85" spans="1:33" ht="14" x14ac:dyDescent="0.2">
      <c r="A85" s="1" t="s">
        <v>198</v>
      </c>
      <c r="B85" s="1" t="s">
        <v>199</v>
      </c>
      <c r="C85" s="34">
        <v>2442245</v>
      </c>
      <c r="D85" s="34">
        <v>1595169</v>
      </c>
      <c r="E85" s="37">
        <v>0.6532</v>
      </c>
      <c r="F85" s="34">
        <v>2236016</v>
      </c>
      <c r="G85" s="34">
        <v>1407776</v>
      </c>
      <c r="H85" s="37">
        <v>0.62960000000000005</v>
      </c>
      <c r="I85" s="34">
        <v>2660921</v>
      </c>
      <c r="J85" s="34">
        <v>1713047</v>
      </c>
      <c r="K85" s="37">
        <v>0.64380000000000004</v>
      </c>
      <c r="L85" s="34">
        <v>2098371</v>
      </c>
      <c r="M85" s="34">
        <v>1076579</v>
      </c>
      <c r="N85" s="43">
        <v>0.5131</v>
      </c>
      <c r="O85" s="34">
        <v>1922349</v>
      </c>
      <c r="P85" s="34">
        <v>993297</v>
      </c>
      <c r="Q85" s="43">
        <v>0.51670000000000005</v>
      </c>
      <c r="R85" s="34">
        <v>1402878</v>
      </c>
      <c r="S85" s="34">
        <v>809723</v>
      </c>
      <c r="T85" s="43">
        <v>0.57720000000000005</v>
      </c>
      <c r="U85" s="24">
        <v>636</v>
      </c>
      <c r="V85" s="21">
        <v>159041.00062199999</v>
      </c>
      <c r="W85" s="20">
        <f t="shared" si="4"/>
        <v>80075.000096000003</v>
      </c>
      <c r="X85" s="40">
        <f t="shared" si="5"/>
        <v>0.50348652097780688</v>
      </c>
      <c r="Y85" s="12">
        <v>263</v>
      </c>
      <c r="Z85" s="12">
        <v>70254.000090000001</v>
      </c>
      <c r="AA85" s="13">
        <f>Z85/V85</f>
        <v>0.44173514889393767</v>
      </c>
      <c r="AB85" s="4">
        <v>32</v>
      </c>
      <c r="AC85" s="4">
        <v>9412.9999919999991</v>
      </c>
      <c r="AD85" s="17">
        <f>AC85/V85</f>
        <v>5.9185995782133599E-2</v>
      </c>
      <c r="AE85" s="9">
        <v>3</v>
      </c>
      <c r="AF85" s="9">
        <v>408.00001400000002</v>
      </c>
      <c r="AG85" s="18">
        <f>AF85/V85</f>
        <v>2.5653763017356277E-3</v>
      </c>
    </row>
    <row r="86" spans="1:33" ht="14" x14ac:dyDescent="0.2">
      <c r="A86" s="1" t="s">
        <v>200</v>
      </c>
      <c r="B86" s="1" t="s">
        <v>201</v>
      </c>
      <c r="C86" s="34">
        <v>2548987</v>
      </c>
      <c r="D86" s="34">
        <v>1637051</v>
      </c>
      <c r="E86" s="37">
        <v>0.64219999999999999</v>
      </c>
      <c r="F86" s="34">
        <v>2458632</v>
      </c>
      <c r="G86" s="34">
        <v>1534709</v>
      </c>
      <c r="H86" s="37">
        <v>0.62419999999999998</v>
      </c>
      <c r="I86" s="34">
        <v>2352861</v>
      </c>
      <c r="J86" s="34">
        <v>1515305</v>
      </c>
      <c r="K86" s="37">
        <v>0.64400000000000002</v>
      </c>
      <c r="L86" s="34">
        <v>2583911</v>
      </c>
      <c r="M86" s="34">
        <v>1276315</v>
      </c>
      <c r="N86" s="43">
        <v>0.49390000000000001</v>
      </c>
      <c r="O86" s="34">
        <v>2204546</v>
      </c>
      <c r="P86" s="34">
        <v>1087423</v>
      </c>
      <c r="Q86" s="43">
        <v>0.49330000000000002</v>
      </c>
      <c r="R86" s="34">
        <v>1567901</v>
      </c>
      <c r="S86" s="34">
        <v>870634</v>
      </c>
      <c r="T86" s="43">
        <v>0.55530000000000002</v>
      </c>
      <c r="U86" s="24">
        <v>962</v>
      </c>
      <c r="V86" s="21">
        <v>211942.00106899999</v>
      </c>
      <c r="W86" s="20">
        <f t="shared" si="4"/>
        <v>106010.00056499999</v>
      </c>
      <c r="X86" s="40">
        <f t="shared" si="5"/>
        <v>0.50018401275020186</v>
      </c>
      <c r="Y86" s="12">
        <v>379</v>
      </c>
      <c r="Z86" s="12">
        <v>87597.000476999994</v>
      </c>
      <c r="AA86" s="13">
        <f>Z86/V86</f>
        <v>0.4133064708041605</v>
      </c>
      <c r="AB86" s="4">
        <v>73</v>
      </c>
      <c r="AC86" s="4">
        <v>16221.000045000001</v>
      </c>
      <c r="AD86" s="17">
        <f>AC86/V86</f>
        <v>7.6535089615007837E-2</v>
      </c>
      <c r="AE86" s="9">
        <v>10</v>
      </c>
      <c r="AF86" s="9">
        <v>2192.000043</v>
      </c>
      <c r="AG86" s="18">
        <f>AF86/V86</f>
        <v>1.0342452331033578E-2</v>
      </c>
    </row>
    <row r="87" spans="1:33" ht="14" x14ac:dyDescent="0.2">
      <c r="A87" s="1" t="s">
        <v>202</v>
      </c>
      <c r="B87" s="1" t="s">
        <v>203</v>
      </c>
      <c r="C87" s="34">
        <v>2659612</v>
      </c>
      <c r="D87" s="34">
        <v>1309356</v>
      </c>
      <c r="E87" s="37">
        <v>0.49230000000000002</v>
      </c>
      <c r="F87" s="34">
        <v>2054293</v>
      </c>
      <c r="G87" s="34">
        <v>969211</v>
      </c>
      <c r="H87" s="37">
        <v>0.4718</v>
      </c>
      <c r="I87" s="34">
        <v>1853782</v>
      </c>
      <c r="J87" s="34">
        <v>987852</v>
      </c>
      <c r="K87" s="37">
        <v>0.53290000000000004</v>
      </c>
      <c r="L87" s="34">
        <v>1700594</v>
      </c>
      <c r="M87" s="34">
        <v>695057</v>
      </c>
      <c r="N87" s="43">
        <v>0.40870000000000001</v>
      </c>
      <c r="O87" s="34">
        <v>1378617</v>
      </c>
      <c r="P87" s="34">
        <v>572703</v>
      </c>
      <c r="Q87" s="43">
        <v>0.41539999999999999</v>
      </c>
      <c r="R87" s="34">
        <v>904835</v>
      </c>
      <c r="S87" s="34">
        <v>447771</v>
      </c>
      <c r="T87" s="43">
        <v>0.49490000000000001</v>
      </c>
      <c r="U87" s="24">
        <v>719</v>
      </c>
      <c r="V87" s="21">
        <v>217733.00109500001</v>
      </c>
      <c r="W87" s="20">
        <f t="shared" si="4"/>
        <v>39801.000303000001</v>
      </c>
      <c r="X87" s="40">
        <f t="shared" si="5"/>
        <v>0.1827972797088038</v>
      </c>
      <c r="Y87" s="12">
        <v>127</v>
      </c>
      <c r="Z87" s="12">
        <v>33773.000178000002</v>
      </c>
      <c r="AA87" s="13">
        <f>Z87/V87</f>
        <v>0.15511199500375397</v>
      </c>
      <c r="AB87" s="4">
        <v>25</v>
      </c>
      <c r="AC87" s="4">
        <v>5729.0001099999999</v>
      </c>
      <c r="AD87" s="17">
        <f>AC87/V87</f>
        <v>2.6312043104115189E-2</v>
      </c>
      <c r="AE87" s="9">
        <v>1</v>
      </c>
      <c r="AF87" s="9">
        <v>299.00001500000002</v>
      </c>
      <c r="AG87" s="18">
        <f>AF87/V87</f>
        <v>1.3732416009346331E-3</v>
      </c>
    </row>
    <row r="88" spans="1:33" ht="14" x14ac:dyDescent="0.2">
      <c r="A88" s="1" t="s">
        <v>204</v>
      </c>
      <c r="B88" s="1" t="s">
        <v>205</v>
      </c>
      <c r="C88" s="34">
        <v>2431821</v>
      </c>
      <c r="D88" s="34">
        <v>1628759</v>
      </c>
      <c r="E88" s="37">
        <v>0.66979999999999995</v>
      </c>
      <c r="F88" s="34">
        <v>2424162</v>
      </c>
      <c r="G88" s="34">
        <v>1590132</v>
      </c>
      <c r="H88" s="37">
        <v>0.65600000000000003</v>
      </c>
      <c r="I88" s="34">
        <v>2738470</v>
      </c>
      <c r="J88" s="34">
        <v>1817995</v>
      </c>
      <c r="K88" s="37">
        <v>0.66390000000000005</v>
      </c>
      <c r="L88" s="34">
        <v>2142704</v>
      </c>
      <c r="M88" s="34">
        <v>1270441</v>
      </c>
      <c r="N88" s="43">
        <v>0.59289999999999998</v>
      </c>
      <c r="O88" s="34">
        <v>2023351</v>
      </c>
      <c r="P88" s="34">
        <v>1181574</v>
      </c>
      <c r="Q88" s="43">
        <v>0.58399999999999996</v>
      </c>
      <c r="R88" s="34">
        <v>1478586</v>
      </c>
      <c r="S88" s="34">
        <v>938418</v>
      </c>
      <c r="T88" s="43">
        <v>0.63470000000000004</v>
      </c>
      <c r="U88" s="24">
        <v>590</v>
      </c>
      <c r="V88" s="21">
        <v>132747.00053300001</v>
      </c>
      <c r="W88" s="20">
        <f t="shared" si="4"/>
        <v>75722.000323</v>
      </c>
      <c r="X88" s="40">
        <f t="shared" si="5"/>
        <v>0.57042343720735156</v>
      </c>
      <c r="Y88" s="12">
        <v>249</v>
      </c>
      <c r="Z88" s="12">
        <v>66015.000255000006</v>
      </c>
      <c r="AA88" s="13">
        <f>Z88/V88</f>
        <v>0.49729937392136497</v>
      </c>
      <c r="AB88" s="4">
        <v>28</v>
      </c>
      <c r="AC88" s="4">
        <v>7934.0000319999999</v>
      </c>
      <c r="AD88" s="17">
        <f>AC88/V88</f>
        <v>5.9767829029234151E-2</v>
      </c>
      <c r="AE88" s="9">
        <v>8</v>
      </c>
      <c r="AF88" s="9">
        <v>1773.0000359999999</v>
      </c>
      <c r="AG88" s="18">
        <f>AF88/V88</f>
        <v>1.335623425675252E-2</v>
      </c>
    </row>
    <row r="89" spans="1:33" ht="14" x14ac:dyDescent="0.2">
      <c r="A89" s="1" t="s">
        <v>206</v>
      </c>
      <c r="B89" s="1" t="s">
        <v>207</v>
      </c>
      <c r="C89" s="34">
        <v>5214312</v>
      </c>
      <c r="D89" s="34">
        <v>3990501</v>
      </c>
      <c r="E89" s="37">
        <v>0.76529999999999998</v>
      </c>
      <c r="F89" s="34">
        <v>4867568</v>
      </c>
      <c r="G89" s="34">
        <v>3611633</v>
      </c>
      <c r="H89" s="37">
        <v>0.74199999999999999</v>
      </c>
      <c r="I89" s="34">
        <v>5069241</v>
      </c>
      <c r="J89" s="34">
        <v>3807253</v>
      </c>
      <c r="K89" s="37">
        <v>0.751</v>
      </c>
      <c r="L89" s="34">
        <v>4220787</v>
      </c>
      <c r="M89" s="34">
        <v>2796407</v>
      </c>
      <c r="N89" s="43">
        <v>0.66249999999999998</v>
      </c>
      <c r="O89" s="34">
        <v>4079503</v>
      </c>
      <c r="P89" s="34">
        <v>2898061</v>
      </c>
      <c r="Q89" s="43">
        <v>0.71040000000000003</v>
      </c>
      <c r="R89" s="34">
        <v>2883918</v>
      </c>
      <c r="S89" s="34">
        <v>2212868</v>
      </c>
      <c r="T89" s="43">
        <v>0.76729999999999998</v>
      </c>
      <c r="U89" s="24">
        <v>1112</v>
      </c>
      <c r="V89" s="21">
        <v>313492.001185</v>
      </c>
      <c r="W89" s="20">
        <f t="shared" si="4"/>
        <v>271889.00093899999</v>
      </c>
      <c r="X89" s="40">
        <f t="shared" si="5"/>
        <v>0.86729166904182364</v>
      </c>
      <c r="Y89" s="12">
        <v>899</v>
      </c>
      <c r="Z89" s="12">
        <v>241421.000891</v>
      </c>
      <c r="AA89" s="13">
        <f>Z89/V89</f>
        <v>0.7701025862810803</v>
      </c>
      <c r="AB89" s="4">
        <v>77</v>
      </c>
      <c r="AC89" s="4">
        <v>26752.000002000001</v>
      </c>
      <c r="AD89" s="17">
        <f>AC89/V89</f>
        <v>8.5335510637838993E-2</v>
      </c>
      <c r="AE89" s="9">
        <v>15</v>
      </c>
      <c r="AF89" s="9">
        <v>3716.0000460000001</v>
      </c>
      <c r="AG89" s="18">
        <f>AF89/V89</f>
        <v>1.1853572122904308E-2</v>
      </c>
    </row>
    <row r="90" spans="1:33" ht="14" x14ac:dyDescent="0.2">
      <c r="A90" s="1" t="s">
        <v>208</v>
      </c>
      <c r="B90" s="1" t="s">
        <v>209</v>
      </c>
      <c r="C90" s="34">
        <v>2905349</v>
      </c>
      <c r="D90" s="34">
        <v>1764307</v>
      </c>
      <c r="E90" s="37">
        <v>0.60729999999999995</v>
      </c>
      <c r="F90" s="34">
        <v>2602856</v>
      </c>
      <c r="G90" s="34">
        <v>1538433</v>
      </c>
      <c r="H90" s="37">
        <v>0.59109999999999996</v>
      </c>
      <c r="I90" s="34">
        <v>2505029</v>
      </c>
      <c r="J90" s="34">
        <v>1560438</v>
      </c>
      <c r="K90" s="37">
        <v>0.62290000000000001</v>
      </c>
      <c r="L90" s="34">
        <v>2699092</v>
      </c>
      <c r="M90" s="34">
        <v>1356734</v>
      </c>
      <c r="N90" s="43">
        <v>0.50270000000000004</v>
      </c>
      <c r="O90" s="34">
        <v>2327897</v>
      </c>
      <c r="P90" s="34">
        <v>1213964</v>
      </c>
      <c r="Q90" s="43">
        <v>0.52149999999999996</v>
      </c>
      <c r="R90" s="34">
        <v>1744785</v>
      </c>
      <c r="S90" s="34">
        <v>990241</v>
      </c>
      <c r="T90" s="43">
        <v>0.5675</v>
      </c>
      <c r="U90" s="24">
        <v>874</v>
      </c>
      <c r="V90" s="21">
        <v>216649.00067400001</v>
      </c>
      <c r="W90" s="20">
        <f t="shared" si="4"/>
        <v>115502.00046</v>
      </c>
      <c r="X90" s="40">
        <f t="shared" si="5"/>
        <v>0.53312962488020077</v>
      </c>
      <c r="Y90" s="12">
        <v>377</v>
      </c>
      <c r="Z90" s="12">
        <v>97755.000444999998</v>
      </c>
      <c r="AA90" s="13">
        <f>Z90/V90</f>
        <v>0.45121371499929358</v>
      </c>
      <c r="AB90" s="4">
        <v>57</v>
      </c>
      <c r="AC90" s="4">
        <v>14533.000018999999</v>
      </c>
      <c r="AD90" s="17">
        <f>AC90/V90</f>
        <v>6.7080854164051087E-2</v>
      </c>
      <c r="AE90" s="9">
        <v>13</v>
      </c>
      <c r="AF90" s="9">
        <v>3213.999996</v>
      </c>
      <c r="AG90" s="18">
        <f>AF90/V90</f>
        <v>1.483505571685617E-2</v>
      </c>
    </row>
    <row r="91" spans="1:33" ht="14" x14ac:dyDescent="0.2">
      <c r="A91" s="1" t="s">
        <v>210</v>
      </c>
      <c r="B91" s="1" t="s">
        <v>211</v>
      </c>
      <c r="C91" s="34">
        <v>2491166</v>
      </c>
      <c r="D91" s="34">
        <v>1187620</v>
      </c>
      <c r="E91" s="37">
        <v>0.47670000000000001</v>
      </c>
      <c r="F91" s="34">
        <v>2178478</v>
      </c>
      <c r="G91" s="34">
        <v>1026710</v>
      </c>
      <c r="H91" s="37">
        <v>0.4713</v>
      </c>
      <c r="I91" s="34">
        <v>1813192</v>
      </c>
      <c r="J91" s="34">
        <v>893224</v>
      </c>
      <c r="K91" s="37">
        <v>0.49259999999999998</v>
      </c>
      <c r="L91" s="34">
        <v>2181727</v>
      </c>
      <c r="M91" s="34">
        <v>984785</v>
      </c>
      <c r="N91" s="43">
        <v>0.45140000000000002</v>
      </c>
      <c r="O91" s="34">
        <v>1856297</v>
      </c>
      <c r="P91" s="34">
        <v>795536</v>
      </c>
      <c r="Q91" s="43">
        <v>0.42859999999999998</v>
      </c>
      <c r="R91" s="34">
        <v>1304966</v>
      </c>
      <c r="S91" s="34">
        <v>563076</v>
      </c>
      <c r="T91" s="43">
        <v>0.43149999999999999</v>
      </c>
      <c r="U91" s="24">
        <v>775</v>
      </c>
      <c r="V91" s="21">
        <v>172903.000225</v>
      </c>
      <c r="W91" s="20">
        <f t="shared" si="4"/>
        <v>91227.000112000009</v>
      </c>
      <c r="X91" s="40">
        <f t="shared" si="5"/>
        <v>0.52761953230010827</v>
      </c>
      <c r="Y91" s="12">
        <v>324</v>
      </c>
      <c r="Z91" s="12">
        <v>75851.000050000002</v>
      </c>
      <c r="AA91" s="13">
        <f>Z91/V91</f>
        <v>0.43869105771036082</v>
      </c>
      <c r="AB91" s="4">
        <v>52</v>
      </c>
      <c r="AC91" s="4">
        <v>11262.000031</v>
      </c>
      <c r="AD91" s="17">
        <f>AC91/V91</f>
        <v>6.5134786651155116E-2</v>
      </c>
      <c r="AE91" s="9">
        <v>14</v>
      </c>
      <c r="AF91" s="9">
        <v>4114.0000309999996</v>
      </c>
      <c r="AG91" s="18">
        <f>AF91/V91</f>
        <v>2.3793687938592274E-2</v>
      </c>
    </row>
    <row r="92" spans="1:33" ht="14" x14ac:dyDescent="0.2">
      <c r="A92" s="1" t="s">
        <v>212</v>
      </c>
      <c r="B92" s="1" t="s">
        <v>213</v>
      </c>
      <c r="C92" s="34">
        <v>2454065</v>
      </c>
      <c r="D92" s="34">
        <v>1416990</v>
      </c>
      <c r="E92" s="37">
        <v>0.57740000000000002</v>
      </c>
      <c r="F92" s="34">
        <v>2223226</v>
      </c>
      <c r="G92" s="34">
        <v>1223719</v>
      </c>
      <c r="H92" s="37">
        <v>0.5504</v>
      </c>
      <c r="I92" s="34">
        <v>2190789</v>
      </c>
      <c r="J92" s="34">
        <v>1246469</v>
      </c>
      <c r="K92" s="37">
        <v>0.56899999999999995</v>
      </c>
      <c r="L92" s="34">
        <v>2122446</v>
      </c>
      <c r="M92" s="34">
        <v>1060643</v>
      </c>
      <c r="N92" s="43">
        <v>0.49969999999999998</v>
      </c>
      <c r="O92" s="34">
        <v>1919992</v>
      </c>
      <c r="P92" s="34">
        <v>956861</v>
      </c>
      <c r="Q92" s="43">
        <v>0.49840000000000001</v>
      </c>
      <c r="R92" s="34">
        <v>1371696</v>
      </c>
      <c r="S92" s="34">
        <v>723014</v>
      </c>
      <c r="T92" s="43">
        <v>0.52710000000000001</v>
      </c>
      <c r="U92" s="24">
        <v>657</v>
      </c>
      <c r="V92" s="21">
        <v>160698.000222</v>
      </c>
      <c r="W92" s="20">
        <f t="shared" si="4"/>
        <v>80572.000054000004</v>
      </c>
      <c r="X92" s="40">
        <f t="shared" si="5"/>
        <v>0.50138769581881504</v>
      </c>
      <c r="Y92" s="12">
        <v>276</v>
      </c>
      <c r="Z92" s="12">
        <v>70912.000071000002</v>
      </c>
      <c r="AA92" s="13">
        <f>Z92/V92</f>
        <v>0.44127493791482758</v>
      </c>
      <c r="AB92" s="4">
        <v>36</v>
      </c>
      <c r="AC92" s="4">
        <v>8889.9999640000005</v>
      </c>
      <c r="AD92" s="17">
        <f>AC92/V92</f>
        <v>5.5321161132800049E-2</v>
      </c>
      <c r="AE92" s="9">
        <v>3</v>
      </c>
      <c r="AF92" s="9">
        <v>770.00001899999995</v>
      </c>
      <c r="AG92" s="18">
        <f>AF92/V92</f>
        <v>4.791596771187354E-3</v>
      </c>
    </row>
    <row r="93" spans="1:33" ht="14" x14ac:dyDescent="0.2">
      <c r="A93" s="1" t="s">
        <v>214</v>
      </c>
      <c r="B93" s="1" t="s">
        <v>215</v>
      </c>
      <c r="C93" s="34">
        <v>3730521</v>
      </c>
      <c r="D93" s="34">
        <v>2529694</v>
      </c>
      <c r="E93" s="37">
        <v>0.67810000000000004</v>
      </c>
      <c r="F93" s="34">
        <v>2966703</v>
      </c>
      <c r="G93" s="34">
        <v>1947387</v>
      </c>
      <c r="H93" s="37">
        <v>0.65639999999999998</v>
      </c>
      <c r="I93" s="34">
        <v>2801775</v>
      </c>
      <c r="J93" s="34">
        <v>1877423</v>
      </c>
      <c r="K93" s="37">
        <v>0.67010000000000003</v>
      </c>
      <c r="L93" s="34">
        <v>3452350</v>
      </c>
      <c r="M93" s="34">
        <v>1931000</v>
      </c>
      <c r="N93" s="43">
        <v>0.55930000000000002</v>
      </c>
      <c r="O93" s="34">
        <v>3241991</v>
      </c>
      <c r="P93" s="34">
        <v>1757593</v>
      </c>
      <c r="Q93" s="43">
        <v>0.54210000000000003</v>
      </c>
      <c r="R93" s="34">
        <v>2354787</v>
      </c>
      <c r="S93" s="34">
        <v>1373397</v>
      </c>
      <c r="T93" s="43">
        <v>0.58320000000000005</v>
      </c>
      <c r="U93" s="24">
        <v>913</v>
      </c>
      <c r="V93" s="21">
        <v>203130.000806</v>
      </c>
      <c r="W93" s="20">
        <f t="shared" si="4"/>
        <v>96254.000125000006</v>
      </c>
      <c r="X93" s="40">
        <f t="shared" si="5"/>
        <v>0.47385418078606578</v>
      </c>
      <c r="Y93" s="12">
        <v>352</v>
      </c>
      <c r="Z93" s="12">
        <v>82247.000182999996</v>
      </c>
      <c r="AA93" s="13">
        <f>Z93/V93</f>
        <v>0.40489834025821858</v>
      </c>
      <c r="AB93" s="4">
        <v>52</v>
      </c>
      <c r="AC93" s="4">
        <v>11018.999905000001</v>
      </c>
      <c r="AD93" s="17">
        <f>AC93/V93</f>
        <v>5.4246048645092727E-2</v>
      </c>
      <c r="AE93" s="9">
        <v>14</v>
      </c>
      <c r="AF93" s="9">
        <v>2988.0000369999998</v>
      </c>
      <c r="AG93" s="18">
        <f>AF93/V93</f>
        <v>1.4709791882754432E-2</v>
      </c>
    </row>
    <row r="94" spans="1:33" ht="14" x14ac:dyDescent="0.2">
      <c r="A94" s="1" t="s">
        <v>216</v>
      </c>
      <c r="B94" s="1" t="s">
        <v>217</v>
      </c>
      <c r="C94" s="34">
        <v>2916916</v>
      </c>
      <c r="D94" s="34">
        <v>1595897</v>
      </c>
      <c r="E94" s="37">
        <v>0.54710000000000003</v>
      </c>
      <c r="F94" s="34">
        <v>2698923</v>
      </c>
      <c r="G94" s="34">
        <v>1447033</v>
      </c>
      <c r="H94" s="37">
        <v>0.53620000000000001</v>
      </c>
      <c r="I94" s="34">
        <v>2578597</v>
      </c>
      <c r="J94" s="34">
        <v>1535950</v>
      </c>
      <c r="K94" s="37">
        <v>0.59570000000000001</v>
      </c>
      <c r="L94" s="34">
        <v>2413148</v>
      </c>
      <c r="M94" s="34">
        <v>1249879</v>
      </c>
      <c r="N94" s="43">
        <v>0.51790000000000003</v>
      </c>
      <c r="O94" s="34">
        <v>2074109</v>
      </c>
      <c r="P94" s="34">
        <v>1116865</v>
      </c>
      <c r="Q94" s="43">
        <v>0.53849999999999998</v>
      </c>
      <c r="R94" s="34">
        <v>1597456</v>
      </c>
      <c r="S94" s="34">
        <v>941007</v>
      </c>
      <c r="T94" s="43">
        <v>0.58909999999999996</v>
      </c>
      <c r="U94" s="24">
        <v>756</v>
      </c>
      <c r="V94" s="21">
        <v>168079.00107299999</v>
      </c>
      <c r="W94" s="20">
        <f t="shared" si="4"/>
        <v>88271.000652000002</v>
      </c>
      <c r="X94" s="40">
        <f t="shared" si="5"/>
        <v>0.52517566197137366</v>
      </c>
      <c r="Y94" s="12">
        <v>320</v>
      </c>
      <c r="Z94" s="12">
        <v>70916.000650000002</v>
      </c>
      <c r="AA94" s="13">
        <f>Z94/V94</f>
        <v>0.42192064563258441</v>
      </c>
      <c r="AB94" s="4">
        <v>63</v>
      </c>
      <c r="AC94" s="4">
        <v>16265.999997000001</v>
      </c>
      <c r="AD94" s="17">
        <f>AC94/V94</f>
        <v>9.6775920211087871E-2</v>
      </c>
      <c r="AE94" s="9">
        <v>9</v>
      </c>
      <c r="AF94" s="9">
        <v>1089.0000050000001</v>
      </c>
      <c r="AG94" s="18">
        <f>AF94/V94</f>
        <v>6.4790961277014381E-3</v>
      </c>
    </row>
    <row r="95" spans="1:33" ht="14" x14ac:dyDescent="0.2">
      <c r="A95" s="1" t="s">
        <v>218</v>
      </c>
      <c r="B95" s="1" t="s">
        <v>219</v>
      </c>
      <c r="C95" s="34">
        <v>2375841</v>
      </c>
      <c r="D95" s="34">
        <v>1500486</v>
      </c>
      <c r="E95" s="37">
        <v>0.63160000000000005</v>
      </c>
      <c r="F95" s="34">
        <v>1837555</v>
      </c>
      <c r="G95" s="34">
        <v>1199029</v>
      </c>
      <c r="H95" s="37">
        <v>0.65249999999999997</v>
      </c>
      <c r="I95" s="34">
        <v>1230896</v>
      </c>
      <c r="J95" s="34">
        <v>824578</v>
      </c>
      <c r="K95" s="37">
        <v>0.66990000000000005</v>
      </c>
      <c r="L95" s="34">
        <v>1836433</v>
      </c>
      <c r="M95" s="34">
        <v>1119610</v>
      </c>
      <c r="N95" s="43">
        <v>0.60970000000000002</v>
      </c>
      <c r="O95" s="34">
        <v>1739438</v>
      </c>
      <c r="P95" s="34">
        <v>1115803</v>
      </c>
      <c r="Q95" s="43">
        <v>0.64149999999999996</v>
      </c>
      <c r="R95" s="34">
        <v>1155529</v>
      </c>
      <c r="S95" s="34">
        <v>736980</v>
      </c>
      <c r="T95" s="43">
        <v>0.63780000000000003</v>
      </c>
      <c r="U95" s="24">
        <v>732</v>
      </c>
      <c r="V95" s="21">
        <v>155644.00034900001</v>
      </c>
      <c r="W95" s="20">
        <f t="shared" si="4"/>
        <v>74828.000325000015</v>
      </c>
      <c r="X95" s="40">
        <f t="shared" si="5"/>
        <v>0.48076379530989594</v>
      </c>
      <c r="Y95" s="12">
        <v>269</v>
      </c>
      <c r="Z95" s="12">
        <v>59564.000202000003</v>
      </c>
      <c r="AA95" s="13">
        <f>Z95/V95</f>
        <v>0.38269384022795516</v>
      </c>
      <c r="AB95" s="4">
        <v>62</v>
      </c>
      <c r="AC95" s="4">
        <v>13021.000124</v>
      </c>
      <c r="AD95" s="17">
        <f>AC95/V95</f>
        <v>8.3658863141547732E-2</v>
      </c>
      <c r="AE95" s="9">
        <v>7</v>
      </c>
      <c r="AF95" s="9">
        <v>2242.9999990000001</v>
      </c>
      <c r="AG95" s="18">
        <f>AF95/V95</f>
        <v>1.4411091940393006E-2</v>
      </c>
    </row>
    <row r="96" spans="1:33" ht="14" x14ac:dyDescent="0.2">
      <c r="A96" s="1" t="s">
        <v>220</v>
      </c>
      <c r="B96" s="1" t="s">
        <v>221</v>
      </c>
      <c r="C96" s="34">
        <v>3286858</v>
      </c>
      <c r="D96" s="34">
        <v>2584701</v>
      </c>
      <c r="E96" s="37">
        <v>0.78639999999999999</v>
      </c>
      <c r="F96" s="34">
        <v>3052845</v>
      </c>
      <c r="G96" s="34">
        <v>2316597</v>
      </c>
      <c r="H96" s="37">
        <v>0.75880000000000003</v>
      </c>
      <c r="I96" s="34">
        <v>2695156</v>
      </c>
      <c r="J96" s="34">
        <v>1972969</v>
      </c>
      <c r="K96" s="37">
        <v>0.73199999999999998</v>
      </c>
      <c r="L96" s="34">
        <v>2880581</v>
      </c>
      <c r="M96" s="34">
        <v>1901274</v>
      </c>
      <c r="N96" s="43">
        <v>0.66</v>
      </c>
      <c r="O96" s="34">
        <v>2536510</v>
      </c>
      <c r="P96" s="34">
        <v>1806742</v>
      </c>
      <c r="Q96" s="43">
        <v>0.71230000000000004</v>
      </c>
      <c r="R96" s="34">
        <v>1795248</v>
      </c>
      <c r="S96" s="34">
        <v>1368282</v>
      </c>
      <c r="T96" s="43">
        <v>0.76219999999999999</v>
      </c>
      <c r="U96" s="24">
        <v>895</v>
      </c>
      <c r="V96" s="21">
        <v>204668.000653</v>
      </c>
      <c r="W96" s="20">
        <f t="shared" si="4"/>
        <v>182942.000497</v>
      </c>
      <c r="X96" s="40">
        <f t="shared" si="5"/>
        <v>0.89384759666053082</v>
      </c>
      <c r="Y96" s="12">
        <v>735</v>
      </c>
      <c r="Z96" s="12">
        <v>161451.00049100001</v>
      </c>
      <c r="AA96" s="13">
        <f>Z96/V96</f>
        <v>0.78884339503921119</v>
      </c>
      <c r="AB96" s="4">
        <v>75</v>
      </c>
      <c r="AC96" s="4">
        <v>17802.000040999999</v>
      </c>
      <c r="AD96" s="17">
        <f>AC96/V96</f>
        <v>8.6979889304640359E-2</v>
      </c>
      <c r="AE96" s="9">
        <v>19</v>
      </c>
      <c r="AF96" s="9">
        <v>3688.999965</v>
      </c>
      <c r="AG96" s="18">
        <f>AF96/V96</f>
        <v>1.8024312316679326E-2</v>
      </c>
    </row>
    <row r="97" spans="1:33" ht="14" x14ac:dyDescent="0.2">
      <c r="A97" s="1" t="s">
        <v>222</v>
      </c>
      <c r="B97" s="1" t="s">
        <v>223</v>
      </c>
      <c r="C97" s="34">
        <v>2648101</v>
      </c>
      <c r="D97" s="34">
        <v>1992237</v>
      </c>
      <c r="E97" s="37">
        <v>0.75229999999999997</v>
      </c>
      <c r="F97" s="34">
        <v>2969201</v>
      </c>
      <c r="G97" s="34">
        <v>2014157</v>
      </c>
      <c r="H97" s="37">
        <v>0.67830000000000001</v>
      </c>
      <c r="I97" s="34">
        <v>3709431</v>
      </c>
      <c r="J97" s="34">
        <v>2423186</v>
      </c>
      <c r="K97" s="37">
        <v>0.65329999999999999</v>
      </c>
      <c r="L97" s="34">
        <v>2731718</v>
      </c>
      <c r="M97" s="34">
        <v>1631668</v>
      </c>
      <c r="N97" s="43">
        <v>0.59730000000000005</v>
      </c>
      <c r="O97" s="34">
        <v>2646656</v>
      </c>
      <c r="P97" s="34">
        <v>1573919</v>
      </c>
      <c r="Q97" s="43">
        <v>0.59470000000000001</v>
      </c>
      <c r="R97" s="34">
        <v>1903302</v>
      </c>
      <c r="S97" s="34">
        <v>1164077</v>
      </c>
      <c r="T97" s="43">
        <v>0.61160000000000003</v>
      </c>
      <c r="U97" s="24">
        <v>715</v>
      </c>
      <c r="V97" s="21">
        <v>212905.000898</v>
      </c>
      <c r="W97" s="20">
        <f t="shared" si="4"/>
        <v>102540.00055900001</v>
      </c>
      <c r="X97" s="40">
        <f t="shared" si="5"/>
        <v>0.48162325979428533</v>
      </c>
      <c r="Y97" s="12">
        <v>304</v>
      </c>
      <c r="Z97" s="12">
        <v>87111.000486000004</v>
      </c>
      <c r="AA97" s="13">
        <f>Z97/V97</f>
        <v>0.40915431821037285</v>
      </c>
      <c r="AB97" s="4">
        <v>41</v>
      </c>
      <c r="AC97" s="4">
        <v>12623.000048</v>
      </c>
      <c r="AD97" s="17">
        <f>AC97/V97</f>
        <v>5.9289354382274534E-2</v>
      </c>
      <c r="AE97" s="9">
        <v>7</v>
      </c>
      <c r="AF97" s="9">
        <v>2806.0000249999998</v>
      </c>
      <c r="AG97" s="18">
        <f>AF97/V97</f>
        <v>1.3179587201637963E-2</v>
      </c>
    </row>
    <row r="98" spans="1:33" ht="14" x14ac:dyDescent="0.2">
      <c r="A98" s="1" t="s">
        <v>224</v>
      </c>
      <c r="B98" s="1" t="s">
        <v>225</v>
      </c>
      <c r="C98" s="34">
        <v>2726845</v>
      </c>
      <c r="D98" s="34">
        <v>1497985</v>
      </c>
      <c r="E98" s="37">
        <v>0.54930000000000001</v>
      </c>
      <c r="F98" s="34">
        <v>2337090</v>
      </c>
      <c r="G98" s="34">
        <v>1242694</v>
      </c>
      <c r="H98" s="37">
        <v>0.53169999999999995</v>
      </c>
      <c r="I98" s="34">
        <v>2037184</v>
      </c>
      <c r="J98" s="34">
        <v>1175351</v>
      </c>
      <c r="K98" s="37">
        <v>0.57689999999999997</v>
      </c>
      <c r="L98" s="34">
        <v>2060626</v>
      </c>
      <c r="M98" s="34">
        <v>1057590</v>
      </c>
      <c r="N98" s="43">
        <v>0.51319999999999999</v>
      </c>
      <c r="O98" s="34">
        <v>1797704</v>
      </c>
      <c r="P98" s="34">
        <v>935666</v>
      </c>
      <c r="Q98" s="43">
        <v>0.52049999999999996</v>
      </c>
      <c r="R98" s="34">
        <v>1237333</v>
      </c>
      <c r="S98" s="34">
        <v>623208</v>
      </c>
      <c r="T98" s="43">
        <v>0.50370000000000004</v>
      </c>
      <c r="U98" s="24">
        <v>510</v>
      </c>
      <c r="V98" s="21">
        <v>111292.000216</v>
      </c>
      <c r="W98" s="20">
        <f t="shared" ref="W98:W129" si="6">Z98+AC98+AF98</f>
        <v>50440.000102000005</v>
      </c>
      <c r="X98" s="40">
        <f t="shared" ref="X98:X129" si="7">W98/V98</f>
        <v>0.45322215436962243</v>
      </c>
      <c r="Y98" s="12">
        <v>192</v>
      </c>
      <c r="Z98" s="12">
        <v>41985.000083999999</v>
      </c>
      <c r="AA98" s="13">
        <f>Z98/V98</f>
        <v>0.37725083566216638</v>
      </c>
      <c r="AB98" s="4">
        <v>25</v>
      </c>
      <c r="AC98" s="4">
        <v>6631.0000069999996</v>
      </c>
      <c r="AD98" s="17">
        <f>AC98/V98</f>
        <v>5.9582000450439272E-2</v>
      </c>
      <c r="AE98" s="9">
        <v>9</v>
      </c>
      <c r="AF98" s="9">
        <v>1824.0000110000001</v>
      </c>
      <c r="AG98" s="18">
        <f>AF98/V98</f>
        <v>1.6389318257016741E-2</v>
      </c>
    </row>
    <row r="99" spans="1:33" ht="14" x14ac:dyDescent="0.2">
      <c r="A99" s="1" t="s">
        <v>226</v>
      </c>
      <c r="B99" s="1" t="s">
        <v>227</v>
      </c>
      <c r="C99" s="34">
        <v>4041809</v>
      </c>
      <c r="D99" s="34">
        <v>3057467</v>
      </c>
      <c r="E99" s="37">
        <v>0.75649999999999995</v>
      </c>
      <c r="F99" s="34">
        <v>3615291</v>
      </c>
      <c r="G99" s="34">
        <v>2655593</v>
      </c>
      <c r="H99" s="37">
        <v>0.73450000000000004</v>
      </c>
      <c r="I99" s="34">
        <v>3165926</v>
      </c>
      <c r="J99" s="34">
        <v>2338933</v>
      </c>
      <c r="K99" s="37">
        <v>0.73880000000000001</v>
      </c>
      <c r="L99" s="34">
        <v>3726646</v>
      </c>
      <c r="M99" s="34">
        <v>2464922</v>
      </c>
      <c r="N99" s="43">
        <v>0.66139999999999999</v>
      </c>
      <c r="O99" s="34">
        <v>3237724</v>
      </c>
      <c r="P99" s="34">
        <v>2323346</v>
      </c>
      <c r="Q99" s="43">
        <v>0.71760000000000002</v>
      </c>
      <c r="R99" s="34">
        <v>2224268</v>
      </c>
      <c r="S99" s="34">
        <v>1644963</v>
      </c>
      <c r="T99" s="43">
        <v>0.73960000000000004</v>
      </c>
      <c r="U99" s="24">
        <v>1296</v>
      </c>
      <c r="V99" s="21">
        <v>282815.00094200001</v>
      </c>
      <c r="W99" s="20">
        <f t="shared" si="6"/>
        <v>252656.00078599999</v>
      </c>
      <c r="X99" s="40">
        <f t="shared" si="7"/>
        <v>0.89336138445433788</v>
      </c>
      <c r="Y99" s="12">
        <v>1043</v>
      </c>
      <c r="Z99" s="12">
        <v>225805.00063600001</v>
      </c>
      <c r="AA99" s="13">
        <f>Z99/V99</f>
        <v>0.79841946107486828</v>
      </c>
      <c r="AB99" s="4">
        <v>104</v>
      </c>
      <c r="AC99" s="4">
        <v>23951.000209000002</v>
      </c>
      <c r="AD99" s="17">
        <f>AC99/V99</f>
        <v>8.4687870619394395E-2</v>
      </c>
      <c r="AE99" s="9">
        <v>22</v>
      </c>
      <c r="AF99" s="9">
        <v>2899.999941</v>
      </c>
      <c r="AG99" s="18">
        <f>AF99/V99</f>
        <v>1.0254052760075251E-2</v>
      </c>
    </row>
    <row r="100" spans="1:33" ht="14" x14ac:dyDescent="0.2">
      <c r="A100" s="1" t="s">
        <v>228</v>
      </c>
      <c r="B100" s="1" t="s">
        <v>229</v>
      </c>
      <c r="C100" s="34">
        <v>3231841</v>
      </c>
      <c r="D100" s="34">
        <v>1827312</v>
      </c>
      <c r="E100" s="37">
        <v>0.56540000000000001</v>
      </c>
      <c r="F100" s="34">
        <v>3126910</v>
      </c>
      <c r="G100" s="34">
        <v>1714654</v>
      </c>
      <c r="H100" s="37">
        <v>0.5484</v>
      </c>
      <c r="I100" s="34">
        <v>2990916</v>
      </c>
      <c r="J100" s="34">
        <v>1688922</v>
      </c>
      <c r="K100" s="37">
        <v>0.56469999999999998</v>
      </c>
      <c r="L100" s="34">
        <v>3019122</v>
      </c>
      <c r="M100" s="34">
        <v>1603970</v>
      </c>
      <c r="N100" s="43">
        <v>0.53129999999999999</v>
      </c>
      <c r="O100" s="34">
        <v>2784819</v>
      </c>
      <c r="P100" s="34">
        <v>1570189</v>
      </c>
      <c r="Q100" s="43">
        <v>0.56379999999999997</v>
      </c>
      <c r="R100" s="34">
        <v>1905071</v>
      </c>
      <c r="S100" s="34">
        <v>1140818</v>
      </c>
      <c r="T100" s="43">
        <v>0.5988</v>
      </c>
      <c r="U100" s="24">
        <v>908</v>
      </c>
      <c r="V100" s="21">
        <v>201334.000692</v>
      </c>
      <c r="W100" s="20">
        <f t="shared" si="6"/>
        <v>102366.00018999999</v>
      </c>
      <c r="X100" s="40">
        <f t="shared" si="7"/>
        <v>0.508438712975257</v>
      </c>
      <c r="Y100" s="12">
        <v>366</v>
      </c>
      <c r="Z100" s="12">
        <v>82099.000079999998</v>
      </c>
      <c r="AA100" s="13">
        <f>Z100/V100</f>
        <v>0.40777513881321387</v>
      </c>
      <c r="AB100" s="4">
        <v>70</v>
      </c>
      <c r="AC100" s="4">
        <v>19568.000106</v>
      </c>
      <c r="AD100" s="17">
        <f>AC100/V100</f>
        <v>9.7191731345641186E-2</v>
      </c>
      <c r="AE100" s="9">
        <v>4</v>
      </c>
      <c r="AF100" s="9">
        <v>699.00000399999999</v>
      </c>
      <c r="AG100" s="18">
        <f>AF100/V100</f>
        <v>3.4718428164020221E-3</v>
      </c>
    </row>
    <row r="101" spans="1:33" ht="14" x14ac:dyDescent="0.2">
      <c r="A101" s="1" t="s">
        <v>230</v>
      </c>
      <c r="B101" s="1" t="s">
        <v>231</v>
      </c>
      <c r="C101" s="34">
        <v>3082412</v>
      </c>
      <c r="D101" s="34">
        <v>2018279</v>
      </c>
      <c r="E101" s="37">
        <v>0.65480000000000005</v>
      </c>
      <c r="F101" s="34">
        <v>3296387</v>
      </c>
      <c r="G101" s="34">
        <v>2011590</v>
      </c>
      <c r="H101" s="37">
        <v>0.61019999999999996</v>
      </c>
      <c r="I101" s="34">
        <v>3115472</v>
      </c>
      <c r="J101" s="34">
        <v>1775951</v>
      </c>
      <c r="K101" s="37">
        <v>0.56999999999999995</v>
      </c>
      <c r="L101" s="34">
        <v>3110376</v>
      </c>
      <c r="M101" s="34">
        <v>1711214</v>
      </c>
      <c r="N101" s="43">
        <v>0.55020000000000002</v>
      </c>
      <c r="O101" s="34">
        <v>2831230</v>
      </c>
      <c r="P101" s="34">
        <v>1432091</v>
      </c>
      <c r="Q101" s="43">
        <v>0.50580000000000003</v>
      </c>
      <c r="R101" s="34">
        <v>2015473</v>
      </c>
      <c r="S101" s="34">
        <v>1077316</v>
      </c>
      <c r="T101" s="43">
        <v>0.53449999999999998</v>
      </c>
      <c r="U101" s="24">
        <v>525</v>
      </c>
      <c r="V101" s="21">
        <v>142050.00076699999</v>
      </c>
      <c r="W101" s="20">
        <f t="shared" si="6"/>
        <v>79488.000563000009</v>
      </c>
      <c r="X101" s="40">
        <f t="shared" si="7"/>
        <v>0.55957761445831733</v>
      </c>
      <c r="Y101" s="12">
        <v>239</v>
      </c>
      <c r="Z101" s="12">
        <v>67758.000524000003</v>
      </c>
      <c r="AA101" s="13">
        <f>Z101/V101</f>
        <v>0.47700105707948043</v>
      </c>
      <c r="AB101" s="4">
        <v>37</v>
      </c>
      <c r="AC101" s="4">
        <v>10452.000023000001</v>
      </c>
      <c r="AD101" s="17">
        <f>AC101/V101</f>
        <v>7.3579725213406208E-2</v>
      </c>
      <c r="AE101" s="9">
        <v>8</v>
      </c>
      <c r="AF101" s="9">
        <v>1278.000016</v>
      </c>
      <c r="AG101" s="18">
        <f>AF101/V101</f>
        <v>8.9968321654306915E-3</v>
      </c>
    </row>
    <row r="102" spans="1:33" ht="14" x14ac:dyDescent="0.2">
      <c r="A102" s="1" t="s">
        <v>232</v>
      </c>
      <c r="B102" s="1" t="s">
        <v>233</v>
      </c>
      <c r="C102" s="34">
        <v>2805679</v>
      </c>
      <c r="D102" s="34">
        <v>1957213</v>
      </c>
      <c r="E102" s="37">
        <v>0.6976</v>
      </c>
      <c r="F102" s="34">
        <v>2686280</v>
      </c>
      <c r="G102" s="34">
        <v>1774065</v>
      </c>
      <c r="H102" s="37">
        <v>0.66039999999999999</v>
      </c>
      <c r="I102" s="34">
        <v>3060919</v>
      </c>
      <c r="J102" s="34">
        <v>2127611</v>
      </c>
      <c r="K102" s="37">
        <v>0.69510000000000005</v>
      </c>
      <c r="L102" s="34">
        <v>2422225</v>
      </c>
      <c r="M102" s="34">
        <v>1417960</v>
      </c>
      <c r="N102" s="43">
        <v>0.58540000000000003</v>
      </c>
      <c r="O102" s="34">
        <v>2501670</v>
      </c>
      <c r="P102" s="34">
        <v>1422826</v>
      </c>
      <c r="Q102" s="43">
        <v>0.56879999999999997</v>
      </c>
      <c r="R102" s="34">
        <v>1806924</v>
      </c>
      <c r="S102" s="34">
        <v>1103027</v>
      </c>
      <c r="T102" s="43">
        <v>0.61040000000000005</v>
      </c>
      <c r="U102" s="24">
        <v>594</v>
      </c>
      <c r="V102" s="21">
        <v>150310.00052</v>
      </c>
      <c r="W102" s="20">
        <f t="shared" si="6"/>
        <v>81482.000174000001</v>
      </c>
      <c r="X102" s="40">
        <f t="shared" si="7"/>
        <v>0.54209300706614083</v>
      </c>
      <c r="Y102" s="12">
        <v>271</v>
      </c>
      <c r="Z102" s="12">
        <v>69549.000195999994</v>
      </c>
      <c r="AA102" s="13">
        <f>Z102/V102</f>
        <v>0.46270374529568253</v>
      </c>
      <c r="AB102" s="4">
        <v>35</v>
      </c>
      <c r="AC102" s="4">
        <v>10041.999948999999</v>
      </c>
      <c r="AD102" s="17">
        <f>AC102/V102</f>
        <v>6.6808594998732818E-2</v>
      </c>
      <c r="AE102" s="9">
        <v>9</v>
      </c>
      <c r="AF102" s="9">
        <v>1891.000029</v>
      </c>
      <c r="AG102" s="18">
        <f>AF102/V102</f>
        <v>1.2580666771725457E-2</v>
      </c>
    </row>
    <row r="103" spans="1:33" ht="14" x14ac:dyDescent="0.2">
      <c r="A103" s="1" t="s">
        <v>234</v>
      </c>
      <c r="B103" s="1" t="s">
        <v>235</v>
      </c>
      <c r="C103" s="34">
        <v>2856368</v>
      </c>
      <c r="D103" s="34">
        <v>1855774</v>
      </c>
      <c r="E103" s="37">
        <v>0.64970000000000006</v>
      </c>
      <c r="F103" s="34">
        <v>2784808</v>
      </c>
      <c r="G103" s="34">
        <v>1683418</v>
      </c>
      <c r="H103" s="37">
        <v>0.60450000000000004</v>
      </c>
      <c r="I103" s="34">
        <v>2917173</v>
      </c>
      <c r="J103" s="34">
        <v>1782779</v>
      </c>
      <c r="K103" s="37">
        <v>0.61109999999999998</v>
      </c>
      <c r="L103" s="34">
        <v>2327313</v>
      </c>
      <c r="M103" s="34">
        <v>1269166</v>
      </c>
      <c r="N103" s="43">
        <v>0.54530000000000001</v>
      </c>
      <c r="O103" s="34">
        <v>2171215</v>
      </c>
      <c r="P103" s="34">
        <v>1154399</v>
      </c>
      <c r="Q103" s="43">
        <v>0.53169999999999995</v>
      </c>
      <c r="R103" s="34">
        <v>1594834</v>
      </c>
      <c r="S103" s="34">
        <v>912216</v>
      </c>
      <c r="T103" s="43">
        <v>0.57199999999999995</v>
      </c>
      <c r="U103" s="24">
        <v>648</v>
      </c>
      <c r="V103" s="21">
        <v>174067.00040300001</v>
      </c>
      <c r="W103" s="20">
        <f t="shared" si="6"/>
        <v>90939.000176999994</v>
      </c>
      <c r="X103" s="40">
        <f t="shared" si="7"/>
        <v>0.52243676266298589</v>
      </c>
      <c r="Y103" s="12">
        <v>266</v>
      </c>
      <c r="Z103" s="12">
        <v>69514.000157999995</v>
      </c>
      <c r="AA103" s="13">
        <f>Z103/V103</f>
        <v>0.39935197364842934</v>
      </c>
      <c r="AB103" s="4">
        <v>78</v>
      </c>
      <c r="AC103" s="4">
        <v>20832.000005999998</v>
      </c>
      <c r="AD103" s="17">
        <f>AC103/V103</f>
        <v>0.11967805475920043</v>
      </c>
      <c r="AE103" s="9">
        <v>4</v>
      </c>
      <c r="AF103" s="9">
        <v>593.00001299999997</v>
      </c>
      <c r="AG103" s="18">
        <f>AF103/V103</f>
        <v>3.4067342553561904E-3</v>
      </c>
    </row>
    <row r="104" spans="1:33" ht="14" x14ac:dyDescent="0.2">
      <c r="A104" s="1" t="s">
        <v>236</v>
      </c>
      <c r="B104" s="1" t="s">
        <v>237</v>
      </c>
      <c r="C104" s="34">
        <v>3199049</v>
      </c>
      <c r="D104" s="34">
        <v>1798125</v>
      </c>
      <c r="E104" s="37">
        <v>0.56210000000000004</v>
      </c>
      <c r="F104" s="34">
        <v>3106011</v>
      </c>
      <c r="G104" s="34">
        <v>1676079</v>
      </c>
      <c r="H104" s="37">
        <v>0.53959999999999997</v>
      </c>
      <c r="I104" s="34">
        <v>2960628</v>
      </c>
      <c r="J104" s="34">
        <v>1735607</v>
      </c>
      <c r="K104" s="37">
        <v>0.58620000000000005</v>
      </c>
      <c r="L104" s="34">
        <v>2748130</v>
      </c>
      <c r="M104" s="34">
        <v>1353782</v>
      </c>
      <c r="N104" s="43">
        <v>0.49259999999999998</v>
      </c>
      <c r="O104" s="34">
        <v>2356149</v>
      </c>
      <c r="P104" s="34">
        <v>1233541</v>
      </c>
      <c r="Q104" s="43">
        <v>0.52349999999999997</v>
      </c>
      <c r="R104" s="34">
        <v>1860011</v>
      </c>
      <c r="S104" s="34">
        <v>1087791</v>
      </c>
      <c r="T104" s="43">
        <v>0.58479999999999999</v>
      </c>
      <c r="U104" s="24">
        <v>481</v>
      </c>
      <c r="V104" s="21">
        <v>117270.000275</v>
      </c>
      <c r="W104" s="20">
        <f t="shared" si="6"/>
        <v>58489.000127999992</v>
      </c>
      <c r="X104" s="40">
        <f t="shared" si="7"/>
        <v>0.49875500972833942</v>
      </c>
      <c r="Y104" s="12">
        <v>206</v>
      </c>
      <c r="Z104" s="12">
        <v>49479.000100999998</v>
      </c>
      <c r="AA104" s="13">
        <f>Z104/V104</f>
        <v>0.42192376554081151</v>
      </c>
      <c r="AB104" s="4">
        <v>24</v>
      </c>
      <c r="AC104" s="4">
        <v>6856.0000149999996</v>
      </c>
      <c r="AD104" s="17">
        <f>AC104/V104</f>
        <v>5.8463375108063202E-2</v>
      </c>
      <c r="AE104" s="9">
        <v>13</v>
      </c>
      <c r="AF104" s="9">
        <v>2154.000012</v>
      </c>
      <c r="AG104" s="18">
        <f>AF104/V104</f>
        <v>1.8367869079464791E-2</v>
      </c>
    </row>
    <row r="105" spans="1:33" ht="14" x14ac:dyDescent="0.2">
      <c r="A105" s="1" t="s">
        <v>238</v>
      </c>
      <c r="B105" s="1" t="s">
        <v>239</v>
      </c>
      <c r="C105" s="34">
        <v>3986430</v>
      </c>
      <c r="D105" s="34">
        <v>2653957</v>
      </c>
      <c r="E105" s="37">
        <v>0.66569999999999996</v>
      </c>
      <c r="F105" s="34">
        <v>3965267</v>
      </c>
      <c r="G105" s="34">
        <v>2634756</v>
      </c>
      <c r="H105" s="37">
        <v>0.66449999999999998</v>
      </c>
      <c r="I105" s="34">
        <v>4017083</v>
      </c>
      <c r="J105" s="34">
        <v>2814886</v>
      </c>
      <c r="K105" s="37">
        <v>0.70069999999999999</v>
      </c>
      <c r="L105" s="34">
        <v>3377313</v>
      </c>
      <c r="M105" s="34">
        <v>2021741</v>
      </c>
      <c r="N105" s="43">
        <v>0.59860000000000002</v>
      </c>
      <c r="O105" s="34">
        <v>3053446</v>
      </c>
      <c r="P105" s="34">
        <v>1938552</v>
      </c>
      <c r="Q105" s="43">
        <v>0.63490000000000002</v>
      </c>
      <c r="R105" s="34">
        <v>2321524</v>
      </c>
      <c r="S105" s="34">
        <v>1564964</v>
      </c>
      <c r="T105" s="43">
        <v>0.67410000000000003</v>
      </c>
      <c r="U105" s="24">
        <v>729</v>
      </c>
      <c r="V105" s="21">
        <v>208901.00044800001</v>
      </c>
      <c r="W105" s="20">
        <f t="shared" si="6"/>
        <v>193905.000531</v>
      </c>
      <c r="X105" s="40">
        <f t="shared" si="7"/>
        <v>0.92821480086337438</v>
      </c>
      <c r="Y105" s="12">
        <v>612</v>
      </c>
      <c r="Z105" s="12">
        <v>172973.00054800001</v>
      </c>
      <c r="AA105" s="13">
        <f>Z105/V105</f>
        <v>0.82801422768224964</v>
      </c>
      <c r="AB105" s="4">
        <v>56</v>
      </c>
      <c r="AC105" s="4">
        <v>17307.999964999999</v>
      </c>
      <c r="AD105" s="17">
        <f>AC105/V105</f>
        <v>8.2852642772806323E-2</v>
      </c>
      <c r="AE105" s="9">
        <v>13</v>
      </c>
      <c r="AF105" s="9">
        <v>3624.0000180000002</v>
      </c>
      <c r="AG105" s="18">
        <f>AF105/V105</f>
        <v>1.7347930408318425E-2</v>
      </c>
    </row>
    <row r="106" spans="1:33" ht="14" x14ac:dyDescent="0.2">
      <c r="A106" s="1" t="s">
        <v>240</v>
      </c>
      <c r="B106" s="1" t="s">
        <v>241</v>
      </c>
      <c r="C106" s="34">
        <v>3822093</v>
      </c>
      <c r="D106" s="34">
        <v>3154176</v>
      </c>
      <c r="E106" s="37">
        <v>0.82520000000000004</v>
      </c>
      <c r="F106" s="34">
        <v>3785065</v>
      </c>
      <c r="G106" s="34">
        <v>2832941</v>
      </c>
      <c r="H106" s="37">
        <v>0.74850000000000005</v>
      </c>
      <c r="I106" s="34">
        <v>4287401</v>
      </c>
      <c r="J106" s="34">
        <v>3334418</v>
      </c>
      <c r="K106" s="37">
        <v>0.77769999999999995</v>
      </c>
      <c r="L106" s="34">
        <v>3280667</v>
      </c>
      <c r="M106" s="34">
        <v>2228579</v>
      </c>
      <c r="N106" s="43">
        <v>0.67930000000000001</v>
      </c>
      <c r="O106" s="34">
        <v>3251226</v>
      </c>
      <c r="P106" s="34">
        <v>2325231</v>
      </c>
      <c r="Q106" s="43">
        <v>0.71519999999999995</v>
      </c>
      <c r="R106" s="34">
        <v>2183963</v>
      </c>
      <c r="S106" s="34">
        <v>1608333</v>
      </c>
      <c r="T106" s="43">
        <v>0.73640000000000005</v>
      </c>
      <c r="U106" s="24">
        <v>760</v>
      </c>
      <c r="V106" s="21">
        <v>203333.000447</v>
      </c>
      <c r="W106" s="20">
        <f t="shared" si="6"/>
        <v>162178.00027000002</v>
      </c>
      <c r="X106" s="40">
        <f t="shared" si="7"/>
        <v>0.79759802842368777</v>
      </c>
      <c r="Y106" s="12">
        <v>563</v>
      </c>
      <c r="Z106" s="12">
        <v>144481.00011600001</v>
      </c>
      <c r="AA106" s="13">
        <f>Z106/V106</f>
        <v>0.71056345894851369</v>
      </c>
      <c r="AB106" s="4">
        <v>56</v>
      </c>
      <c r="AC106" s="4">
        <v>15770.000096</v>
      </c>
      <c r="AD106" s="17">
        <f>AC106/V106</f>
        <v>7.7557504494262103E-2</v>
      </c>
      <c r="AE106" s="9">
        <v>10</v>
      </c>
      <c r="AF106" s="9">
        <v>1927.0000580000001</v>
      </c>
      <c r="AG106" s="18">
        <f>AF106/V106</f>
        <v>9.4770649809118642E-3</v>
      </c>
    </row>
    <row r="107" spans="1:33" ht="14" x14ac:dyDescent="0.2">
      <c r="A107" s="1" t="s">
        <v>242</v>
      </c>
      <c r="B107" s="1" t="s">
        <v>243</v>
      </c>
      <c r="C107" s="34">
        <v>4345062</v>
      </c>
      <c r="D107" s="34">
        <v>2613728</v>
      </c>
      <c r="E107" s="37">
        <v>0.60150000000000003</v>
      </c>
      <c r="F107" s="34">
        <v>4252121</v>
      </c>
      <c r="G107" s="34">
        <v>2508024</v>
      </c>
      <c r="H107" s="37">
        <v>0.58979999999999999</v>
      </c>
      <c r="I107" s="34">
        <v>4767369</v>
      </c>
      <c r="J107" s="34">
        <v>2882311</v>
      </c>
      <c r="K107" s="37">
        <v>0.60460000000000003</v>
      </c>
      <c r="L107" s="34">
        <v>3987428</v>
      </c>
      <c r="M107" s="34">
        <v>1970233</v>
      </c>
      <c r="N107" s="43">
        <v>0.49409999999999998</v>
      </c>
      <c r="O107" s="34">
        <v>3586293</v>
      </c>
      <c r="P107" s="34">
        <v>1802247</v>
      </c>
      <c r="Q107" s="43">
        <v>0.50249999999999995</v>
      </c>
      <c r="R107" s="34">
        <v>2703633</v>
      </c>
      <c r="S107" s="34">
        <v>1565796</v>
      </c>
      <c r="T107" s="43">
        <v>0.57909999999999995</v>
      </c>
      <c r="U107" s="24">
        <v>1015</v>
      </c>
      <c r="V107" s="21">
        <v>278060.000551</v>
      </c>
      <c r="W107" s="20">
        <f t="shared" si="6"/>
        <v>143511.00057600002</v>
      </c>
      <c r="X107" s="40">
        <f t="shared" si="7"/>
        <v>0.51611522797820808</v>
      </c>
      <c r="Y107" s="12">
        <v>421</v>
      </c>
      <c r="Z107" s="12">
        <v>121506.000444</v>
      </c>
      <c r="AA107" s="13">
        <f>Z107/V107</f>
        <v>0.4369776314580498</v>
      </c>
      <c r="AB107" s="4">
        <v>64</v>
      </c>
      <c r="AC107" s="4">
        <v>15492.000110999999</v>
      </c>
      <c r="AD107" s="17">
        <f>AC107/V107</f>
        <v>5.5714594261315031E-2</v>
      </c>
      <c r="AE107" s="9">
        <v>27</v>
      </c>
      <c r="AF107" s="9">
        <v>6513.0000209999998</v>
      </c>
      <c r="AG107" s="18">
        <f>AF107/V107</f>
        <v>2.3423002258843147E-2</v>
      </c>
    </row>
    <row r="108" spans="1:33" ht="14" x14ac:dyDescent="0.2">
      <c r="A108" s="1" t="s">
        <v>244</v>
      </c>
      <c r="B108" s="1" t="s">
        <v>245</v>
      </c>
      <c r="C108" s="34">
        <v>2871137</v>
      </c>
      <c r="D108" s="34">
        <v>1976033</v>
      </c>
      <c r="E108" s="37">
        <v>0.68820000000000003</v>
      </c>
      <c r="F108" s="34">
        <v>2885354</v>
      </c>
      <c r="G108" s="34">
        <v>1737178</v>
      </c>
      <c r="H108" s="37">
        <v>0.60209999999999997</v>
      </c>
      <c r="I108" s="34">
        <v>3157327</v>
      </c>
      <c r="J108" s="34">
        <v>1996483</v>
      </c>
      <c r="K108" s="37">
        <v>0.63229999999999997</v>
      </c>
      <c r="L108" s="34">
        <v>2717250</v>
      </c>
      <c r="M108" s="34">
        <v>1381259</v>
      </c>
      <c r="N108" s="43">
        <v>0.50829999999999997</v>
      </c>
      <c r="O108" s="34">
        <v>2521621</v>
      </c>
      <c r="P108" s="34">
        <v>1262497</v>
      </c>
      <c r="Q108" s="43">
        <v>0.50070000000000003</v>
      </c>
      <c r="R108" s="34">
        <v>1797975</v>
      </c>
      <c r="S108" s="34">
        <v>982874</v>
      </c>
      <c r="T108" s="43">
        <v>0.54669999999999996</v>
      </c>
      <c r="U108" s="24">
        <v>598</v>
      </c>
      <c r="V108" s="21">
        <v>176970.000485</v>
      </c>
      <c r="W108" s="20">
        <f t="shared" si="6"/>
        <v>93248.000226999997</v>
      </c>
      <c r="X108" s="40">
        <f t="shared" si="7"/>
        <v>0.5269141660815202</v>
      </c>
      <c r="Y108" s="12">
        <v>266</v>
      </c>
      <c r="Z108" s="12">
        <v>79717.000224999996</v>
      </c>
      <c r="AA108" s="13">
        <f>Z108/V108</f>
        <v>0.45045487939497869</v>
      </c>
      <c r="AB108" s="4">
        <v>42</v>
      </c>
      <c r="AC108" s="4">
        <v>12094.999994</v>
      </c>
      <c r="AD108" s="17">
        <f>AC108/V108</f>
        <v>6.8344916996398913E-2</v>
      </c>
      <c r="AE108" s="9">
        <v>6</v>
      </c>
      <c r="AF108" s="9">
        <v>1436.000008</v>
      </c>
      <c r="AG108" s="18">
        <f>AF108/V108</f>
        <v>8.1143696901425713E-3</v>
      </c>
    </row>
    <row r="109" spans="1:33" ht="14" x14ac:dyDescent="0.2">
      <c r="A109" s="1" t="s">
        <v>246</v>
      </c>
      <c r="B109" s="1" t="s">
        <v>247</v>
      </c>
      <c r="C109" s="34">
        <v>3201783</v>
      </c>
      <c r="D109" s="34">
        <v>1813077</v>
      </c>
      <c r="E109" s="37">
        <v>0.56630000000000003</v>
      </c>
      <c r="F109" s="34">
        <v>3155587</v>
      </c>
      <c r="G109" s="34">
        <v>1791100</v>
      </c>
      <c r="H109" s="37">
        <v>0.56759999999999999</v>
      </c>
      <c r="I109" s="34">
        <v>3265435</v>
      </c>
      <c r="J109" s="34">
        <v>1885992</v>
      </c>
      <c r="K109" s="37">
        <v>0.5776</v>
      </c>
      <c r="L109" s="34">
        <v>2932250</v>
      </c>
      <c r="M109" s="34">
        <v>1391246</v>
      </c>
      <c r="N109" s="43">
        <v>0.47449999999999998</v>
      </c>
      <c r="O109" s="34">
        <v>2654623</v>
      </c>
      <c r="P109" s="34">
        <v>1323632</v>
      </c>
      <c r="Q109" s="43">
        <v>0.49859999999999999</v>
      </c>
      <c r="R109" s="34">
        <v>1806223</v>
      </c>
      <c r="S109" s="34">
        <v>1011378</v>
      </c>
      <c r="T109" s="43">
        <v>0.55989999999999995</v>
      </c>
      <c r="U109" s="24">
        <v>923</v>
      </c>
      <c r="V109" s="21">
        <v>229250.00059099999</v>
      </c>
      <c r="W109" s="20">
        <f t="shared" si="6"/>
        <v>126269.000288</v>
      </c>
      <c r="X109" s="40">
        <f t="shared" si="7"/>
        <v>0.55079171194103427</v>
      </c>
      <c r="Y109" s="12">
        <v>412</v>
      </c>
      <c r="Z109" s="12">
        <v>103334.00012300001</v>
      </c>
      <c r="AA109" s="13">
        <f>Z109/V109</f>
        <v>0.45074809097756985</v>
      </c>
      <c r="AB109" s="4">
        <v>77</v>
      </c>
      <c r="AC109" s="4">
        <v>19553.000106</v>
      </c>
      <c r="AD109" s="17">
        <f>AC109/V109</f>
        <v>8.5291167090917872E-2</v>
      </c>
      <c r="AE109" s="9">
        <v>11</v>
      </c>
      <c r="AF109" s="9">
        <v>3382.000059</v>
      </c>
      <c r="AG109" s="18">
        <f>AF109/V109</f>
        <v>1.4752453872546565E-2</v>
      </c>
    </row>
    <row r="110" spans="1:33" ht="14" x14ac:dyDescent="0.2">
      <c r="A110" s="1" t="s">
        <v>248</v>
      </c>
      <c r="B110" s="1" t="s">
        <v>249</v>
      </c>
      <c r="C110" s="34">
        <v>2473242</v>
      </c>
      <c r="D110" s="34">
        <v>1556469</v>
      </c>
      <c r="E110" s="37">
        <v>0.62929999999999997</v>
      </c>
      <c r="F110" s="34">
        <v>2504244</v>
      </c>
      <c r="G110" s="34">
        <v>1473981</v>
      </c>
      <c r="H110" s="37">
        <v>0.58860000000000001</v>
      </c>
      <c r="I110" s="34">
        <v>2361835</v>
      </c>
      <c r="J110" s="34">
        <v>1391185</v>
      </c>
      <c r="K110" s="37">
        <v>0.58899999999999997</v>
      </c>
      <c r="L110" s="34">
        <v>2505604</v>
      </c>
      <c r="M110" s="34">
        <v>1330935</v>
      </c>
      <c r="N110" s="43">
        <v>0.53120000000000001</v>
      </c>
      <c r="O110" s="34">
        <v>2129293</v>
      </c>
      <c r="P110" s="34">
        <v>1162418</v>
      </c>
      <c r="Q110" s="43">
        <v>0.54590000000000005</v>
      </c>
      <c r="R110" s="34">
        <v>1496805</v>
      </c>
      <c r="S110" s="34">
        <v>828912</v>
      </c>
      <c r="T110" s="43">
        <v>0.55379999999999996</v>
      </c>
      <c r="U110" s="24">
        <v>400</v>
      </c>
      <c r="V110" s="21">
        <v>82415.000450000007</v>
      </c>
      <c r="W110" s="20">
        <f t="shared" si="6"/>
        <v>43190.000119999997</v>
      </c>
      <c r="X110" s="40">
        <f t="shared" si="7"/>
        <v>0.5240550856540096</v>
      </c>
      <c r="Y110" s="12">
        <v>169</v>
      </c>
      <c r="Z110" s="12">
        <v>32738.000071999999</v>
      </c>
      <c r="AA110" s="13">
        <f>Z110/V110</f>
        <v>0.39723351202141499</v>
      </c>
      <c r="AB110" s="4">
        <v>41</v>
      </c>
      <c r="AC110" s="4">
        <v>9723.0000459999992</v>
      </c>
      <c r="AD110" s="17">
        <f>AC110/V110</f>
        <v>0.11797609649834077</v>
      </c>
      <c r="AE110" s="9">
        <v>4</v>
      </c>
      <c r="AF110" s="9">
        <v>729.00000199999999</v>
      </c>
      <c r="AG110" s="18">
        <f>AF110/V110</f>
        <v>8.8454771342539006E-3</v>
      </c>
    </row>
    <row r="111" spans="1:33" ht="14" x14ac:dyDescent="0.2">
      <c r="A111" s="1" t="s">
        <v>250</v>
      </c>
      <c r="B111" s="1" t="s">
        <v>251</v>
      </c>
      <c r="C111" s="34">
        <v>2918481</v>
      </c>
      <c r="D111" s="34">
        <v>1736159</v>
      </c>
      <c r="E111" s="37">
        <v>0.59489999999999998</v>
      </c>
      <c r="F111" s="34">
        <v>2625517</v>
      </c>
      <c r="G111" s="34">
        <v>1495700</v>
      </c>
      <c r="H111" s="37">
        <v>0.56969999999999998</v>
      </c>
      <c r="I111" s="34">
        <v>2373786</v>
      </c>
      <c r="J111" s="34">
        <v>1352745</v>
      </c>
      <c r="K111" s="37">
        <v>0.56989999999999996</v>
      </c>
      <c r="L111" s="34">
        <v>2597665</v>
      </c>
      <c r="M111" s="34">
        <v>1322030</v>
      </c>
      <c r="N111" s="43">
        <v>0.50890000000000002</v>
      </c>
      <c r="O111" s="34">
        <v>2295673</v>
      </c>
      <c r="P111" s="34">
        <v>1149527</v>
      </c>
      <c r="Q111" s="43">
        <v>0.50070000000000003</v>
      </c>
      <c r="R111" s="34">
        <v>1700605</v>
      </c>
      <c r="S111" s="34">
        <v>1001635</v>
      </c>
      <c r="T111" s="43">
        <v>0.58899999999999997</v>
      </c>
      <c r="U111" s="24">
        <v>719</v>
      </c>
      <c r="V111" s="21">
        <v>162413.00038700001</v>
      </c>
      <c r="W111" s="20">
        <f t="shared" si="6"/>
        <v>87895.000352000003</v>
      </c>
      <c r="X111" s="40">
        <f t="shared" si="7"/>
        <v>0.54118204911283296</v>
      </c>
      <c r="Y111" s="12">
        <v>302</v>
      </c>
      <c r="Z111" s="12">
        <v>74730.000283000001</v>
      </c>
      <c r="AA111" s="13">
        <f>Z111/V111</f>
        <v>0.46012326664080028</v>
      </c>
      <c r="AB111" s="4">
        <v>54</v>
      </c>
      <c r="AC111" s="4">
        <v>12104.000077000001</v>
      </c>
      <c r="AD111" s="17">
        <f>AC111/V111</f>
        <v>7.4526054245401638E-2</v>
      </c>
      <c r="AE111" s="9">
        <v>6</v>
      </c>
      <c r="AF111" s="9">
        <v>1060.999992</v>
      </c>
      <c r="AG111" s="18">
        <f>AF111/V111</f>
        <v>6.5327282266310835E-3</v>
      </c>
    </row>
    <row r="112" spans="1:33" ht="14" x14ac:dyDescent="0.2">
      <c r="A112" s="1" t="s">
        <v>252</v>
      </c>
      <c r="B112" s="1" t="s">
        <v>253</v>
      </c>
      <c r="C112" s="34">
        <v>5247320</v>
      </c>
      <c r="D112" s="34">
        <v>3503428</v>
      </c>
      <c r="E112" s="37">
        <v>0.66769999999999996</v>
      </c>
      <c r="F112" s="34">
        <v>4739595</v>
      </c>
      <c r="G112" s="34">
        <v>3114524</v>
      </c>
      <c r="H112" s="37">
        <v>0.65710000000000002</v>
      </c>
      <c r="I112" s="34">
        <v>5390626</v>
      </c>
      <c r="J112" s="34">
        <v>3729854</v>
      </c>
      <c r="K112" s="37">
        <v>0.69189999999999996</v>
      </c>
      <c r="L112" s="34">
        <v>4590805</v>
      </c>
      <c r="M112" s="34">
        <v>2621623</v>
      </c>
      <c r="N112" s="43">
        <v>0.57110000000000005</v>
      </c>
      <c r="O112" s="34">
        <v>4277261</v>
      </c>
      <c r="P112" s="34">
        <v>2641695</v>
      </c>
      <c r="Q112" s="43">
        <v>0.61760000000000004</v>
      </c>
      <c r="R112" s="34">
        <v>3022687</v>
      </c>
      <c r="S112" s="34">
        <v>1948208</v>
      </c>
      <c r="T112" s="43">
        <v>0.64449999999999996</v>
      </c>
      <c r="U112" s="24">
        <v>1046</v>
      </c>
      <c r="V112" s="21">
        <v>298662.00066100003</v>
      </c>
      <c r="W112" s="20">
        <f t="shared" si="6"/>
        <v>189101.00047899998</v>
      </c>
      <c r="X112" s="40">
        <f t="shared" si="7"/>
        <v>0.63316056297915646</v>
      </c>
      <c r="Y112" s="12">
        <v>599</v>
      </c>
      <c r="Z112" s="12">
        <v>167037.00046499999</v>
      </c>
      <c r="AA112" s="13">
        <f>Z112/V112</f>
        <v>0.5592844087808726</v>
      </c>
      <c r="AB112" s="4">
        <v>65</v>
      </c>
      <c r="AC112" s="4">
        <v>21189.000004000001</v>
      </c>
      <c r="AD112" s="17">
        <f>AC112/V112</f>
        <v>7.0946420894202861E-2</v>
      </c>
      <c r="AE112" s="9">
        <v>4</v>
      </c>
      <c r="AF112" s="9">
        <v>875.00000999999997</v>
      </c>
      <c r="AG112" s="18">
        <f>AF112/V112</f>
        <v>2.929733304081022E-3</v>
      </c>
    </row>
    <row r="113" spans="1:33" ht="14" x14ac:dyDescent="0.2">
      <c r="A113" s="1" t="s">
        <v>254</v>
      </c>
      <c r="B113" s="1" t="s">
        <v>255</v>
      </c>
      <c r="C113" s="34">
        <v>1415671</v>
      </c>
      <c r="D113" s="34">
        <v>810395</v>
      </c>
      <c r="E113" s="37">
        <v>0.57240000000000002</v>
      </c>
      <c r="F113" s="34">
        <v>2341543</v>
      </c>
      <c r="G113" s="34">
        <v>1187854</v>
      </c>
      <c r="H113" s="37">
        <v>0.50729999999999997</v>
      </c>
      <c r="I113" s="34">
        <v>2029000</v>
      </c>
      <c r="J113" s="34">
        <v>1072346</v>
      </c>
      <c r="K113" s="37">
        <v>0.52849999999999997</v>
      </c>
      <c r="L113" s="34">
        <v>2018322</v>
      </c>
      <c r="M113" s="34">
        <v>981535</v>
      </c>
      <c r="N113" s="43">
        <v>0.48630000000000001</v>
      </c>
      <c r="O113" s="34">
        <v>1769772</v>
      </c>
      <c r="P113" s="34">
        <v>924272</v>
      </c>
      <c r="Q113" s="43">
        <v>0.52229999999999999</v>
      </c>
      <c r="R113" s="34">
        <v>1179475</v>
      </c>
      <c r="S113" s="34">
        <v>654476</v>
      </c>
      <c r="T113" s="43">
        <v>0.55489999999999995</v>
      </c>
      <c r="U113" s="24">
        <v>565</v>
      </c>
      <c r="V113" s="21">
        <v>149676.00054199999</v>
      </c>
      <c r="W113" s="20">
        <f t="shared" si="6"/>
        <v>67077.000098000004</v>
      </c>
      <c r="X113" s="40">
        <f t="shared" si="7"/>
        <v>0.44814799871124156</v>
      </c>
      <c r="Y113" s="12">
        <v>206</v>
      </c>
      <c r="Z113" s="12">
        <v>53343.000052000003</v>
      </c>
      <c r="AA113" s="13">
        <f>Z113/V113</f>
        <v>0.35638980102913448</v>
      </c>
      <c r="AB113" s="4">
        <v>48</v>
      </c>
      <c r="AC113" s="4">
        <v>13143.000008000001</v>
      </c>
      <c r="AD113" s="17">
        <f>AC113/V113</f>
        <v>8.7809668620267511E-2</v>
      </c>
      <c r="AE113" s="9">
        <v>7</v>
      </c>
      <c r="AF113" s="9">
        <v>591.00003800000002</v>
      </c>
      <c r="AG113" s="18">
        <f>AF113/V113</f>
        <v>3.9485290618395553E-3</v>
      </c>
    </row>
    <row r="114" spans="1:33" ht="14" x14ac:dyDescent="0.2">
      <c r="A114" s="1" t="s">
        <v>256</v>
      </c>
      <c r="B114" s="1" t="s">
        <v>257</v>
      </c>
      <c r="C114" s="34">
        <v>2720438</v>
      </c>
      <c r="D114" s="34">
        <v>1778957</v>
      </c>
      <c r="E114" s="37">
        <v>0.65390000000000004</v>
      </c>
      <c r="F114" s="34">
        <v>2660819</v>
      </c>
      <c r="G114" s="34">
        <v>1632309</v>
      </c>
      <c r="H114" s="37">
        <v>0.61350000000000005</v>
      </c>
      <c r="I114" s="34">
        <v>3079556</v>
      </c>
      <c r="J114" s="34">
        <v>2041713</v>
      </c>
      <c r="K114" s="37">
        <v>0.66300000000000003</v>
      </c>
      <c r="L114" s="34">
        <v>2388574</v>
      </c>
      <c r="M114" s="34">
        <v>1302370</v>
      </c>
      <c r="N114" s="43">
        <v>0.54520000000000002</v>
      </c>
      <c r="O114" s="34">
        <v>2239503</v>
      </c>
      <c r="P114" s="34">
        <v>1227989</v>
      </c>
      <c r="Q114" s="43">
        <v>0.54830000000000001</v>
      </c>
      <c r="R114" s="34">
        <v>1558894</v>
      </c>
      <c r="S114" s="34">
        <v>927850</v>
      </c>
      <c r="T114" s="43">
        <v>0.59519999999999995</v>
      </c>
      <c r="U114" s="24">
        <v>632</v>
      </c>
      <c r="V114" s="21">
        <v>168629.00042900001</v>
      </c>
      <c r="W114" s="20">
        <f t="shared" si="6"/>
        <v>75601.000236000007</v>
      </c>
      <c r="X114" s="40">
        <f t="shared" si="7"/>
        <v>0.44832739353057632</v>
      </c>
      <c r="Y114" s="12">
        <v>217</v>
      </c>
      <c r="Z114" s="12">
        <v>58120.000081999999</v>
      </c>
      <c r="AA114" s="13">
        <f>Z114/V114</f>
        <v>0.34466194980780307</v>
      </c>
      <c r="AB114" s="4">
        <v>47</v>
      </c>
      <c r="AC114" s="4">
        <v>14989.000167</v>
      </c>
      <c r="AD114" s="17">
        <f>AC114/V114</f>
        <v>8.8887440054007838E-2</v>
      </c>
      <c r="AE114" s="9">
        <v>9</v>
      </c>
      <c r="AF114" s="9">
        <v>2491.9999870000001</v>
      </c>
      <c r="AG114" s="18">
        <f>AF114/V114</f>
        <v>1.4778003668765376E-2</v>
      </c>
    </row>
    <row r="115" spans="1:33" ht="14" x14ac:dyDescent="0.2">
      <c r="A115" s="1" t="s">
        <v>258</v>
      </c>
      <c r="B115" s="1" t="s">
        <v>259</v>
      </c>
      <c r="C115" s="34">
        <v>2629758</v>
      </c>
      <c r="D115" s="34">
        <v>1613945</v>
      </c>
      <c r="E115" s="37">
        <v>0.61370000000000002</v>
      </c>
      <c r="F115" s="34">
        <v>2395460</v>
      </c>
      <c r="G115" s="34">
        <v>1413705</v>
      </c>
      <c r="H115" s="37">
        <v>0.59019999999999995</v>
      </c>
      <c r="I115" s="34">
        <v>2558510</v>
      </c>
      <c r="J115" s="34">
        <v>1592333</v>
      </c>
      <c r="K115" s="37">
        <v>0.62239999999999995</v>
      </c>
      <c r="L115" s="34">
        <v>2276161</v>
      </c>
      <c r="M115" s="34">
        <v>1256529</v>
      </c>
      <c r="N115" s="43">
        <v>0.55200000000000005</v>
      </c>
      <c r="O115" s="34">
        <v>2054691</v>
      </c>
      <c r="P115" s="34">
        <v>1173315</v>
      </c>
      <c r="Q115" s="43">
        <v>0.57099999999999995</v>
      </c>
      <c r="R115" s="34">
        <v>1590750</v>
      </c>
      <c r="S115" s="34">
        <v>954682</v>
      </c>
      <c r="T115" s="43">
        <v>0.60009999999999997</v>
      </c>
      <c r="U115" s="24">
        <v>421</v>
      </c>
      <c r="V115" s="21">
        <v>102875.00046700001</v>
      </c>
      <c r="W115" s="20">
        <f t="shared" si="6"/>
        <v>48890.000035000005</v>
      </c>
      <c r="X115" s="40">
        <f t="shared" si="7"/>
        <v>0.47523693621447732</v>
      </c>
      <c r="Y115" s="12">
        <v>176</v>
      </c>
      <c r="Z115" s="12">
        <v>45086.000065</v>
      </c>
      <c r="AA115" s="13">
        <f>Z115/V115</f>
        <v>0.43826002294369448</v>
      </c>
      <c r="AB115" s="4">
        <v>13</v>
      </c>
      <c r="AC115" s="4">
        <v>2338.9999809999999</v>
      </c>
      <c r="AD115" s="17">
        <f>AC115/V115</f>
        <v>2.2736330210275903E-2</v>
      </c>
      <c r="AE115" s="9">
        <v>5</v>
      </c>
      <c r="AF115" s="9">
        <v>1464.9999889999999</v>
      </c>
      <c r="AG115" s="18">
        <f>AF115/V115</f>
        <v>1.4240583060506903E-2</v>
      </c>
    </row>
    <row r="116" spans="1:33" ht="14" x14ac:dyDescent="0.2">
      <c r="A116" s="1" t="s">
        <v>260</v>
      </c>
      <c r="B116" s="1" t="s">
        <v>261</v>
      </c>
      <c r="C116" s="34">
        <v>2145856</v>
      </c>
      <c r="D116" s="34">
        <v>1145393</v>
      </c>
      <c r="E116" s="37">
        <v>0.53380000000000005</v>
      </c>
      <c r="F116" s="34">
        <v>2066791</v>
      </c>
      <c r="G116" s="34">
        <v>1022545</v>
      </c>
      <c r="H116" s="37">
        <v>0.49480000000000002</v>
      </c>
      <c r="I116" s="34">
        <v>2133366</v>
      </c>
      <c r="J116" s="34">
        <v>1122340</v>
      </c>
      <c r="K116" s="37">
        <v>0.52610000000000001</v>
      </c>
      <c r="L116" s="34">
        <v>1754591</v>
      </c>
      <c r="M116" s="34">
        <v>907758</v>
      </c>
      <c r="N116" s="43">
        <v>0.51739999999999997</v>
      </c>
      <c r="O116" s="34">
        <v>1635101</v>
      </c>
      <c r="P116" s="34">
        <v>909474</v>
      </c>
      <c r="Q116" s="43">
        <v>0.55620000000000003</v>
      </c>
      <c r="R116" s="34">
        <v>1192118</v>
      </c>
      <c r="S116" s="34">
        <v>712302</v>
      </c>
      <c r="T116" s="43">
        <v>0.59750000000000003</v>
      </c>
      <c r="U116" s="24">
        <v>412</v>
      </c>
      <c r="V116" s="21">
        <v>107022.00038</v>
      </c>
      <c r="W116" s="20">
        <f t="shared" si="6"/>
        <v>56156.000211999999</v>
      </c>
      <c r="X116" s="40">
        <f t="shared" si="7"/>
        <v>0.52471454479086987</v>
      </c>
      <c r="Y116" s="12">
        <v>164</v>
      </c>
      <c r="Z116" s="12">
        <v>46519.000182999996</v>
      </c>
      <c r="AA116" s="13">
        <f>Z116/V116</f>
        <v>0.4346676385960484</v>
      </c>
      <c r="AB116" s="4">
        <v>34</v>
      </c>
      <c r="AC116" s="4">
        <v>8079.0000120000004</v>
      </c>
      <c r="AD116" s="17">
        <f>AC116/V116</f>
        <v>7.5489151607278163E-2</v>
      </c>
      <c r="AE116" s="9">
        <v>7</v>
      </c>
      <c r="AF116" s="9">
        <v>1558.0000170000001</v>
      </c>
      <c r="AG116" s="18">
        <f>AF116/V116</f>
        <v>1.4557754587543248E-2</v>
      </c>
    </row>
    <row r="117" spans="1:33" ht="14" x14ac:dyDescent="0.2">
      <c r="A117" s="1" t="s">
        <v>262</v>
      </c>
      <c r="B117" s="1" t="s">
        <v>263</v>
      </c>
      <c r="C117" s="34">
        <v>2943038</v>
      </c>
      <c r="D117" s="34">
        <v>2412344</v>
      </c>
      <c r="E117" s="37">
        <v>0.81969999999999998</v>
      </c>
      <c r="F117" s="34">
        <v>2815576</v>
      </c>
      <c r="G117" s="34">
        <v>2267261</v>
      </c>
      <c r="H117" s="37">
        <v>0.80530000000000002</v>
      </c>
      <c r="I117" s="34">
        <v>2990969</v>
      </c>
      <c r="J117" s="34">
        <v>2474748</v>
      </c>
      <c r="K117" s="37">
        <v>0.82740000000000002</v>
      </c>
      <c r="L117" s="34">
        <v>2555272</v>
      </c>
      <c r="M117" s="34">
        <v>1831270</v>
      </c>
      <c r="N117" s="43">
        <v>0.7167</v>
      </c>
      <c r="O117" s="34">
        <v>2440451</v>
      </c>
      <c r="P117" s="34">
        <v>1883121</v>
      </c>
      <c r="Q117" s="43">
        <v>0.77159999999999995</v>
      </c>
      <c r="R117" s="34">
        <v>1778834</v>
      </c>
      <c r="S117" s="34">
        <v>1443909</v>
      </c>
      <c r="T117" s="43">
        <v>0.81169999999999998</v>
      </c>
      <c r="U117" s="24">
        <v>726</v>
      </c>
      <c r="V117" s="21">
        <v>205834.00060699999</v>
      </c>
      <c r="W117" s="20">
        <f t="shared" si="6"/>
        <v>187757.000677</v>
      </c>
      <c r="X117" s="40">
        <f t="shared" si="7"/>
        <v>0.91217680326529482</v>
      </c>
      <c r="Y117" s="12">
        <v>603</v>
      </c>
      <c r="Z117" s="12">
        <v>171625.000546</v>
      </c>
      <c r="AA117" s="13">
        <f>Z117/V117</f>
        <v>0.83380296763353767</v>
      </c>
      <c r="AB117" s="4">
        <v>58</v>
      </c>
      <c r="AC117" s="4">
        <v>14625.000131000001</v>
      </c>
      <c r="AD117" s="17">
        <f>AC117/V117</f>
        <v>7.1052401876615101E-2</v>
      </c>
      <c r="AE117" s="9">
        <v>7</v>
      </c>
      <c r="AF117" s="9">
        <v>1507</v>
      </c>
      <c r="AG117" s="18">
        <f>AF117/V117</f>
        <v>7.3214337551419581E-3</v>
      </c>
    </row>
    <row r="118" spans="1:33" ht="14" x14ac:dyDescent="0.2">
      <c r="A118" s="1" t="s">
        <v>264</v>
      </c>
      <c r="B118" s="1" t="s">
        <v>265</v>
      </c>
      <c r="C118" s="34">
        <v>3459338</v>
      </c>
      <c r="D118" s="34">
        <v>2241035</v>
      </c>
      <c r="E118" s="37">
        <v>0.64780000000000004</v>
      </c>
      <c r="F118" s="34">
        <v>3340865</v>
      </c>
      <c r="G118" s="34">
        <v>2147053</v>
      </c>
      <c r="H118" s="37">
        <v>0.64270000000000005</v>
      </c>
      <c r="I118" s="34">
        <v>3340325</v>
      </c>
      <c r="J118" s="34">
        <v>2244392</v>
      </c>
      <c r="K118" s="37">
        <v>0.67190000000000005</v>
      </c>
      <c r="L118" s="34">
        <v>2972004</v>
      </c>
      <c r="M118" s="34">
        <v>1704436</v>
      </c>
      <c r="N118" s="43">
        <v>0.57350000000000001</v>
      </c>
      <c r="O118" s="34">
        <v>2677172</v>
      </c>
      <c r="P118" s="34">
        <v>1591797</v>
      </c>
      <c r="Q118" s="43">
        <v>0.59460000000000002</v>
      </c>
      <c r="R118" s="34">
        <v>1988995</v>
      </c>
      <c r="S118" s="34">
        <v>1295348</v>
      </c>
      <c r="T118" s="43">
        <v>0.65129999999999999</v>
      </c>
      <c r="U118" s="24">
        <v>602</v>
      </c>
      <c r="V118" s="21">
        <v>160111.000371</v>
      </c>
      <c r="W118" s="20">
        <f t="shared" si="6"/>
        <v>90023.000037999998</v>
      </c>
      <c r="X118" s="40">
        <f t="shared" si="7"/>
        <v>0.56225368543950061</v>
      </c>
      <c r="Y118" s="12">
        <v>270</v>
      </c>
      <c r="Z118" s="12">
        <v>75037.000140000004</v>
      </c>
      <c r="AA118" s="13">
        <f>Z118/V118</f>
        <v>0.46865611960532744</v>
      </c>
      <c r="AB118" s="4">
        <v>43</v>
      </c>
      <c r="AC118" s="4">
        <v>12174.999904</v>
      </c>
      <c r="AD118" s="17">
        <f>AC118/V118</f>
        <v>7.6040995782855586E-2</v>
      </c>
      <c r="AE118" s="9">
        <v>7</v>
      </c>
      <c r="AF118" s="9">
        <v>2810.9999939999998</v>
      </c>
      <c r="AG118" s="18">
        <f>AF118/V118</f>
        <v>1.75565700513176E-2</v>
      </c>
    </row>
    <row r="119" spans="1:33" ht="14" x14ac:dyDescent="0.2">
      <c r="A119" s="1" t="s">
        <v>266</v>
      </c>
      <c r="B119" s="1" t="s">
        <v>267</v>
      </c>
      <c r="C119" s="34">
        <v>2133981</v>
      </c>
      <c r="D119" s="34">
        <v>1318805</v>
      </c>
      <c r="E119" s="37">
        <v>0.61799999999999999</v>
      </c>
      <c r="F119" s="34">
        <v>2127833</v>
      </c>
      <c r="G119" s="34">
        <v>1284886</v>
      </c>
      <c r="H119" s="37">
        <v>0.6038</v>
      </c>
      <c r="I119" s="34">
        <v>2514650</v>
      </c>
      <c r="J119" s="34">
        <v>1581184</v>
      </c>
      <c r="K119" s="37">
        <v>0.62880000000000003</v>
      </c>
      <c r="L119" s="34">
        <v>2015266</v>
      </c>
      <c r="M119" s="34">
        <v>1030234</v>
      </c>
      <c r="N119" s="43">
        <v>0.51119999999999999</v>
      </c>
      <c r="O119" s="34">
        <v>1939082</v>
      </c>
      <c r="P119" s="34">
        <v>966265</v>
      </c>
      <c r="Q119" s="43">
        <v>0.49830000000000002</v>
      </c>
      <c r="R119" s="34">
        <v>1530108</v>
      </c>
      <c r="S119" s="34">
        <v>854241</v>
      </c>
      <c r="T119" s="43">
        <v>0.55830000000000002</v>
      </c>
      <c r="U119" s="24">
        <v>511</v>
      </c>
      <c r="V119" s="21">
        <v>134333.00093099999</v>
      </c>
      <c r="W119" s="20">
        <f t="shared" si="6"/>
        <v>55239.000301</v>
      </c>
      <c r="X119" s="40">
        <f t="shared" si="7"/>
        <v>0.41120945648622453</v>
      </c>
      <c r="Y119" s="12">
        <v>183</v>
      </c>
      <c r="Z119" s="12">
        <v>48311.000275999999</v>
      </c>
      <c r="AA119" s="13">
        <f>Z119/V119</f>
        <v>0.35963612769147396</v>
      </c>
      <c r="AB119" s="4">
        <v>18</v>
      </c>
      <c r="AC119" s="4">
        <v>4945.0000389999996</v>
      </c>
      <c r="AD119" s="17">
        <f>AC119/V119</f>
        <v>3.6811505770945996E-2</v>
      </c>
      <c r="AE119" s="9">
        <v>10</v>
      </c>
      <c r="AF119" s="9">
        <v>1982.999986</v>
      </c>
      <c r="AG119" s="18">
        <f>AF119/V119</f>
        <v>1.4761823023804597E-2</v>
      </c>
    </row>
    <row r="120" spans="1:33" ht="14" x14ac:dyDescent="0.2">
      <c r="A120" s="1" t="s">
        <v>268</v>
      </c>
      <c r="B120" s="1" t="s">
        <v>269</v>
      </c>
      <c r="C120" s="34">
        <v>3223394</v>
      </c>
      <c r="D120" s="34">
        <v>1802454</v>
      </c>
      <c r="E120" s="37">
        <v>0.55920000000000003</v>
      </c>
      <c r="F120" s="34">
        <v>2842762</v>
      </c>
      <c r="G120" s="34">
        <v>1535991</v>
      </c>
      <c r="H120" s="37">
        <v>0.5403</v>
      </c>
      <c r="I120" s="34">
        <v>2048673</v>
      </c>
      <c r="J120" s="34">
        <v>1177716</v>
      </c>
      <c r="K120" s="37">
        <v>0.57489999999999997</v>
      </c>
      <c r="L120" s="34">
        <v>2359765</v>
      </c>
      <c r="M120" s="34">
        <v>1266191</v>
      </c>
      <c r="N120" s="43">
        <v>0.53659999999999997</v>
      </c>
      <c r="O120" s="34">
        <v>2197226</v>
      </c>
      <c r="P120" s="34">
        <v>1214655</v>
      </c>
      <c r="Q120" s="43">
        <v>0.55279999999999996</v>
      </c>
      <c r="R120" s="34">
        <v>1486801</v>
      </c>
      <c r="S120" s="34">
        <v>876175</v>
      </c>
      <c r="T120" s="43">
        <v>0.58930000000000005</v>
      </c>
      <c r="U120" s="24">
        <v>771</v>
      </c>
      <c r="V120" s="21">
        <v>169008.00031</v>
      </c>
      <c r="W120" s="20">
        <f t="shared" si="6"/>
        <v>86032.000510999991</v>
      </c>
      <c r="X120" s="40">
        <f t="shared" si="7"/>
        <v>0.50904099423220961</v>
      </c>
      <c r="Y120" s="12">
        <v>338</v>
      </c>
      <c r="Z120" s="12">
        <v>70972.000396999996</v>
      </c>
      <c r="AA120" s="13">
        <f>Z120/V120</f>
        <v>0.4199327858256463</v>
      </c>
      <c r="AB120" s="4">
        <v>55</v>
      </c>
      <c r="AC120" s="4">
        <v>12835.000040999999</v>
      </c>
      <c r="AD120" s="17">
        <f>AC120/V120</f>
        <v>7.5943150723383646E-2</v>
      </c>
      <c r="AE120" s="9">
        <v>16</v>
      </c>
      <c r="AF120" s="9">
        <v>2225.0000730000002</v>
      </c>
      <c r="AG120" s="18">
        <f>AF120/V120</f>
        <v>1.3165057683179686E-2</v>
      </c>
    </row>
    <row r="121" spans="1:33" ht="14" x14ac:dyDescent="0.2">
      <c r="A121" s="1" t="s">
        <v>270</v>
      </c>
      <c r="B121" s="1" t="s">
        <v>271</v>
      </c>
      <c r="C121" s="34">
        <v>4063842</v>
      </c>
      <c r="D121" s="34">
        <v>2975887</v>
      </c>
      <c r="E121" s="37">
        <v>0.73229999999999995</v>
      </c>
      <c r="F121" s="34">
        <v>3800158</v>
      </c>
      <c r="G121" s="34">
        <v>2647596</v>
      </c>
      <c r="H121" s="37">
        <v>0.69669999999999999</v>
      </c>
      <c r="I121" s="34">
        <v>3607694</v>
      </c>
      <c r="J121" s="34">
        <v>2568984</v>
      </c>
      <c r="K121" s="37">
        <v>0.71209999999999996</v>
      </c>
      <c r="L121" s="34">
        <v>3660573</v>
      </c>
      <c r="M121" s="34">
        <v>2338644</v>
      </c>
      <c r="N121" s="43">
        <v>0.63890000000000002</v>
      </c>
      <c r="O121" s="34">
        <v>3229043</v>
      </c>
      <c r="P121" s="34">
        <v>2261885</v>
      </c>
      <c r="Q121" s="43">
        <v>0.70050000000000001</v>
      </c>
      <c r="R121" s="34">
        <v>2317510</v>
      </c>
      <c r="S121" s="34">
        <v>1745707</v>
      </c>
      <c r="T121" s="43">
        <v>0.75329999999999997</v>
      </c>
      <c r="U121" s="24">
        <v>1043</v>
      </c>
      <c r="V121" s="21">
        <v>250867.000955</v>
      </c>
      <c r="W121" s="20">
        <f t="shared" si="6"/>
        <v>233704.00074699998</v>
      </c>
      <c r="X121" s="40">
        <f t="shared" si="7"/>
        <v>0.93158526174162426</v>
      </c>
      <c r="Y121" s="12">
        <v>886</v>
      </c>
      <c r="Z121" s="12">
        <v>208892.00073599999</v>
      </c>
      <c r="AA121" s="13">
        <f>Z121/V121</f>
        <v>0.83268026460550948</v>
      </c>
      <c r="AB121" s="4">
        <v>79</v>
      </c>
      <c r="AC121" s="4">
        <v>19833.999975999999</v>
      </c>
      <c r="AD121" s="17">
        <f>AC121/V121</f>
        <v>7.9061813233689437E-2</v>
      </c>
      <c r="AE121" s="9">
        <v>20</v>
      </c>
      <c r="AF121" s="9">
        <v>4978.000035</v>
      </c>
      <c r="AG121" s="18">
        <f>AF121/V121</f>
        <v>1.9843183902425426E-2</v>
      </c>
    </row>
    <row r="122" spans="1:33" ht="14" x14ac:dyDescent="0.2">
      <c r="A122" s="1" t="s">
        <v>272</v>
      </c>
      <c r="B122" s="1" t="s">
        <v>273</v>
      </c>
      <c r="C122" s="34">
        <v>3615394</v>
      </c>
      <c r="D122" s="34">
        <v>2123785</v>
      </c>
      <c r="E122" s="37">
        <v>0.58740000000000003</v>
      </c>
      <c r="F122" s="34">
        <v>3749327</v>
      </c>
      <c r="G122" s="34">
        <v>2150787</v>
      </c>
      <c r="H122" s="37">
        <v>0.5736</v>
      </c>
      <c r="I122" s="34">
        <v>3663760</v>
      </c>
      <c r="J122" s="34">
        <v>2256653</v>
      </c>
      <c r="K122" s="37">
        <v>0.6159</v>
      </c>
      <c r="L122" s="34">
        <v>2973769</v>
      </c>
      <c r="M122" s="34">
        <v>1492073</v>
      </c>
      <c r="N122" s="43">
        <v>0.50170000000000003</v>
      </c>
      <c r="O122" s="34">
        <v>2768199</v>
      </c>
      <c r="P122" s="34">
        <v>1425958</v>
      </c>
      <c r="Q122" s="43">
        <v>0.5151</v>
      </c>
      <c r="R122" s="34">
        <v>1997305</v>
      </c>
      <c r="S122" s="34">
        <v>1129544</v>
      </c>
      <c r="T122" s="43">
        <v>0.5655</v>
      </c>
      <c r="U122" s="24">
        <v>1096</v>
      </c>
      <c r="V122" s="21">
        <v>258121.00107599999</v>
      </c>
      <c r="W122" s="20">
        <f t="shared" si="6"/>
        <v>140984.00068900001</v>
      </c>
      <c r="X122" s="40">
        <f t="shared" si="7"/>
        <v>0.5461934523006492</v>
      </c>
      <c r="Y122" s="12">
        <v>499</v>
      </c>
      <c r="Z122" s="12">
        <v>122976.000633</v>
      </c>
      <c r="AA122" s="13">
        <f>Z122/V122</f>
        <v>0.47642772234868058</v>
      </c>
      <c r="AB122" s="4">
        <v>66</v>
      </c>
      <c r="AC122" s="4">
        <v>15016.000007000001</v>
      </c>
      <c r="AD122" s="17">
        <f>AC122/V122</f>
        <v>5.8174266891901437E-2</v>
      </c>
      <c r="AE122" s="9">
        <v>15</v>
      </c>
      <c r="AF122" s="9">
        <v>2992.0000490000002</v>
      </c>
      <c r="AG122" s="18">
        <f>AF122/V122</f>
        <v>1.1591463060067125E-2</v>
      </c>
    </row>
    <row r="123" spans="1:33" ht="14" x14ac:dyDescent="0.2">
      <c r="A123" s="1" t="s">
        <v>274</v>
      </c>
      <c r="B123" s="1" t="s">
        <v>275</v>
      </c>
      <c r="C123" s="34">
        <v>4463496</v>
      </c>
      <c r="D123" s="34">
        <v>2658184</v>
      </c>
      <c r="E123" s="37">
        <v>0.59550000000000003</v>
      </c>
      <c r="F123" s="34">
        <v>4308733</v>
      </c>
      <c r="G123" s="34">
        <v>2479827</v>
      </c>
      <c r="H123" s="37">
        <v>0.57550000000000001</v>
      </c>
      <c r="I123" s="34">
        <v>4633643</v>
      </c>
      <c r="J123" s="34">
        <v>2746311</v>
      </c>
      <c r="K123" s="37">
        <v>0.5927</v>
      </c>
      <c r="L123" s="34">
        <v>3785292</v>
      </c>
      <c r="M123" s="34">
        <v>1942360</v>
      </c>
      <c r="N123" s="43">
        <v>0.5131</v>
      </c>
      <c r="O123" s="34">
        <v>3931373</v>
      </c>
      <c r="P123" s="34">
        <v>1961572</v>
      </c>
      <c r="Q123" s="43">
        <v>0.499</v>
      </c>
      <c r="R123" s="34">
        <v>2764297</v>
      </c>
      <c r="S123" s="34">
        <v>1484189</v>
      </c>
      <c r="T123" s="43">
        <v>0.53690000000000004</v>
      </c>
      <c r="U123" s="24">
        <v>771</v>
      </c>
      <c r="V123" s="21">
        <v>228949.00069700001</v>
      </c>
      <c r="W123" s="20">
        <f t="shared" si="6"/>
        <v>134928.00048700001</v>
      </c>
      <c r="X123" s="40">
        <f t="shared" si="7"/>
        <v>0.58933649011890188</v>
      </c>
      <c r="Y123" s="12">
        <v>353</v>
      </c>
      <c r="Z123" s="12">
        <v>109025.00046900001</v>
      </c>
      <c r="AA123" s="13">
        <f>Z123/V123</f>
        <v>0.47619775643086526</v>
      </c>
      <c r="AB123" s="4">
        <v>66</v>
      </c>
      <c r="AC123" s="4">
        <v>21637.000045000001</v>
      </c>
      <c r="AD123" s="17">
        <f>AC123/V123</f>
        <v>9.4505763201103668E-2</v>
      </c>
      <c r="AE123" s="9">
        <v>13</v>
      </c>
      <c r="AF123" s="9">
        <v>4265.999973</v>
      </c>
      <c r="AG123" s="18">
        <f>AF123/V123</f>
        <v>1.8632970486932982E-2</v>
      </c>
    </row>
    <row r="124" spans="1:33" ht="14" x14ac:dyDescent="0.2">
      <c r="A124" s="1" t="s">
        <v>276</v>
      </c>
      <c r="B124" s="1" t="s">
        <v>277</v>
      </c>
      <c r="C124" s="34">
        <v>2284343</v>
      </c>
      <c r="D124" s="34">
        <v>1643051</v>
      </c>
      <c r="E124" s="37">
        <v>0.71930000000000005</v>
      </c>
      <c r="F124" s="34">
        <v>2747701</v>
      </c>
      <c r="G124" s="34">
        <v>1734534</v>
      </c>
      <c r="H124" s="37">
        <v>0.63129999999999997</v>
      </c>
      <c r="I124" s="34">
        <v>3314464</v>
      </c>
      <c r="J124" s="34">
        <v>2084036</v>
      </c>
      <c r="K124" s="37">
        <v>0.62880000000000003</v>
      </c>
      <c r="L124" s="34">
        <v>2488308</v>
      </c>
      <c r="M124" s="34">
        <v>1386833</v>
      </c>
      <c r="N124" s="43">
        <v>0.55730000000000002</v>
      </c>
      <c r="O124" s="34">
        <v>2362366</v>
      </c>
      <c r="P124" s="34">
        <v>1241387</v>
      </c>
      <c r="Q124" s="43">
        <v>0.52549999999999997</v>
      </c>
      <c r="R124" s="34">
        <v>1789752</v>
      </c>
      <c r="S124" s="34">
        <v>1027379</v>
      </c>
      <c r="T124" s="43">
        <v>0.57399999999999995</v>
      </c>
      <c r="U124" s="24">
        <v>809</v>
      </c>
      <c r="V124" s="21">
        <v>220517.00076</v>
      </c>
      <c r="W124" s="20">
        <f t="shared" si="6"/>
        <v>115534.000392</v>
      </c>
      <c r="X124" s="40">
        <f t="shared" si="7"/>
        <v>0.5239233256112602</v>
      </c>
      <c r="Y124" s="12">
        <v>355</v>
      </c>
      <c r="Z124" s="12">
        <v>102892.000392</v>
      </c>
      <c r="AA124" s="13">
        <f>Z124/V124</f>
        <v>0.4665944123917351</v>
      </c>
      <c r="AB124" s="4">
        <v>39</v>
      </c>
      <c r="AC124" s="4">
        <v>10902.999997000001</v>
      </c>
      <c r="AD124" s="17">
        <f>AC124/V124</f>
        <v>4.9442899909863627E-2</v>
      </c>
      <c r="AE124" s="9">
        <v>12</v>
      </c>
      <c r="AF124" s="9">
        <v>1739.0000030000001</v>
      </c>
      <c r="AG124" s="18">
        <f>AF124/V124</f>
        <v>7.8860133096615229E-3</v>
      </c>
    </row>
    <row r="125" spans="1:33" ht="14" x14ac:dyDescent="0.2">
      <c r="A125" s="1" t="s">
        <v>278</v>
      </c>
      <c r="B125" s="1" t="s">
        <v>279</v>
      </c>
      <c r="C125" s="34">
        <v>4138746</v>
      </c>
      <c r="D125" s="34">
        <v>3268186</v>
      </c>
      <c r="E125" s="37">
        <v>0.78969999999999996</v>
      </c>
      <c r="F125" s="34">
        <v>3970495</v>
      </c>
      <c r="G125" s="34">
        <v>2990838</v>
      </c>
      <c r="H125" s="37">
        <v>0.75329999999999997</v>
      </c>
      <c r="I125" s="34">
        <v>3638567</v>
      </c>
      <c r="J125" s="34">
        <v>2619570</v>
      </c>
      <c r="K125" s="37">
        <v>0.71989999999999998</v>
      </c>
      <c r="L125" s="34">
        <v>2485419</v>
      </c>
      <c r="M125" s="34">
        <v>1673092</v>
      </c>
      <c r="N125" s="43">
        <v>0.67320000000000002</v>
      </c>
      <c r="O125" s="34">
        <v>3245239</v>
      </c>
      <c r="P125" s="34">
        <v>2417801</v>
      </c>
      <c r="Q125" s="43">
        <v>0.745</v>
      </c>
      <c r="R125" s="34">
        <v>2348644</v>
      </c>
      <c r="S125" s="34">
        <v>1783985</v>
      </c>
      <c r="T125" s="43">
        <v>0.75960000000000005</v>
      </c>
      <c r="U125" s="24">
        <v>1407</v>
      </c>
      <c r="V125" s="21">
        <v>290207.00070899999</v>
      </c>
      <c r="W125" s="20">
        <f t="shared" si="6"/>
        <v>268796.00064700004</v>
      </c>
      <c r="X125" s="40">
        <f t="shared" si="7"/>
        <v>0.92622162797695751</v>
      </c>
      <c r="Y125" s="12">
        <v>1189</v>
      </c>
      <c r="Z125" s="12">
        <v>242769.00049100001</v>
      </c>
      <c r="AA125" s="13">
        <f>Z125/V125</f>
        <v>0.83653736780262034</v>
      </c>
      <c r="AB125" s="4">
        <v>93</v>
      </c>
      <c r="AC125" s="4">
        <v>20777.000109000001</v>
      </c>
      <c r="AD125" s="17">
        <f>AC125/V125</f>
        <v>7.1593724680107829E-2</v>
      </c>
      <c r="AE125" s="9">
        <v>24</v>
      </c>
      <c r="AF125" s="9">
        <v>5250.0000470000004</v>
      </c>
      <c r="AG125" s="18">
        <f>AF125/V125</f>
        <v>1.8090535494229329E-2</v>
      </c>
    </row>
    <row r="126" spans="1:33" ht="14" x14ac:dyDescent="0.2">
      <c r="A126" s="1" t="s">
        <v>280</v>
      </c>
      <c r="B126" s="1" t="s">
        <v>281</v>
      </c>
      <c r="C126" s="34">
        <v>3692143</v>
      </c>
      <c r="D126" s="34">
        <v>1834600</v>
      </c>
      <c r="E126" s="37">
        <v>0.49690000000000001</v>
      </c>
      <c r="F126" s="34">
        <v>3353710</v>
      </c>
      <c r="G126" s="34">
        <v>1683534</v>
      </c>
      <c r="H126" s="37">
        <v>0.502</v>
      </c>
      <c r="I126" s="34">
        <v>2882993</v>
      </c>
      <c r="J126" s="34">
        <v>1416086</v>
      </c>
      <c r="K126" s="37">
        <v>0.49120000000000003</v>
      </c>
      <c r="L126" s="34">
        <v>3132261</v>
      </c>
      <c r="M126" s="34">
        <v>1346234</v>
      </c>
      <c r="N126" s="43">
        <v>0.42980000000000002</v>
      </c>
      <c r="O126" s="34">
        <v>2135259</v>
      </c>
      <c r="P126" s="34">
        <v>1046590</v>
      </c>
      <c r="Q126" s="43">
        <v>0.49009999999999998</v>
      </c>
      <c r="R126" s="34">
        <v>1870127</v>
      </c>
      <c r="S126" s="34">
        <v>978538</v>
      </c>
      <c r="T126" s="43">
        <v>0.5232</v>
      </c>
      <c r="U126" s="24">
        <v>1573</v>
      </c>
      <c r="V126" s="21">
        <v>314354.00102800003</v>
      </c>
      <c r="W126" s="20">
        <f t="shared" si="6"/>
        <v>160791.00061700001</v>
      </c>
      <c r="X126" s="40">
        <f t="shared" si="7"/>
        <v>0.51149659330303254</v>
      </c>
      <c r="Y126" s="12">
        <v>649</v>
      </c>
      <c r="Z126" s="12">
        <v>132932.000505</v>
      </c>
      <c r="AA126" s="13">
        <f>Z126/V126</f>
        <v>0.42287357587396995</v>
      </c>
      <c r="AB126" s="4">
        <v>102</v>
      </c>
      <c r="AC126" s="4">
        <v>24917.000119</v>
      </c>
      <c r="AD126" s="17">
        <f>AC126/V126</f>
        <v>7.9264141819466144E-2</v>
      </c>
      <c r="AE126" s="9">
        <v>13</v>
      </c>
      <c r="AF126" s="9">
        <v>2941.9999929999999</v>
      </c>
      <c r="AG126" s="18">
        <f>AF126/V126</f>
        <v>9.358875609596428E-3</v>
      </c>
    </row>
    <row r="127" spans="1:33" ht="14" x14ac:dyDescent="0.2">
      <c r="A127" s="1" t="s">
        <v>282</v>
      </c>
      <c r="B127" s="1" t="s">
        <v>283</v>
      </c>
      <c r="C127" s="34">
        <v>5369125</v>
      </c>
      <c r="D127" s="34">
        <v>3630939</v>
      </c>
      <c r="E127" s="37">
        <v>0.67630000000000001</v>
      </c>
      <c r="F127" s="34">
        <v>4933314</v>
      </c>
      <c r="G127" s="34">
        <v>3346440</v>
      </c>
      <c r="H127" s="37">
        <v>0.67830000000000001</v>
      </c>
      <c r="I127" s="34">
        <v>4204999</v>
      </c>
      <c r="J127" s="34">
        <v>2778487</v>
      </c>
      <c r="K127" s="37">
        <v>0.66080000000000005</v>
      </c>
      <c r="L127" s="34">
        <v>4517654</v>
      </c>
      <c r="M127" s="34">
        <v>2893586</v>
      </c>
      <c r="N127" s="43">
        <v>0.64049999999999996</v>
      </c>
      <c r="O127" s="34">
        <v>3743941</v>
      </c>
      <c r="P127" s="34">
        <v>2590360</v>
      </c>
      <c r="Q127" s="43">
        <v>0.69189999999999996</v>
      </c>
      <c r="R127" s="34">
        <v>2564969</v>
      </c>
      <c r="S127" s="34">
        <v>1865904</v>
      </c>
      <c r="T127" s="43">
        <v>0.72750000000000004</v>
      </c>
      <c r="U127" s="24">
        <v>1827</v>
      </c>
      <c r="V127" s="21">
        <v>362285.00098200003</v>
      </c>
      <c r="W127" s="20">
        <f t="shared" si="6"/>
        <v>321922.00099900004</v>
      </c>
      <c r="X127" s="40">
        <f t="shared" si="7"/>
        <v>0.88858771444141182</v>
      </c>
      <c r="Y127" s="12">
        <v>1468</v>
      </c>
      <c r="Z127" s="12">
        <v>282204.00098800001</v>
      </c>
      <c r="AA127" s="13">
        <f>Z127/V127</f>
        <v>0.77895579508692159</v>
      </c>
      <c r="AB127" s="4">
        <v>176</v>
      </c>
      <c r="AC127" s="4">
        <v>33734.999988000003</v>
      </c>
      <c r="AD127" s="17">
        <f>AC127/V127</f>
        <v>9.3117296870029995E-2</v>
      </c>
      <c r="AE127" s="9">
        <v>22</v>
      </c>
      <c r="AF127" s="9">
        <v>5983.0000229999996</v>
      </c>
      <c r="AG127" s="18">
        <f>AF127/V127</f>
        <v>1.6514622484460135E-2</v>
      </c>
    </row>
    <row r="128" spans="1:33" ht="14" x14ac:dyDescent="0.2">
      <c r="A128" s="1" t="s">
        <v>284</v>
      </c>
      <c r="B128" s="1" t="s">
        <v>285</v>
      </c>
      <c r="C128" s="34">
        <v>3598725</v>
      </c>
      <c r="D128" s="34">
        <v>2009086</v>
      </c>
      <c r="E128" s="37">
        <v>0.55830000000000002</v>
      </c>
      <c r="F128" s="34">
        <v>3569668</v>
      </c>
      <c r="G128" s="34">
        <v>1955179</v>
      </c>
      <c r="H128" s="37">
        <v>0.54769999999999996</v>
      </c>
      <c r="I128" s="34">
        <v>3647042</v>
      </c>
      <c r="J128" s="34">
        <v>2086605</v>
      </c>
      <c r="K128" s="37">
        <v>0.57210000000000005</v>
      </c>
      <c r="L128" s="34">
        <v>3030341</v>
      </c>
      <c r="M128" s="34">
        <v>1583171</v>
      </c>
      <c r="N128" s="43">
        <v>0.52239999999999998</v>
      </c>
      <c r="O128" s="34">
        <v>2854215</v>
      </c>
      <c r="P128" s="34">
        <v>1483363</v>
      </c>
      <c r="Q128" s="43">
        <v>0.51970000000000005</v>
      </c>
      <c r="R128" s="34">
        <v>1924389</v>
      </c>
      <c r="S128" s="34">
        <v>1092419</v>
      </c>
      <c r="T128" s="43">
        <v>0.56769999999999998</v>
      </c>
      <c r="U128" s="24">
        <v>835</v>
      </c>
      <c r="V128" s="21">
        <v>194806.00094999999</v>
      </c>
      <c r="W128" s="20">
        <f t="shared" si="6"/>
        <v>109237.000421</v>
      </c>
      <c r="X128" s="40">
        <f t="shared" si="7"/>
        <v>0.56074761500307879</v>
      </c>
      <c r="Y128" s="12">
        <v>380</v>
      </c>
      <c r="Z128" s="12">
        <v>90472.000507999997</v>
      </c>
      <c r="AA128" s="13">
        <f>Z128/V128</f>
        <v>0.46442101406938208</v>
      </c>
      <c r="AB128" s="4">
        <v>65</v>
      </c>
      <c r="AC128" s="4">
        <v>17311.999918000001</v>
      </c>
      <c r="AD128" s="17">
        <f>AC128/V128</f>
        <v>8.8867898491707134E-2</v>
      </c>
      <c r="AE128" s="9">
        <v>8</v>
      </c>
      <c r="AF128" s="9">
        <v>1452.9999949999999</v>
      </c>
      <c r="AG128" s="18">
        <f>AF128/V128</f>
        <v>7.4587024419896343E-3</v>
      </c>
    </row>
    <row r="129" spans="1:33" ht="14" x14ac:dyDescent="0.2">
      <c r="A129" s="1" t="s">
        <v>286</v>
      </c>
      <c r="B129" s="1" t="s">
        <v>287</v>
      </c>
      <c r="C129" s="34">
        <v>4618307</v>
      </c>
      <c r="D129" s="34">
        <v>2619874</v>
      </c>
      <c r="E129" s="37">
        <v>0.56730000000000003</v>
      </c>
      <c r="F129" s="34">
        <v>4098916</v>
      </c>
      <c r="G129" s="34">
        <v>2110356</v>
      </c>
      <c r="H129" s="37">
        <v>0.51490000000000002</v>
      </c>
      <c r="I129" s="34">
        <v>4659667</v>
      </c>
      <c r="J129" s="34">
        <v>2640232</v>
      </c>
      <c r="K129" s="37">
        <v>0.56659999999999999</v>
      </c>
      <c r="L129" s="34">
        <v>3938978</v>
      </c>
      <c r="M129" s="34">
        <v>1911834</v>
      </c>
      <c r="N129" s="43">
        <v>0.4854</v>
      </c>
      <c r="O129" s="34">
        <v>3633453</v>
      </c>
      <c r="P129" s="34">
        <v>1840602</v>
      </c>
      <c r="Q129" s="43">
        <v>0.50660000000000005</v>
      </c>
      <c r="R129" s="34">
        <v>2379688</v>
      </c>
      <c r="S129" s="34">
        <v>1247651</v>
      </c>
      <c r="T129" s="43">
        <v>0.52429999999999999</v>
      </c>
      <c r="U129" s="24">
        <v>587</v>
      </c>
      <c r="V129" s="21">
        <v>156835.00051099999</v>
      </c>
      <c r="W129" s="20">
        <f t="shared" si="6"/>
        <v>82750.00033499999</v>
      </c>
      <c r="X129" s="40">
        <f t="shared" si="7"/>
        <v>0.52762457401335061</v>
      </c>
      <c r="Y129" s="12">
        <v>259</v>
      </c>
      <c r="Z129" s="12">
        <v>66289.000251999998</v>
      </c>
      <c r="AA129" s="13">
        <f>Z129/V129</f>
        <v>0.42266713447901999</v>
      </c>
      <c r="AB129" s="4">
        <v>53</v>
      </c>
      <c r="AC129" s="4">
        <v>14480.000106</v>
      </c>
      <c r="AD129" s="17">
        <f>AC129/V129</f>
        <v>9.2326330594709377E-2</v>
      </c>
      <c r="AE129" s="9">
        <v>9</v>
      </c>
      <c r="AF129" s="9">
        <v>1980.9999769999999</v>
      </c>
      <c r="AG129" s="18">
        <f>AF129/V129</f>
        <v>1.263110893962128E-2</v>
      </c>
    </row>
    <row r="130" spans="1:33" ht="14" x14ac:dyDescent="0.2">
      <c r="A130" s="1" t="s">
        <v>288</v>
      </c>
      <c r="B130" s="1" t="s">
        <v>289</v>
      </c>
      <c r="C130" s="34">
        <v>5039328</v>
      </c>
      <c r="D130" s="34">
        <v>2993551</v>
      </c>
      <c r="E130" s="37">
        <v>0.59399999999999997</v>
      </c>
      <c r="F130" s="34">
        <v>4896692</v>
      </c>
      <c r="G130" s="34">
        <v>2830836</v>
      </c>
      <c r="H130" s="37">
        <v>0.57809999999999995</v>
      </c>
      <c r="I130" s="34">
        <v>4656277</v>
      </c>
      <c r="J130" s="34">
        <v>2832211</v>
      </c>
      <c r="K130" s="37">
        <v>0.60829999999999995</v>
      </c>
      <c r="L130" s="34">
        <v>4143679</v>
      </c>
      <c r="M130" s="34">
        <v>2397826</v>
      </c>
      <c r="N130" s="43">
        <v>0.57869999999999999</v>
      </c>
      <c r="O130" s="34">
        <v>3918435</v>
      </c>
      <c r="P130" s="34">
        <v>2358902</v>
      </c>
      <c r="Q130" s="43">
        <v>0.60199999999999998</v>
      </c>
      <c r="R130" s="34">
        <v>2707674</v>
      </c>
      <c r="S130" s="34">
        <v>1659561</v>
      </c>
      <c r="T130" s="43">
        <v>0.6129</v>
      </c>
      <c r="U130" s="24">
        <v>818</v>
      </c>
      <c r="V130" s="21">
        <v>202102.000466</v>
      </c>
      <c r="W130" s="20">
        <f t="shared" ref="W130:W161" si="8">Z130+AC130+AF130</f>
        <v>121869.00028099999</v>
      </c>
      <c r="X130" s="40">
        <f t="shared" ref="X130:X161" si="9">W130/V130</f>
        <v>0.60300739230684774</v>
      </c>
      <c r="Y130" s="12">
        <v>378</v>
      </c>
      <c r="Z130" s="12">
        <v>91505.000113999995</v>
      </c>
      <c r="AA130" s="13">
        <f>Z130/V130</f>
        <v>0.45276642439466624</v>
      </c>
      <c r="AB130" s="4">
        <v>96</v>
      </c>
      <c r="AC130" s="4">
        <v>28805.000198000002</v>
      </c>
      <c r="AD130" s="17">
        <f>AC130/V130</f>
        <v>0.14252704145224887</v>
      </c>
      <c r="AE130" s="9">
        <v>7</v>
      </c>
      <c r="AF130" s="9">
        <v>1558.999969</v>
      </c>
      <c r="AG130" s="18">
        <f>AF130/V130</f>
        <v>7.7139264599326591E-3</v>
      </c>
    </row>
    <row r="131" spans="1:33" ht="14" x14ac:dyDescent="0.2">
      <c r="A131" s="1" t="s">
        <v>290</v>
      </c>
      <c r="B131" s="1" t="s">
        <v>291</v>
      </c>
      <c r="C131" s="34">
        <v>3586596</v>
      </c>
      <c r="D131" s="34">
        <v>2825272</v>
      </c>
      <c r="E131" s="37">
        <v>0.78769999999999996</v>
      </c>
      <c r="F131" s="34">
        <v>1624169</v>
      </c>
      <c r="G131" s="34">
        <v>1292151</v>
      </c>
      <c r="H131" s="37">
        <v>0.79559999999999997</v>
      </c>
      <c r="I131" s="34">
        <v>3382263</v>
      </c>
      <c r="J131" s="34">
        <v>2643111</v>
      </c>
      <c r="K131" s="37">
        <v>0.78149999999999997</v>
      </c>
      <c r="L131" s="34">
        <v>3199441</v>
      </c>
      <c r="M131" s="34">
        <v>2257134</v>
      </c>
      <c r="N131" s="43">
        <v>0.70550000000000002</v>
      </c>
      <c r="O131" s="34">
        <v>2913459</v>
      </c>
      <c r="P131" s="34">
        <v>2181467</v>
      </c>
      <c r="Q131" s="43">
        <v>0.74880000000000002</v>
      </c>
      <c r="R131" s="34">
        <v>2037030</v>
      </c>
      <c r="S131" s="34">
        <v>1598439</v>
      </c>
      <c r="T131" s="43">
        <v>0.78469999999999995</v>
      </c>
      <c r="U131" s="24">
        <v>1267</v>
      </c>
      <c r="V131" s="21">
        <v>286920.00120200001</v>
      </c>
      <c r="W131" s="20">
        <f t="shared" si="8"/>
        <v>246392.00087600001</v>
      </c>
      <c r="X131" s="40">
        <f t="shared" si="9"/>
        <v>0.85874808254490731</v>
      </c>
      <c r="Y131" s="12">
        <v>1024</v>
      </c>
      <c r="Z131" s="12">
        <v>220385.000856</v>
      </c>
      <c r="AA131" s="13">
        <f>Z131/V131</f>
        <v>0.76810609205610092</v>
      </c>
      <c r="AB131" s="4">
        <v>88</v>
      </c>
      <c r="AC131" s="4">
        <v>19475.999985999999</v>
      </c>
      <c r="AD131" s="17">
        <f>AC131/V131</f>
        <v>6.7879547972984733E-2</v>
      </c>
      <c r="AE131" s="9">
        <v>27</v>
      </c>
      <c r="AF131" s="9">
        <v>6531.0000339999997</v>
      </c>
      <c r="AG131" s="18">
        <f>AF131/V131</f>
        <v>2.2762442515821636E-2</v>
      </c>
    </row>
    <row r="132" spans="1:33" ht="14" x14ac:dyDescent="0.2">
      <c r="A132" s="1" t="s">
        <v>292</v>
      </c>
      <c r="B132" s="1" t="s">
        <v>293</v>
      </c>
      <c r="C132" s="34">
        <v>6049268</v>
      </c>
      <c r="D132" s="34">
        <v>3746157</v>
      </c>
      <c r="E132" s="37">
        <v>0.61929999999999996</v>
      </c>
      <c r="F132" s="34">
        <v>5437225</v>
      </c>
      <c r="G132" s="34">
        <v>3289656</v>
      </c>
      <c r="H132" s="37">
        <v>0.60499999999999998</v>
      </c>
      <c r="I132" s="34">
        <v>5560003</v>
      </c>
      <c r="J132" s="34">
        <v>3634260</v>
      </c>
      <c r="K132" s="37">
        <v>0.65359999999999996</v>
      </c>
      <c r="L132" s="34">
        <v>5019806</v>
      </c>
      <c r="M132" s="34">
        <v>2935450</v>
      </c>
      <c r="N132" s="43">
        <v>0.58479999999999999</v>
      </c>
      <c r="O132" s="34">
        <v>4636333</v>
      </c>
      <c r="P132" s="34">
        <v>2861807</v>
      </c>
      <c r="Q132" s="43">
        <v>0.61729999999999996</v>
      </c>
      <c r="R132" s="34">
        <v>3278327</v>
      </c>
      <c r="S132" s="34">
        <v>2175691</v>
      </c>
      <c r="T132" s="43">
        <v>0.66369999999999996</v>
      </c>
      <c r="U132" s="24">
        <v>1018</v>
      </c>
      <c r="V132" s="21">
        <v>285779.00069399999</v>
      </c>
      <c r="W132" s="20">
        <f t="shared" si="8"/>
        <v>261344.00047199999</v>
      </c>
      <c r="X132" s="40">
        <f t="shared" si="9"/>
        <v>0.91449686589056289</v>
      </c>
      <c r="Y132" s="12">
        <v>814</v>
      </c>
      <c r="Z132" s="12">
        <v>227782.000374</v>
      </c>
      <c r="AA132" s="13">
        <f>Z132/V132</f>
        <v>0.79705646608338199</v>
      </c>
      <c r="AB132" s="4">
        <v>119</v>
      </c>
      <c r="AC132" s="4">
        <v>31390.000145000002</v>
      </c>
      <c r="AD132" s="17">
        <f>AC132/V132</f>
        <v>0.10984012145318921</v>
      </c>
      <c r="AE132" s="9">
        <v>10</v>
      </c>
      <c r="AF132" s="9">
        <v>2171.999953</v>
      </c>
      <c r="AG132" s="18">
        <f>AF132/V132</f>
        <v>7.600278353991745E-3</v>
      </c>
    </row>
    <row r="133" spans="1:33" ht="14" x14ac:dyDescent="0.2">
      <c r="A133" s="1" t="s">
        <v>294</v>
      </c>
      <c r="B133" s="1" t="s">
        <v>295</v>
      </c>
      <c r="C133" s="34">
        <v>5331774</v>
      </c>
      <c r="D133" s="34">
        <v>2996918</v>
      </c>
      <c r="E133" s="37">
        <v>0.56210000000000004</v>
      </c>
      <c r="F133" s="34">
        <v>5092147</v>
      </c>
      <c r="G133" s="34">
        <v>2751853</v>
      </c>
      <c r="H133" s="37">
        <v>0.54039999999999999</v>
      </c>
      <c r="I133" s="34">
        <v>4782945</v>
      </c>
      <c r="J133" s="34">
        <v>2718220</v>
      </c>
      <c r="K133" s="37">
        <v>0.56830000000000003</v>
      </c>
      <c r="L133" s="34">
        <v>4546973</v>
      </c>
      <c r="M133" s="34">
        <v>2233112</v>
      </c>
      <c r="N133" s="43">
        <v>0.49109999999999998</v>
      </c>
      <c r="O133" s="34">
        <v>4424094</v>
      </c>
      <c r="P133" s="34">
        <v>2170167</v>
      </c>
      <c r="Q133" s="43">
        <v>0.49049999999999999</v>
      </c>
      <c r="R133" s="34">
        <v>3035068</v>
      </c>
      <c r="S133" s="34">
        <v>1520611</v>
      </c>
      <c r="T133" s="43">
        <v>0.501</v>
      </c>
      <c r="U133" s="24">
        <v>896</v>
      </c>
      <c r="V133" s="21">
        <v>218542.00068900001</v>
      </c>
      <c r="W133" s="20">
        <f t="shared" si="8"/>
        <v>125433.00018</v>
      </c>
      <c r="X133" s="40">
        <f t="shared" si="9"/>
        <v>0.57395374703510482</v>
      </c>
      <c r="Y133" s="12">
        <v>431</v>
      </c>
      <c r="Z133" s="12">
        <v>107958.00017</v>
      </c>
      <c r="AA133" s="13">
        <f>Z133/V133</f>
        <v>0.49399200075792987</v>
      </c>
      <c r="AB133" s="4">
        <v>60</v>
      </c>
      <c r="AC133" s="4">
        <v>16305.999996</v>
      </c>
      <c r="AD133" s="17">
        <f>AC133/V133</f>
        <v>7.4612660013141083E-2</v>
      </c>
      <c r="AE133" s="9">
        <v>10</v>
      </c>
      <c r="AF133" s="9">
        <v>1169.000014</v>
      </c>
      <c r="AG133" s="18">
        <f>AF133/V133</f>
        <v>5.349086264033822E-3</v>
      </c>
    </row>
    <row r="134" spans="1:33" ht="14" x14ac:dyDescent="0.2">
      <c r="A134" s="1" t="s">
        <v>296</v>
      </c>
      <c r="B134" s="1" t="s">
        <v>297</v>
      </c>
      <c r="C134" s="34">
        <v>2596859</v>
      </c>
      <c r="D134" s="34">
        <v>1862280</v>
      </c>
      <c r="E134" s="37">
        <v>0.71709999999999996</v>
      </c>
      <c r="F134" s="34">
        <v>2440407</v>
      </c>
      <c r="G134" s="34">
        <v>1741380</v>
      </c>
      <c r="H134" s="37">
        <v>0.71360000000000001</v>
      </c>
      <c r="I134" s="34">
        <v>2483269</v>
      </c>
      <c r="J134" s="34">
        <v>1783213</v>
      </c>
      <c r="K134" s="37">
        <v>0.71809999999999996</v>
      </c>
      <c r="L134" s="34">
        <v>2311416</v>
      </c>
      <c r="M134" s="34">
        <v>1453544</v>
      </c>
      <c r="N134" s="43">
        <v>0.62890000000000001</v>
      </c>
      <c r="O134" s="34">
        <v>2169924</v>
      </c>
      <c r="P134" s="34">
        <v>1287050</v>
      </c>
      <c r="Q134" s="43">
        <v>0.59309999999999996</v>
      </c>
      <c r="R134" s="34">
        <v>1516030</v>
      </c>
      <c r="S134" s="34">
        <v>938131</v>
      </c>
      <c r="T134" s="43">
        <v>0.61880000000000002</v>
      </c>
      <c r="U134" s="24">
        <v>1106</v>
      </c>
      <c r="V134" s="21">
        <v>256625.00079600001</v>
      </c>
      <c r="W134" s="20">
        <f t="shared" si="8"/>
        <v>124084.000529</v>
      </c>
      <c r="X134" s="40">
        <f t="shared" si="9"/>
        <v>0.4835226503423905</v>
      </c>
      <c r="Y134" s="12">
        <v>473</v>
      </c>
      <c r="Z134" s="12">
        <v>107383.000363</v>
      </c>
      <c r="AA134" s="13">
        <f>Z134/V134</f>
        <v>0.41844325389155057</v>
      </c>
      <c r="AB134" s="4">
        <v>69</v>
      </c>
      <c r="AC134" s="4">
        <v>14891.00013</v>
      </c>
      <c r="AD134" s="17">
        <f>AC134/V134</f>
        <v>5.8026303297851196E-2</v>
      </c>
      <c r="AE134" s="9">
        <v>9</v>
      </c>
      <c r="AF134" s="9">
        <v>1810.0000359999999</v>
      </c>
      <c r="AG134" s="18">
        <f>AF134/V134</f>
        <v>7.0530931529887491E-3</v>
      </c>
    </row>
    <row r="135" spans="1:33" ht="14" x14ac:dyDescent="0.2">
      <c r="A135" s="1" t="s">
        <v>298</v>
      </c>
      <c r="B135" s="1" t="s">
        <v>299</v>
      </c>
      <c r="C135" s="34">
        <v>3832256</v>
      </c>
      <c r="D135" s="34">
        <v>1879454</v>
      </c>
      <c r="E135" s="37">
        <v>0.4904</v>
      </c>
      <c r="F135" s="34">
        <v>3358699</v>
      </c>
      <c r="G135" s="34">
        <v>1580478</v>
      </c>
      <c r="H135" s="37">
        <v>0.47060000000000002</v>
      </c>
      <c r="I135" s="34">
        <v>3449585</v>
      </c>
      <c r="J135" s="34">
        <v>1677633</v>
      </c>
      <c r="K135" s="37">
        <v>0.48630000000000001</v>
      </c>
      <c r="L135" s="34">
        <v>3389066</v>
      </c>
      <c r="M135" s="34">
        <v>1290442</v>
      </c>
      <c r="N135" s="43">
        <v>0.38080000000000003</v>
      </c>
      <c r="O135" s="34">
        <v>3457018</v>
      </c>
      <c r="P135" s="34">
        <v>1328483</v>
      </c>
      <c r="Q135" s="43">
        <v>0.38429999999999997</v>
      </c>
      <c r="R135" s="34">
        <v>2213328</v>
      </c>
      <c r="S135" s="34">
        <v>993746</v>
      </c>
      <c r="T135" s="43">
        <v>0.44900000000000001</v>
      </c>
      <c r="U135" s="24">
        <v>1233</v>
      </c>
      <c r="V135" s="21">
        <v>311830.00128700002</v>
      </c>
      <c r="W135" s="20">
        <f t="shared" si="8"/>
        <v>101961.00015200001</v>
      </c>
      <c r="X135" s="40">
        <f t="shared" si="9"/>
        <v>0.3269762361901728</v>
      </c>
      <c r="Y135" s="12">
        <v>358</v>
      </c>
      <c r="Z135" s="12">
        <v>86461.000039000006</v>
      </c>
      <c r="AA135" s="13">
        <f>Z135/V135</f>
        <v>0.27726966514496343</v>
      </c>
      <c r="AB135" s="4">
        <v>52</v>
      </c>
      <c r="AC135" s="4">
        <v>12992.00008</v>
      </c>
      <c r="AD135" s="17">
        <f>AC135/V135</f>
        <v>4.166372711534741E-2</v>
      </c>
      <c r="AE135" s="9">
        <v>14</v>
      </c>
      <c r="AF135" s="9">
        <v>2508.0000329999998</v>
      </c>
      <c r="AG135" s="18">
        <f>AF135/V135</f>
        <v>8.0428439298619748E-3</v>
      </c>
    </row>
    <row r="136" spans="1:33" ht="14" x14ac:dyDescent="0.2">
      <c r="A136" s="1" t="s">
        <v>300</v>
      </c>
      <c r="B136" s="1" t="s">
        <v>301</v>
      </c>
      <c r="C136" s="34">
        <v>3246868</v>
      </c>
      <c r="D136" s="34">
        <v>1956474</v>
      </c>
      <c r="E136" s="37">
        <v>0.60260000000000002</v>
      </c>
      <c r="F136" s="34">
        <v>3145562</v>
      </c>
      <c r="G136" s="34">
        <v>1825648</v>
      </c>
      <c r="H136" s="37">
        <v>0.58040000000000003</v>
      </c>
      <c r="I136" s="34">
        <v>3162670</v>
      </c>
      <c r="J136" s="34">
        <v>1903907</v>
      </c>
      <c r="K136" s="37">
        <v>0.60199999999999998</v>
      </c>
      <c r="L136" s="34">
        <v>2924926</v>
      </c>
      <c r="M136" s="34">
        <v>1514870</v>
      </c>
      <c r="N136" s="43">
        <v>0.51790000000000003</v>
      </c>
      <c r="O136" s="34">
        <v>2633157</v>
      </c>
      <c r="P136" s="34">
        <v>1361484</v>
      </c>
      <c r="Q136" s="43">
        <v>0.5171</v>
      </c>
      <c r="R136" s="34">
        <v>1950264</v>
      </c>
      <c r="S136" s="34">
        <v>1054705</v>
      </c>
      <c r="T136" s="43">
        <v>0.54079999999999995</v>
      </c>
      <c r="U136" s="24">
        <v>984</v>
      </c>
      <c r="V136" s="21">
        <v>237047.00082700001</v>
      </c>
      <c r="W136" s="20">
        <f t="shared" si="8"/>
        <v>136357.00038799999</v>
      </c>
      <c r="X136" s="40">
        <f t="shared" si="9"/>
        <v>0.57523191566348941</v>
      </c>
      <c r="Y136" s="12">
        <v>435</v>
      </c>
      <c r="Z136" s="12">
        <v>111068.000289</v>
      </c>
      <c r="AA136" s="13">
        <f>Z136/V136</f>
        <v>0.46854843090826059</v>
      </c>
      <c r="AB136" s="4">
        <v>78</v>
      </c>
      <c r="AC136" s="4">
        <v>21540.000008999999</v>
      </c>
      <c r="AD136" s="17">
        <f>AC136/V136</f>
        <v>9.0868055422984123E-2</v>
      </c>
      <c r="AE136" s="9">
        <v>14</v>
      </c>
      <c r="AF136" s="9">
        <v>3749.00009</v>
      </c>
      <c r="AG136" s="18">
        <f>AF136/V136</f>
        <v>1.5815429332244828E-2</v>
      </c>
    </row>
    <row r="137" spans="1:33" ht="14" x14ac:dyDescent="0.2">
      <c r="A137" s="1" t="s">
        <v>302</v>
      </c>
      <c r="B137" s="1" t="s">
        <v>303</v>
      </c>
      <c r="C137" s="34">
        <v>5153111</v>
      </c>
      <c r="D137" s="34">
        <v>2639522</v>
      </c>
      <c r="E137" s="37">
        <v>0.51219999999999999</v>
      </c>
      <c r="F137" s="34">
        <v>4894101</v>
      </c>
      <c r="G137" s="34">
        <v>2364856</v>
      </c>
      <c r="H137" s="37">
        <v>0.48320000000000002</v>
      </c>
      <c r="I137" s="34">
        <v>5092241</v>
      </c>
      <c r="J137" s="34">
        <v>2608662</v>
      </c>
      <c r="K137" s="37">
        <v>0.51229999999999998</v>
      </c>
      <c r="L137" s="34">
        <v>4257085</v>
      </c>
      <c r="M137" s="34">
        <v>1969646</v>
      </c>
      <c r="N137" s="43">
        <v>0.4627</v>
      </c>
      <c r="O137" s="34">
        <v>4025997</v>
      </c>
      <c r="P137" s="34">
        <v>1856049</v>
      </c>
      <c r="Q137" s="43">
        <v>0.46100000000000002</v>
      </c>
      <c r="R137" s="34">
        <v>2742631</v>
      </c>
      <c r="S137" s="34">
        <v>1383878</v>
      </c>
      <c r="T137" s="43">
        <v>0.50460000000000005</v>
      </c>
      <c r="U137" s="24">
        <v>941</v>
      </c>
      <c r="V137" s="21">
        <v>220435.00083899999</v>
      </c>
      <c r="W137" s="20">
        <f t="shared" si="8"/>
        <v>113965.00021300001</v>
      </c>
      <c r="X137" s="40">
        <f t="shared" si="9"/>
        <v>0.51700047532940152</v>
      </c>
      <c r="Y137" s="12">
        <v>381</v>
      </c>
      <c r="Z137" s="12">
        <v>88685.000316000005</v>
      </c>
      <c r="AA137" s="13">
        <f>Z137/V137</f>
        <v>0.4023181435727316</v>
      </c>
      <c r="AB137" s="4">
        <v>81</v>
      </c>
      <c r="AC137" s="4">
        <v>23416.999926</v>
      </c>
      <c r="AD137" s="17">
        <f>AC137/V137</f>
        <v>0.10623086096523832</v>
      </c>
      <c r="AE137" s="9">
        <v>13</v>
      </c>
      <c r="AF137" s="9">
        <v>1862.999971</v>
      </c>
      <c r="AG137" s="18">
        <f>AF137/V137</f>
        <v>8.45147079143156E-3</v>
      </c>
    </row>
    <row r="138" spans="1:33" ht="14" x14ac:dyDescent="0.2">
      <c r="A138" s="1" t="s">
        <v>304</v>
      </c>
      <c r="B138" s="1" t="s">
        <v>305</v>
      </c>
      <c r="C138" s="34">
        <v>4283663</v>
      </c>
      <c r="D138" s="34">
        <v>2453524</v>
      </c>
      <c r="E138" s="37">
        <v>0.57279999999999998</v>
      </c>
      <c r="F138" s="34">
        <v>4258725</v>
      </c>
      <c r="G138" s="34">
        <v>2331142</v>
      </c>
      <c r="H138" s="37">
        <v>0.5474</v>
      </c>
      <c r="I138" s="34">
        <v>4302741</v>
      </c>
      <c r="J138" s="34">
        <v>2354602</v>
      </c>
      <c r="K138" s="37">
        <v>0.54720000000000002</v>
      </c>
      <c r="L138" s="34">
        <v>4246079</v>
      </c>
      <c r="M138" s="34">
        <v>1918907</v>
      </c>
      <c r="N138" s="43">
        <v>0.45190000000000002</v>
      </c>
      <c r="O138" s="34">
        <v>4081146</v>
      </c>
      <c r="P138" s="34">
        <v>1779401</v>
      </c>
      <c r="Q138" s="43">
        <v>0.436</v>
      </c>
      <c r="R138" s="34">
        <v>2881207</v>
      </c>
      <c r="S138" s="34">
        <v>1322807</v>
      </c>
      <c r="T138" s="43">
        <v>0.45910000000000001</v>
      </c>
      <c r="U138" s="24">
        <v>958</v>
      </c>
      <c r="V138" s="21">
        <v>290879.00069399999</v>
      </c>
      <c r="W138" s="20">
        <f t="shared" si="8"/>
        <v>157243.00017700001</v>
      </c>
      <c r="X138" s="40">
        <f t="shared" si="9"/>
        <v>0.54057872793098982</v>
      </c>
      <c r="Y138" s="12">
        <v>396</v>
      </c>
      <c r="Z138" s="12">
        <v>125071.000077</v>
      </c>
      <c r="AA138" s="13">
        <f>Z138/V138</f>
        <v>0.429976037385293</v>
      </c>
      <c r="AB138" s="4">
        <v>87</v>
      </c>
      <c r="AC138" s="4">
        <v>27699.000109000001</v>
      </c>
      <c r="AD138" s="17">
        <f>AC138/V138</f>
        <v>9.5225162500262098E-2</v>
      </c>
      <c r="AE138" s="9">
        <v>18</v>
      </c>
      <c r="AF138" s="9">
        <v>4472.9999909999997</v>
      </c>
      <c r="AG138" s="18">
        <f>AF138/V138</f>
        <v>1.5377528045434683E-2</v>
      </c>
    </row>
    <row r="139" spans="1:33" ht="14" x14ac:dyDescent="0.2">
      <c r="A139" s="1" t="s">
        <v>306</v>
      </c>
      <c r="B139" s="1" t="s">
        <v>307</v>
      </c>
      <c r="C139" s="34">
        <v>3526307</v>
      </c>
      <c r="D139" s="34">
        <v>2025030</v>
      </c>
      <c r="E139" s="37">
        <v>0.57430000000000003</v>
      </c>
      <c r="F139" s="34">
        <v>3499841</v>
      </c>
      <c r="G139" s="34">
        <v>1963904</v>
      </c>
      <c r="H139" s="37">
        <v>0.56110000000000004</v>
      </c>
      <c r="I139" s="34">
        <v>3603423</v>
      </c>
      <c r="J139" s="34">
        <v>2162350</v>
      </c>
      <c r="K139" s="37">
        <v>0.60009999999999997</v>
      </c>
      <c r="L139" s="34">
        <v>3172843</v>
      </c>
      <c r="M139" s="34">
        <v>1655807</v>
      </c>
      <c r="N139" s="43">
        <v>0.52190000000000003</v>
      </c>
      <c r="O139" s="34">
        <v>2782784</v>
      </c>
      <c r="P139" s="34">
        <v>1465268</v>
      </c>
      <c r="Q139" s="43">
        <v>0.52649999999999997</v>
      </c>
      <c r="R139" s="34">
        <v>1984765</v>
      </c>
      <c r="S139" s="34">
        <v>1117226</v>
      </c>
      <c r="T139" s="43">
        <v>0.56289999999999996</v>
      </c>
      <c r="U139" s="24">
        <v>822</v>
      </c>
      <c r="V139" s="21">
        <v>188162.000539</v>
      </c>
      <c r="W139" s="20">
        <f t="shared" si="8"/>
        <v>109705.00047600002</v>
      </c>
      <c r="X139" s="40">
        <f t="shared" si="9"/>
        <v>0.58303483254718935</v>
      </c>
      <c r="Y139" s="12">
        <v>383</v>
      </c>
      <c r="Z139" s="12">
        <v>91135.000316000005</v>
      </c>
      <c r="AA139" s="13">
        <f>Z139/V139</f>
        <v>0.48434327895610685</v>
      </c>
      <c r="AB139" s="4">
        <v>73</v>
      </c>
      <c r="AC139" s="4">
        <v>16052.000110000001</v>
      </c>
      <c r="AD139" s="17">
        <f>AC139/V139</f>
        <v>8.5309467714087844E-2</v>
      </c>
      <c r="AE139" s="9">
        <v>10</v>
      </c>
      <c r="AF139" s="9">
        <v>2518.0000500000001</v>
      </c>
      <c r="AG139" s="18">
        <f>AF139/V139</f>
        <v>1.3382085876994588E-2</v>
      </c>
    </row>
    <row r="140" spans="1:33" ht="14" x14ac:dyDescent="0.2">
      <c r="A140" s="1" t="s">
        <v>308</v>
      </c>
      <c r="B140" s="1" t="s">
        <v>309</v>
      </c>
      <c r="C140" s="34">
        <v>3604089</v>
      </c>
      <c r="D140" s="34">
        <v>2623022</v>
      </c>
      <c r="E140" s="37">
        <v>0.7278</v>
      </c>
      <c r="F140" s="34">
        <v>3421997</v>
      </c>
      <c r="G140" s="34">
        <v>2424131</v>
      </c>
      <c r="H140" s="37">
        <v>0.70840000000000003</v>
      </c>
      <c r="I140" s="34">
        <v>3110997</v>
      </c>
      <c r="J140" s="34">
        <v>2142228</v>
      </c>
      <c r="K140" s="37">
        <v>0.68859999999999999</v>
      </c>
      <c r="L140" s="34">
        <v>3250641</v>
      </c>
      <c r="M140" s="34">
        <v>2007907</v>
      </c>
      <c r="N140" s="43">
        <v>0.61770000000000003</v>
      </c>
      <c r="O140" s="34">
        <v>2973517</v>
      </c>
      <c r="P140" s="34">
        <v>2010973</v>
      </c>
      <c r="Q140" s="43">
        <v>0.67630000000000001</v>
      </c>
      <c r="R140" s="34">
        <v>1949448</v>
      </c>
      <c r="S140" s="34">
        <v>1404875</v>
      </c>
      <c r="T140" s="43">
        <v>0.72070000000000001</v>
      </c>
      <c r="U140" s="24">
        <v>1483</v>
      </c>
      <c r="V140" s="21">
        <v>300206.00101299997</v>
      </c>
      <c r="W140" s="20">
        <f t="shared" si="8"/>
        <v>228887.000994</v>
      </c>
      <c r="X140" s="40">
        <f t="shared" si="9"/>
        <v>0.76243312998959134</v>
      </c>
      <c r="Y140" s="12">
        <v>1056</v>
      </c>
      <c r="Z140" s="12">
        <v>205090.000921</v>
      </c>
      <c r="AA140" s="13">
        <f>Z140/V140</f>
        <v>0.68316422799329346</v>
      </c>
      <c r="AB140" s="4">
        <v>114</v>
      </c>
      <c r="AC140" s="4">
        <v>22014.000081999999</v>
      </c>
      <c r="AD140" s="17">
        <f>AC140/V140</f>
        <v>7.3329647001449227E-2</v>
      </c>
      <c r="AE140" s="9">
        <v>9</v>
      </c>
      <c r="AF140" s="9">
        <v>1782.9999909999999</v>
      </c>
      <c r="AG140" s="18">
        <f>AF140/V140</f>
        <v>5.9392549948486528E-3</v>
      </c>
    </row>
    <row r="141" spans="1:33" ht="14" x14ac:dyDescent="0.2">
      <c r="A141" s="1" t="s">
        <v>310</v>
      </c>
      <c r="B141" s="1" t="s">
        <v>311</v>
      </c>
      <c r="C141" s="34">
        <v>4422035</v>
      </c>
      <c r="D141" s="34">
        <v>3476007</v>
      </c>
      <c r="E141" s="37">
        <v>0.78610000000000002</v>
      </c>
      <c r="F141" s="34">
        <v>3880317</v>
      </c>
      <c r="G141" s="34">
        <v>3107182</v>
      </c>
      <c r="H141" s="37">
        <v>0.80079999999999996</v>
      </c>
      <c r="I141" s="34">
        <v>4281804</v>
      </c>
      <c r="J141" s="34">
        <v>3449185</v>
      </c>
      <c r="K141" s="37">
        <v>0.80549999999999999</v>
      </c>
      <c r="L141" s="34">
        <v>4354512</v>
      </c>
      <c r="M141" s="34">
        <v>2750302</v>
      </c>
      <c r="N141" s="43">
        <v>0.63160000000000005</v>
      </c>
      <c r="O141" s="34">
        <v>3900453</v>
      </c>
      <c r="P141" s="34">
        <v>2663588</v>
      </c>
      <c r="Q141" s="43">
        <v>0.68289999999999995</v>
      </c>
      <c r="R141" s="34">
        <v>2899844</v>
      </c>
      <c r="S141" s="34">
        <v>2102585</v>
      </c>
      <c r="T141" s="43">
        <v>0.72509999999999997</v>
      </c>
      <c r="U141" s="24">
        <v>1520</v>
      </c>
      <c r="V141" s="21">
        <v>356753.00090099999</v>
      </c>
      <c r="W141" s="20">
        <f t="shared" si="8"/>
        <v>335567.00098299998</v>
      </c>
      <c r="X141" s="40">
        <f t="shared" si="9"/>
        <v>0.94061437503120204</v>
      </c>
      <c r="Y141" s="12">
        <v>1309</v>
      </c>
      <c r="Z141" s="12">
        <v>305222.00099899998</v>
      </c>
      <c r="AA141" s="13">
        <f>Z141/V141</f>
        <v>0.85555552504994903</v>
      </c>
      <c r="AB141" s="4">
        <v>104</v>
      </c>
      <c r="AC141" s="4">
        <v>27127.999939000001</v>
      </c>
      <c r="AD141" s="17">
        <f>AC141/V141</f>
        <v>7.6041406436628975E-2</v>
      </c>
      <c r="AE141" s="9">
        <v>17</v>
      </c>
      <c r="AF141" s="9">
        <v>3217.0000449999998</v>
      </c>
      <c r="AG141" s="18">
        <f>AF141/V141</f>
        <v>9.0174435446241045E-3</v>
      </c>
    </row>
    <row r="142" spans="1:33" ht="14" x14ac:dyDescent="0.2">
      <c r="A142" s="1" t="s">
        <v>312</v>
      </c>
      <c r="B142" s="1" t="s">
        <v>313</v>
      </c>
      <c r="C142" s="34">
        <v>4318619</v>
      </c>
      <c r="D142" s="34">
        <v>2421063</v>
      </c>
      <c r="E142" s="37">
        <v>0.56059999999999999</v>
      </c>
      <c r="F142" s="34">
        <v>4177275</v>
      </c>
      <c r="G142" s="34">
        <v>2318629</v>
      </c>
      <c r="H142" s="37">
        <v>0.55510000000000004</v>
      </c>
      <c r="I142" s="34">
        <v>4244519</v>
      </c>
      <c r="J142" s="34">
        <v>2524420</v>
      </c>
      <c r="K142" s="37">
        <v>0.59470000000000001</v>
      </c>
      <c r="L142" s="34">
        <v>3882929</v>
      </c>
      <c r="M142" s="34">
        <v>1965185</v>
      </c>
      <c r="N142" s="43">
        <v>0.50609999999999999</v>
      </c>
      <c r="O142" s="34">
        <v>3858560</v>
      </c>
      <c r="P142" s="34">
        <v>2001297</v>
      </c>
      <c r="Q142" s="43">
        <v>0.51870000000000005</v>
      </c>
      <c r="R142" s="34">
        <v>2500907</v>
      </c>
      <c r="S142" s="34">
        <v>1424821</v>
      </c>
      <c r="T142" s="43">
        <v>0.56969999999999998</v>
      </c>
      <c r="U142" s="24">
        <v>1011</v>
      </c>
      <c r="V142" s="21">
        <v>226502.000718</v>
      </c>
      <c r="W142" s="20">
        <f t="shared" si="8"/>
        <v>108795.00057300001</v>
      </c>
      <c r="X142" s="40">
        <f t="shared" si="9"/>
        <v>0.4803268855379878</v>
      </c>
      <c r="Y142" s="12">
        <v>359</v>
      </c>
      <c r="Z142" s="12">
        <v>89921.000537</v>
      </c>
      <c r="AA142" s="13">
        <f>Z142/V142</f>
        <v>0.39699870311059032</v>
      </c>
      <c r="AB142" s="4">
        <v>62</v>
      </c>
      <c r="AC142" s="4">
        <v>17329.000017999999</v>
      </c>
      <c r="AD142" s="17">
        <f>AC142/V142</f>
        <v>7.6507050547314978E-2</v>
      </c>
      <c r="AE142" s="9">
        <v>17</v>
      </c>
      <c r="AF142" s="9">
        <v>1545.000018</v>
      </c>
      <c r="AG142" s="18">
        <f>AF142/V142</f>
        <v>6.8211318800824152E-3</v>
      </c>
    </row>
    <row r="143" spans="1:33" ht="14" x14ac:dyDescent="0.2">
      <c r="A143" s="1" t="s">
        <v>314</v>
      </c>
      <c r="B143" s="1" t="s">
        <v>315</v>
      </c>
      <c r="C143" s="34">
        <v>4896056</v>
      </c>
      <c r="D143" s="34">
        <v>3380394</v>
      </c>
      <c r="E143" s="37">
        <v>0.69040000000000001</v>
      </c>
      <c r="F143" s="34">
        <v>4795067</v>
      </c>
      <c r="G143" s="34">
        <v>3168177</v>
      </c>
      <c r="H143" s="37">
        <v>0.66069999999999995</v>
      </c>
      <c r="I143" s="34">
        <v>5042839</v>
      </c>
      <c r="J143" s="34">
        <v>3509283</v>
      </c>
      <c r="K143" s="37">
        <v>0.69589999999999996</v>
      </c>
      <c r="L143" s="34">
        <v>5559306</v>
      </c>
      <c r="M143" s="34">
        <v>2764489</v>
      </c>
      <c r="N143" s="43">
        <v>0.49730000000000002</v>
      </c>
      <c r="O143" s="34">
        <v>5645452</v>
      </c>
      <c r="P143" s="34">
        <v>2555695</v>
      </c>
      <c r="Q143" s="43">
        <v>0.45269999999999999</v>
      </c>
      <c r="R143" s="34">
        <v>3669311</v>
      </c>
      <c r="S143" s="34">
        <v>1911100</v>
      </c>
      <c r="T143" s="43">
        <v>0.52080000000000004</v>
      </c>
      <c r="U143" s="24">
        <v>935</v>
      </c>
      <c r="V143" s="21">
        <v>251457.00068200001</v>
      </c>
      <c r="W143" s="20">
        <f t="shared" si="8"/>
        <v>142505.00043900002</v>
      </c>
      <c r="X143" s="40">
        <f t="shared" si="9"/>
        <v>0.56671717252849951</v>
      </c>
      <c r="Y143" s="12">
        <v>373</v>
      </c>
      <c r="Z143" s="12">
        <v>112890.000422</v>
      </c>
      <c r="AA143" s="13">
        <f>Z143/V143</f>
        <v>0.44894355741069242</v>
      </c>
      <c r="AB143" s="4">
        <v>99</v>
      </c>
      <c r="AC143" s="4">
        <v>27342</v>
      </c>
      <c r="AD143" s="17">
        <f>AC143/V143</f>
        <v>0.10873429622497369</v>
      </c>
      <c r="AE143" s="9">
        <v>10</v>
      </c>
      <c r="AF143" s="9">
        <v>2273.0000169999998</v>
      </c>
      <c r="AG143" s="18">
        <f>AF143/V143</f>
        <v>9.0393188928333049E-3</v>
      </c>
    </row>
    <row r="144" spans="1:33" ht="14" x14ac:dyDescent="0.2">
      <c r="A144" s="1" t="s">
        <v>316</v>
      </c>
      <c r="B144" s="1" t="s">
        <v>317</v>
      </c>
      <c r="C144" s="34">
        <v>3010337</v>
      </c>
      <c r="D144" s="34">
        <v>1377490</v>
      </c>
      <c r="E144" s="37">
        <v>0.45760000000000001</v>
      </c>
      <c r="F144" s="34">
        <v>2825744</v>
      </c>
      <c r="G144" s="34">
        <v>1226949</v>
      </c>
      <c r="H144" s="37">
        <v>0.43419999999999997</v>
      </c>
      <c r="I144" s="34">
        <v>2966183</v>
      </c>
      <c r="J144" s="34">
        <v>1596434</v>
      </c>
      <c r="K144" s="37">
        <v>0.53820000000000001</v>
      </c>
      <c r="L144" s="34">
        <v>2702244</v>
      </c>
      <c r="M144" s="34">
        <v>1224885</v>
      </c>
      <c r="N144" s="43">
        <v>0.45329999999999998</v>
      </c>
      <c r="O144" s="34">
        <v>2356410</v>
      </c>
      <c r="P144" s="34">
        <v>1018264</v>
      </c>
      <c r="Q144" s="43">
        <v>0.43209999999999998</v>
      </c>
      <c r="R144" s="34">
        <v>1673508</v>
      </c>
      <c r="S144" s="34">
        <v>837342</v>
      </c>
      <c r="T144" s="43">
        <v>0.50039999999999996</v>
      </c>
      <c r="U144" s="24">
        <v>988</v>
      </c>
      <c r="V144" s="21">
        <v>225833.00083800001</v>
      </c>
      <c r="W144" s="20">
        <f t="shared" si="8"/>
        <v>96324.000252999991</v>
      </c>
      <c r="X144" s="40">
        <f t="shared" si="9"/>
        <v>0.4265275663679351</v>
      </c>
      <c r="Y144" s="12">
        <v>343</v>
      </c>
      <c r="Z144" s="12">
        <v>82868.000119999997</v>
      </c>
      <c r="AA144" s="13">
        <f>Z144/V144</f>
        <v>0.36694371421581951</v>
      </c>
      <c r="AB144" s="4">
        <v>48</v>
      </c>
      <c r="AC144" s="4">
        <v>10606.000109000001</v>
      </c>
      <c r="AD144" s="17">
        <f>AC144/V144</f>
        <v>4.6963907266184504E-2</v>
      </c>
      <c r="AE144" s="9">
        <v>15</v>
      </c>
      <c r="AF144" s="9">
        <v>2850.0000239999999</v>
      </c>
      <c r="AG144" s="18">
        <f>AF144/V144</f>
        <v>1.2619944885931135E-2</v>
      </c>
    </row>
    <row r="145" spans="1:33" ht="14" x14ac:dyDescent="0.2">
      <c r="A145" s="1" t="s">
        <v>318</v>
      </c>
      <c r="B145" s="1" t="s">
        <v>319</v>
      </c>
      <c r="C145" s="34">
        <v>4151912</v>
      </c>
      <c r="D145" s="34">
        <v>2834898</v>
      </c>
      <c r="E145" s="37">
        <v>0.68279999999999996</v>
      </c>
      <c r="F145" s="34">
        <v>3706912</v>
      </c>
      <c r="G145" s="34">
        <v>2398101</v>
      </c>
      <c r="H145" s="37">
        <v>0.64690000000000003</v>
      </c>
      <c r="I145" s="34">
        <v>3173802</v>
      </c>
      <c r="J145" s="34">
        <v>2102944</v>
      </c>
      <c r="K145" s="37">
        <v>0.66259999999999997</v>
      </c>
      <c r="L145" s="34">
        <v>3538255</v>
      </c>
      <c r="M145" s="34">
        <v>2288123</v>
      </c>
      <c r="N145" s="43">
        <v>0.64670000000000005</v>
      </c>
      <c r="O145" s="34">
        <v>3201301</v>
      </c>
      <c r="P145" s="34">
        <v>2205119</v>
      </c>
      <c r="Q145" s="43">
        <v>0.68879999999999997</v>
      </c>
      <c r="R145" s="34">
        <v>2093972</v>
      </c>
      <c r="S145" s="34">
        <v>1443791</v>
      </c>
      <c r="T145" s="43">
        <v>0.6895</v>
      </c>
      <c r="U145" s="24">
        <v>1003</v>
      </c>
      <c r="V145" s="21">
        <v>207601.00083100001</v>
      </c>
      <c r="W145" s="20">
        <f t="shared" si="8"/>
        <v>190589.00083100001</v>
      </c>
      <c r="X145" s="40">
        <f t="shared" si="9"/>
        <v>0.91805434496026916</v>
      </c>
      <c r="Y145" s="12">
        <v>829</v>
      </c>
      <c r="Z145" s="12">
        <v>171075.000688</v>
      </c>
      <c r="AA145" s="13">
        <f>Z145/V145</f>
        <v>0.82405672421235376</v>
      </c>
      <c r="AB145" s="4">
        <v>89</v>
      </c>
      <c r="AC145" s="4">
        <v>17958.000114999999</v>
      </c>
      <c r="AD145" s="17">
        <f>AC145/V145</f>
        <v>8.6502473702518012E-2</v>
      </c>
      <c r="AE145" s="9">
        <v>10</v>
      </c>
      <c r="AF145" s="9">
        <v>1556.0000279999999</v>
      </c>
      <c r="AG145" s="18">
        <f>AF145/V145</f>
        <v>7.4951470453973375E-3</v>
      </c>
    </row>
    <row r="146" spans="1:33" ht="14" x14ac:dyDescent="0.2">
      <c r="A146" s="1" t="s">
        <v>320</v>
      </c>
      <c r="B146" s="1" t="s">
        <v>321</v>
      </c>
      <c r="C146" s="34">
        <v>3820057</v>
      </c>
      <c r="D146" s="34">
        <v>2038863</v>
      </c>
      <c r="E146" s="37">
        <v>0.53369999999999995</v>
      </c>
      <c r="F146" s="34">
        <v>3736844</v>
      </c>
      <c r="G146" s="34">
        <v>1936867</v>
      </c>
      <c r="H146" s="37">
        <v>0.51829999999999998</v>
      </c>
      <c r="I146" s="34">
        <v>4431379</v>
      </c>
      <c r="J146" s="34">
        <v>2477687</v>
      </c>
      <c r="K146" s="37">
        <v>0.55910000000000004</v>
      </c>
      <c r="L146" s="34">
        <v>3414082</v>
      </c>
      <c r="M146" s="34">
        <v>1601304</v>
      </c>
      <c r="N146" s="43">
        <v>0.46899999999999997</v>
      </c>
      <c r="O146" s="34">
        <v>3539347</v>
      </c>
      <c r="P146" s="34">
        <v>1669127</v>
      </c>
      <c r="Q146" s="43">
        <v>0.47160000000000002</v>
      </c>
      <c r="R146" s="34">
        <v>2211410</v>
      </c>
      <c r="S146" s="34">
        <v>1108865</v>
      </c>
      <c r="T146" s="43">
        <v>0.50139999999999996</v>
      </c>
      <c r="U146" s="24">
        <v>640</v>
      </c>
      <c r="V146" s="21">
        <v>163446.000616</v>
      </c>
      <c r="W146" s="20">
        <f t="shared" si="8"/>
        <v>95784.000610000003</v>
      </c>
      <c r="X146" s="40">
        <f t="shared" si="9"/>
        <v>0.58602841457733135</v>
      </c>
      <c r="Y146" s="12">
        <v>315</v>
      </c>
      <c r="Z146" s="12">
        <v>80553.000528999997</v>
      </c>
      <c r="AA146" s="13">
        <f>Z146/V146</f>
        <v>0.49284167385809091</v>
      </c>
      <c r="AB146" s="4">
        <v>47</v>
      </c>
      <c r="AC146" s="4">
        <v>14376.00006</v>
      </c>
      <c r="AD146" s="17">
        <f>AC146/V146</f>
        <v>8.7955655114345513E-2</v>
      </c>
      <c r="AE146" s="9">
        <v>5</v>
      </c>
      <c r="AF146" s="9">
        <v>855.00002099999995</v>
      </c>
      <c r="AG146" s="18">
        <f>AF146/V146</f>
        <v>5.2310856048948962E-3</v>
      </c>
    </row>
    <row r="147" spans="1:33" ht="14" x14ac:dyDescent="0.2">
      <c r="A147" s="1" t="s">
        <v>322</v>
      </c>
      <c r="B147" s="1" t="s">
        <v>323</v>
      </c>
      <c r="C147" s="34">
        <v>5205247</v>
      </c>
      <c r="D147" s="34">
        <v>3044109</v>
      </c>
      <c r="E147" s="37">
        <v>0.58479999999999999</v>
      </c>
      <c r="F147" s="34">
        <v>5100775</v>
      </c>
      <c r="G147" s="34">
        <v>2797083</v>
      </c>
      <c r="H147" s="37">
        <v>0.5484</v>
      </c>
      <c r="I147" s="34">
        <v>6231294</v>
      </c>
      <c r="J147" s="34">
        <v>3384077</v>
      </c>
      <c r="K147" s="37">
        <v>0.54310000000000003</v>
      </c>
      <c r="L147" s="34">
        <v>5607272</v>
      </c>
      <c r="M147" s="34">
        <v>2513439</v>
      </c>
      <c r="N147" s="43">
        <v>0.44819999999999999</v>
      </c>
      <c r="O147" s="34">
        <v>5699977</v>
      </c>
      <c r="P147" s="34">
        <v>2451448</v>
      </c>
      <c r="Q147" s="43">
        <v>0.43009999999999998</v>
      </c>
      <c r="R147" s="34">
        <v>3297359</v>
      </c>
      <c r="S147" s="34">
        <v>1537155</v>
      </c>
      <c r="T147" s="43">
        <v>0.4662</v>
      </c>
      <c r="U147" s="24">
        <v>967</v>
      </c>
      <c r="V147" s="21">
        <v>267992.00089999998</v>
      </c>
      <c r="W147" s="20">
        <f t="shared" si="8"/>
        <v>133513.000493</v>
      </c>
      <c r="X147" s="40">
        <f t="shared" si="9"/>
        <v>0.49819770756075582</v>
      </c>
      <c r="Y147" s="12">
        <v>391</v>
      </c>
      <c r="Z147" s="12">
        <v>108470.000332</v>
      </c>
      <c r="AA147" s="13">
        <f>Z147/V147</f>
        <v>0.40475088796577585</v>
      </c>
      <c r="AB147" s="4">
        <v>77</v>
      </c>
      <c r="AC147" s="4">
        <v>21406.000102000002</v>
      </c>
      <c r="AD147" s="17">
        <f>AC147/V147</f>
        <v>7.9875518784560867E-2</v>
      </c>
      <c r="AE147" s="9">
        <v>13</v>
      </c>
      <c r="AF147" s="9">
        <v>3637.000059</v>
      </c>
      <c r="AG147" s="18">
        <f>AF147/V147</f>
        <v>1.3571300810419077E-2</v>
      </c>
    </row>
    <row r="148" spans="1:33" ht="14" x14ac:dyDescent="0.2">
      <c r="A148" s="1" t="s">
        <v>324</v>
      </c>
      <c r="B148" s="1" t="s">
        <v>325</v>
      </c>
      <c r="C148" s="34">
        <v>2612974</v>
      </c>
      <c r="D148" s="34">
        <v>1743874</v>
      </c>
      <c r="E148" s="37">
        <v>0.66739999999999999</v>
      </c>
      <c r="F148" s="34">
        <v>2605277</v>
      </c>
      <c r="G148" s="34">
        <v>1557936</v>
      </c>
      <c r="H148" s="37">
        <v>0.59799999999999998</v>
      </c>
      <c r="I148" s="34">
        <v>3325889</v>
      </c>
      <c r="J148" s="34">
        <v>2011405</v>
      </c>
      <c r="K148" s="37">
        <v>0.6048</v>
      </c>
      <c r="L148" s="34">
        <v>2664323</v>
      </c>
      <c r="M148" s="34">
        <v>1330810</v>
      </c>
      <c r="N148" s="43">
        <v>0.4995</v>
      </c>
      <c r="O148" s="34">
        <v>2618378</v>
      </c>
      <c r="P148" s="34">
        <v>1227032</v>
      </c>
      <c r="Q148" s="43">
        <v>0.46860000000000002</v>
      </c>
      <c r="R148" s="34">
        <v>1770011</v>
      </c>
      <c r="S148" s="34">
        <v>916421</v>
      </c>
      <c r="T148" s="43">
        <v>0.51770000000000005</v>
      </c>
      <c r="U148" s="24">
        <v>998</v>
      </c>
      <c r="V148" s="21">
        <v>281253.00102199998</v>
      </c>
      <c r="W148" s="20">
        <f t="shared" si="8"/>
        <v>131954.00022700001</v>
      </c>
      <c r="X148" s="40">
        <f t="shared" si="9"/>
        <v>0.4691647724558089</v>
      </c>
      <c r="Y148" s="12">
        <v>398</v>
      </c>
      <c r="Z148" s="12">
        <v>116994.000181</v>
      </c>
      <c r="AA148" s="13">
        <f>Z148/V148</f>
        <v>0.41597422874022444</v>
      </c>
      <c r="AB148" s="4">
        <v>42</v>
      </c>
      <c r="AC148" s="4">
        <v>11612.000051999999</v>
      </c>
      <c r="AD148" s="17">
        <f>AC148/V148</f>
        <v>4.1286670754818698E-2</v>
      </c>
      <c r="AE148" s="9">
        <v>13</v>
      </c>
      <c r="AF148" s="9">
        <v>3347.9999939999998</v>
      </c>
      <c r="AG148" s="18">
        <f>AF148/V148</f>
        <v>1.1903872960765723E-2</v>
      </c>
    </row>
    <row r="149" spans="1:33" ht="14" x14ac:dyDescent="0.2">
      <c r="A149" s="1" t="s">
        <v>326</v>
      </c>
      <c r="B149" s="1" t="s">
        <v>327</v>
      </c>
      <c r="C149" s="34">
        <v>4272447</v>
      </c>
      <c r="D149" s="34">
        <v>2984413</v>
      </c>
      <c r="E149" s="37">
        <v>0.69850000000000001</v>
      </c>
      <c r="F149" s="34">
        <v>3886953</v>
      </c>
      <c r="G149" s="34">
        <v>2692894</v>
      </c>
      <c r="H149" s="37">
        <v>0.69279999999999997</v>
      </c>
      <c r="I149" s="34">
        <v>4045748</v>
      </c>
      <c r="J149" s="34">
        <v>2982667</v>
      </c>
      <c r="K149" s="37">
        <v>0.73719999999999997</v>
      </c>
      <c r="L149" s="34">
        <v>3516480</v>
      </c>
      <c r="M149" s="34">
        <v>2123435</v>
      </c>
      <c r="N149" s="43">
        <v>0.60389999999999999</v>
      </c>
      <c r="O149" s="34">
        <v>3224310</v>
      </c>
      <c r="P149" s="34">
        <v>2146134</v>
      </c>
      <c r="Q149" s="43">
        <v>0.66559999999999997</v>
      </c>
      <c r="R149" s="34">
        <v>2405818</v>
      </c>
      <c r="S149" s="34">
        <v>1785786</v>
      </c>
      <c r="T149" s="43">
        <v>0.74229999999999996</v>
      </c>
      <c r="U149" s="24">
        <v>1043</v>
      </c>
      <c r="V149" s="21">
        <v>280204.00109600002</v>
      </c>
      <c r="W149" s="20">
        <f t="shared" si="8"/>
        <v>237812.000894</v>
      </c>
      <c r="X149" s="40">
        <f t="shared" si="9"/>
        <v>0.84871022527806017</v>
      </c>
      <c r="Y149" s="12">
        <v>817</v>
      </c>
      <c r="Z149" s="12">
        <v>210017.000803</v>
      </c>
      <c r="AA149" s="13">
        <f>Z149/V149</f>
        <v>0.74951463926828998</v>
      </c>
      <c r="AB149" s="4">
        <v>75</v>
      </c>
      <c r="AC149" s="4">
        <v>22096.000136999999</v>
      </c>
      <c r="AD149" s="17">
        <f>AC149/V149</f>
        <v>7.8856833059388551E-2</v>
      </c>
      <c r="AE149" s="9">
        <v>26</v>
      </c>
      <c r="AF149" s="9">
        <v>5698.9999539999999</v>
      </c>
      <c r="AG149" s="18">
        <f>AF149/V149</f>
        <v>2.0338752950381601E-2</v>
      </c>
    </row>
    <row r="150" spans="1:33" ht="14" x14ac:dyDescent="0.2">
      <c r="A150" s="1" t="s">
        <v>328</v>
      </c>
      <c r="B150" s="1" t="s">
        <v>329</v>
      </c>
      <c r="C150" s="34">
        <v>5786965</v>
      </c>
      <c r="D150" s="34">
        <v>3543481</v>
      </c>
      <c r="E150" s="37">
        <v>0.61229999999999996</v>
      </c>
      <c r="F150" s="34">
        <v>5632865</v>
      </c>
      <c r="G150" s="34">
        <v>3338212</v>
      </c>
      <c r="H150" s="37">
        <v>0.59260000000000002</v>
      </c>
      <c r="I150" s="34">
        <v>6147947</v>
      </c>
      <c r="J150" s="34">
        <v>4196827</v>
      </c>
      <c r="K150" s="37">
        <v>0.68259999999999998</v>
      </c>
      <c r="L150" s="34">
        <v>4977458</v>
      </c>
      <c r="M150" s="34">
        <v>2903634</v>
      </c>
      <c r="N150" s="43">
        <v>0.58340000000000003</v>
      </c>
      <c r="O150" s="34">
        <v>4611025</v>
      </c>
      <c r="P150" s="34">
        <v>2880661</v>
      </c>
      <c r="Q150" s="43">
        <v>0.62470000000000003</v>
      </c>
      <c r="R150" s="34">
        <v>2580909</v>
      </c>
      <c r="S150" s="34">
        <v>1811406</v>
      </c>
      <c r="T150" s="43">
        <v>0.70179999999999998</v>
      </c>
      <c r="U150" s="24">
        <v>1078</v>
      </c>
      <c r="V150" s="21">
        <v>283083.00091599999</v>
      </c>
      <c r="W150" s="20">
        <f t="shared" si="8"/>
        <v>253232.000696</v>
      </c>
      <c r="X150" s="40">
        <f t="shared" si="9"/>
        <v>0.89455036111879516</v>
      </c>
      <c r="Y150" s="12">
        <v>882</v>
      </c>
      <c r="Z150" s="12">
        <v>226803.00060999999</v>
      </c>
      <c r="AA150" s="13">
        <f>Z150/V150</f>
        <v>0.80118905012350028</v>
      </c>
      <c r="AB150" s="4">
        <v>84</v>
      </c>
      <c r="AC150" s="4">
        <v>23006.000109000001</v>
      </c>
      <c r="AD150" s="17">
        <f>AC150/V150</f>
        <v>8.1269451131142395E-2</v>
      </c>
      <c r="AE150" s="9">
        <v>15</v>
      </c>
      <c r="AF150" s="9">
        <v>3422.9999769999999</v>
      </c>
      <c r="AG150" s="18">
        <f>AF150/V150</f>
        <v>1.2091859864152409E-2</v>
      </c>
    </row>
    <row r="151" spans="1:33" ht="14" x14ac:dyDescent="0.2">
      <c r="A151" s="1" t="s">
        <v>330</v>
      </c>
      <c r="B151" s="1" t="s">
        <v>331</v>
      </c>
      <c r="C151" s="34">
        <v>2573762</v>
      </c>
      <c r="D151" s="34">
        <v>1764889</v>
      </c>
      <c r="E151" s="37">
        <v>0.68569999999999998</v>
      </c>
      <c r="F151" s="34">
        <v>2535828</v>
      </c>
      <c r="G151" s="34">
        <v>1704319</v>
      </c>
      <c r="H151" s="37">
        <v>0.67210000000000003</v>
      </c>
      <c r="I151" s="34">
        <v>2408828</v>
      </c>
      <c r="J151" s="34">
        <v>1705075</v>
      </c>
      <c r="K151" s="37">
        <v>0.70779999999999998</v>
      </c>
      <c r="L151" s="34">
        <v>2105978</v>
      </c>
      <c r="M151" s="34">
        <v>1248178</v>
      </c>
      <c r="N151" s="43">
        <v>0.5927</v>
      </c>
      <c r="O151" s="34">
        <v>2073782</v>
      </c>
      <c r="P151" s="34">
        <v>1150976</v>
      </c>
      <c r="Q151" s="43">
        <v>0.55500000000000005</v>
      </c>
      <c r="R151" s="34">
        <v>1452387</v>
      </c>
      <c r="S151" s="34">
        <v>860950</v>
      </c>
      <c r="T151" s="43">
        <v>0.59279999999999999</v>
      </c>
      <c r="U151" s="24">
        <v>813</v>
      </c>
      <c r="V151" s="21">
        <v>183516.00070199999</v>
      </c>
      <c r="W151" s="20">
        <f t="shared" si="8"/>
        <v>103963.000296</v>
      </c>
      <c r="X151" s="40">
        <f t="shared" si="9"/>
        <v>0.56650646209765065</v>
      </c>
      <c r="Y151" s="12">
        <v>379</v>
      </c>
      <c r="Z151" s="12">
        <v>81532.000081999999</v>
      </c>
      <c r="AA151" s="13">
        <f>Z151/V151</f>
        <v>0.44427733696308391</v>
      </c>
      <c r="AB151" s="4">
        <v>79</v>
      </c>
      <c r="AC151" s="4">
        <v>19148.000164000001</v>
      </c>
      <c r="AD151" s="17">
        <f>AC151/V151</f>
        <v>0.10433967659906247</v>
      </c>
      <c r="AE151" s="9">
        <v>20</v>
      </c>
      <c r="AF151" s="9">
        <v>3283.0000500000001</v>
      </c>
      <c r="AG151" s="18">
        <f>AF151/V151</f>
        <v>1.7889448535504303E-2</v>
      </c>
    </row>
    <row r="152" spans="1:33" ht="14" x14ac:dyDescent="0.2">
      <c r="A152" s="1" t="s">
        <v>332</v>
      </c>
      <c r="B152" s="1" t="s">
        <v>333</v>
      </c>
      <c r="C152" s="34">
        <v>4136287</v>
      </c>
      <c r="D152" s="34">
        <v>2450705</v>
      </c>
      <c r="E152" s="37">
        <v>0.59250000000000003</v>
      </c>
      <c r="F152" s="34">
        <v>4160750</v>
      </c>
      <c r="G152" s="34">
        <v>2374413</v>
      </c>
      <c r="H152" s="37">
        <v>0.57069999999999999</v>
      </c>
      <c r="I152" s="34">
        <v>4863000</v>
      </c>
      <c r="J152" s="34">
        <v>2919175</v>
      </c>
      <c r="K152" s="37">
        <v>0.60029999999999994</v>
      </c>
      <c r="L152" s="34">
        <v>4059467</v>
      </c>
      <c r="M152" s="34">
        <v>2045207</v>
      </c>
      <c r="N152" s="43">
        <v>0.50380000000000003</v>
      </c>
      <c r="O152" s="34">
        <v>3670416</v>
      </c>
      <c r="P152" s="34">
        <v>1852971</v>
      </c>
      <c r="Q152" s="43">
        <v>0.50480000000000003</v>
      </c>
      <c r="R152" s="34">
        <v>2458306</v>
      </c>
      <c r="S152" s="34">
        <v>1399869</v>
      </c>
      <c r="T152" s="43">
        <v>0.56940000000000002</v>
      </c>
      <c r="U152" s="24">
        <v>972</v>
      </c>
      <c r="V152" s="21">
        <v>242502.00063200001</v>
      </c>
      <c r="W152" s="20">
        <f t="shared" si="8"/>
        <v>148811.00050100003</v>
      </c>
      <c r="X152" s="40">
        <f t="shared" si="9"/>
        <v>0.61364854769517008</v>
      </c>
      <c r="Y152" s="12">
        <v>491</v>
      </c>
      <c r="Z152" s="12">
        <v>119608.000415</v>
      </c>
      <c r="AA152" s="13">
        <f>Z152/V152</f>
        <v>0.49322479857189599</v>
      </c>
      <c r="AB152" s="4">
        <v>91</v>
      </c>
      <c r="AC152" s="4">
        <v>27015.000023000001</v>
      </c>
      <c r="AD152" s="17">
        <f>AC152/V152</f>
        <v>0.11140114288787094</v>
      </c>
      <c r="AE152" s="9">
        <v>10</v>
      </c>
      <c r="AF152" s="9">
        <v>2188.000063</v>
      </c>
      <c r="AG152" s="18">
        <f>AF152/V152</f>
        <v>9.0226062354030589E-3</v>
      </c>
    </row>
    <row r="153" spans="1:33" ht="14" x14ac:dyDescent="0.2">
      <c r="A153" s="1" t="s">
        <v>334</v>
      </c>
      <c r="B153" s="1" t="s">
        <v>335</v>
      </c>
      <c r="C153" s="34">
        <v>4093804</v>
      </c>
      <c r="D153" s="34">
        <v>2124131</v>
      </c>
      <c r="E153" s="37">
        <v>0.51890000000000003</v>
      </c>
      <c r="F153" s="34">
        <v>4194289</v>
      </c>
      <c r="G153" s="34">
        <v>2091421</v>
      </c>
      <c r="H153" s="37">
        <v>0.49859999999999999</v>
      </c>
      <c r="I153" s="34">
        <v>4388788</v>
      </c>
      <c r="J153" s="34">
        <v>2285271</v>
      </c>
      <c r="K153" s="37">
        <v>0.52070000000000005</v>
      </c>
      <c r="L153" s="34">
        <v>3619328</v>
      </c>
      <c r="M153" s="34">
        <v>1740530</v>
      </c>
      <c r="N153" s="43">
        <v>0.48089999999999999</v>
      </c>
      <c r="O153" s="34">
        <v>3462516</v>
      </c>
      <c r="P153" s="34">
        <v>1621738</v>
      </c>
      <c r="Q153" s="43">
        <v>0.46839999999999998</v>
      </c>
      <c r="R153" s="34">
        <v>2317352</v>
      </c>
      <c r="S153" s="34">
        <v>1194709</v>
      </c>
      <c r="T153" s="43">
        <v>0.51549999999999996</v>
      </c>
      <c r="U153" s="24">
        <v>945</v>
      </c>
      <c r="V153" s="21">
        <v>222618.00086900001</v>
      </c>
      <c r="W153" s="20">
        <f t="shared" si="8"/>
        <v>123594.00044</v>
      </c>
      <c r="X153" s="40">
        <f t="shared" si="9"/>
        <v>0.55518421671897566</v>
      </c>
      <c r="Y153" s="12">
        <v>421</v>
      </c>
      <c r="Z153" s="12">
        <v>101700.00039</v>
      </c>
      <c r="AA153" s="13">
        <f>Z153/V153</f>
        <v>0.4568363743857603</v>
      </c>
      <c r="AB153" s="4">
        <v>78</v>
      </c>
      <c r="AC153" s="4">
        <v>18830.999997999999</v>
      </c>
      <c r="AD153" s="17">
        <f>AC153/V153</f>
        <v>8.4588846923843941E-2</v>
      </c>
      <c r="AE153" s="9">
        <v>14</v>
      </c>
      <c r="AF153" s="9">
        <v>3063.0000519999999</v>
      </c>
      <c r="AG153" s="18">
        <f>AF153/V153</f>
        <v>1.3758995409371358E-2</v>
      </c>
    </row>
    <row r="154" spans="1:33" ht="14" x14ac:dyDescent="0.2">
      <c r="A154" s="1" t="s">
        <v>336</v>
      </c>
      <c r="B154" s="1" t="s">
        <v>337</v>
      </c>
      <c r="C154" s="34">
        <v>4020157</v>
      </c>
      <c r="D154" s="34">
        <v>2361892</v>
      </c>
      <c r="E154" s="37">
        <v>0.58750000000000002</v>
      </c>
      <c r="F154" s="34">
        <v>3681681</v>
      </c>
      <c r="G154" s="34">
        <v>2081440</v>
      </c>
      <c r="H154" s="37">
        <v>0.56540000000000001</v>
      </c>
      <c r="I154" s="34">
        <v>4048369</v>
      </c>
      <c r="J154" s="34">
        <v>2400363</v>
      </c>
      <c r="K154" s="37">
        <v>0.59289999999999998</v>
      </c>
      <c r="L154" s="34">
        <v>3259492</v>
      </c>
      <c r="M154" s="34">
        <v>1724592</v>
      </c>
      <c r="N154" s="43">
        <v>0.52910000000000001</v>
      </c>
      <c r="O154" s="34">
        <v>3134454</v>
      </c>
      <c r="P154" s="34">
        <v>1673608</v>
      </c>
      <c r="Q154" s="43">
        <v>0.53390000000000004</v>
      </c>
      <c r="R154" s="34">
        <v>2121480</v>
      </c>
      <c r="S154" s="34">
        <v>1212451</v>
      </c>
      <c r="T154" s="43">
        <v>0.57150000000000001</v>
      </c>
      <c r="U154" s="24">
        <v>742</v>
      </c>
      <c r="V154" s="21">
        <v>205952.00081600001</v>
      </c>
      <c r="W154" s="20">
        <f t="shared" si="8"/>
        <v>110940.00026299999</v>
      </c>
      <c r="X154" s="40">
        <f t="shared" si="9"/>
        <v>0.53866920361757065</v>
      </c>
      <c r="Y154" s="12">
        <v>327</v>
      </c>
      <c r="Z154" s="12">
        <v>93525.000249999997</v>
      </c>
      <c r="AA154" s="13">
        <f>Z154/V154</f>
        <v>0.45411066597773114</v>
      </c>
      <c r="AB154" s="4">
        <v>63</v>
      </c>
      <c r="AC154" s="4">
        <v>14621.999963</v>
      </c>
      <c r="AD154" s="17">
        <f>AC154/V154</f>
        <v>7.0997125082865639E-2</v>
      </c>
      <c r="AE154" s="9">
        <v>15</v>
      </c>
      <c r="AF154" s="9">
        <v>2793.0000500000001</v>
      </c>
      <c r="AG154" s="18">
        <f>AF154/V154</f>
        <v>1.3561412556973892E-2</v>
      </c>
    </row>
    <row r="155" spans="1:33" ht="14" x14ac:dyDescent="0.2">
      <c r="A155" s="1" t="s">
        <v>338</v>
      </c>
      <c r="B155" s="1" t="s">
        <v>339</v>
      </c>
      <c r="C155" s="34">
        <v>3792378</v>
      </c>
      <c r="D155" s="34">
        <v>2082060</v>
      </c>
      <c r="E155" s="37">
        <v>0.54900000000000004</v>
      </c>
      <c r="F155" s="34">
        <v>3632521</v>
      </c>
      <c r="G155" s="34">
        <v>1958963</v>
      </c>
      <c r="H155" s="37">
        <v>0.5393</v>
      </c>
      <c r="I155" s="34">
        <v>3337918</v>
      </c>
      <c r="J155" s="34">
        <v>1846446</v>
      </c>
      <c r="K155" s="37">
        <v>0.55320000000000003</v>
      </c>
      <c r="L155" s="34">
        <v>3102159</v>
      </c>
      <c r="M155" s="34">
        <v>1541220</v>
      </c>
      <c r="N155" s="43">
        <v>0.49680000000000002</v>
      </c>
      <c r="O155" s="34">
        <v>2956798</v>
      </c>
      <c r="P155" s="34">
        <v>1478772</v>
      </c>
      <c r="Q155" s="43">
        <v>0.50009999999999999</v>
      </c>
      <c r="R155" s="34">
        <v>2017690</v>
      </c>
      <c r="S155" s="34">
        <v>1084779</v>
      </c>
      <c r="T155" s="43">
        <v>0.53759999999999997</v>
      </c>
      <c r="U155" s="24">
        <v>977</v>
      </c>
      <c r="V155" s="21">
        <v>205311.00038300001</v>
      </c>
      <c r="W155" s="20">
        <f t="shared" si="8"/>
        <v>114568.00009999999</v>
      </c>
      <c r="X155" s="40">
        <f t="shared" si="9"/>
        <v>0.55802173232938157</v>
      </c>
      <c r="Y155" s="12">
        <v>421</v>
      </c>
      <c r="Z155" s="12">
        <v>92886.000004999994</v>
      </c>
      <c r="AA155" s="13">
        <f>Z155/V155</f>
        <v>0.45241608989155296</v>
      </c>
      <c r="AB155" s="4">
        <v>75</v>
      </c>
      <c r="AC155" s="4">
        <v>19610.000114999999</v>
      </c>
      <c r="AD155" s="17">
        <f>AC155/V155</f>
        <v>9.5513635793592525E-2</v>
      </c>
      <c r="AE155" s="9">
        <v>9</v>
      </c>
      <c r="AF155" s="9">
        <v>2071.9999800000001</v>
      </c>
      <c r="AG155" s="18">
        <f>AF155/V155</f>
        <v>1.0092006644236116E-2</v>
      </c>
    </row>
    <row r="156" spans="1:33" ht="14" x14ac:dyDescent="0.2">
      <c r="A156" s="1" t="s">
        <v>340</v>
      </c>
      <c r="B156" s="1" t="s">
        <v>341</v>
      </c>
      <c r="C156" s="34">
        <v>3354141</v>
      </c>
      <c r="D156" s="34">
        <v>1874461</v>
      </c>
      <c r="E156" s="37">
        <v>0.55879999999999996</v>
      </c>
      <c r="F156" s="34">
        <v>4491786</v>
      </c>
      <c r="G156" s="34">
        <v>2410027</v>
      </c>
      <c r="H156" s="37">
        <v>0.53649999999999998</v>
      </c>
      <c r="I156" s="34">
        <v>4347984</v>
      </c>
      <c r="J156" s="34">
        <v>2406541</v>
      </c>
      <c r="K156" s="37">
        <v>0.55349999999999999</v>
      </c>
      <c r="L156" s="34">
        <v>4181733</v>
      </c>
      <c r="M156" s="34">
        <v>1994186</v>
      </c>
      <c r="N156" s="43">
        <v>0.47689999999999999</v>
      </c>
      <c r="O156" s="34">
        <v>3913271</v>
      </c>
      <c r="P156" s="34">
        <v>1819430</v>
      </c>
      <c r="Q156" s="43">
        <v>0.46489999999999998</v>
      </c>
      <c r="R156" s="34">
        <v>2671029</v>
      </c>
      <c r="S156" s="34">
        <v>1377717</v>
      </c>
      <c r="T156" s="43">
        <v>0.51580000000000004</v>
      </c>
      <c r="U156" s="24">
        <v>1449</v>
      </c>
      <c r="V156" s="21">
        <v>323934.00063899998</v>
      </c>
      <c r="W156" s="20">
        <f t="shared" si="8"/>
        <v>154342.00046499999</v>
      </c>
      <c r="X156" s="40">
        <f t="shared" si="9"/>
        <v>0.47646125494866626</v>
      </c>
      <c r="Y156" s="12">
        <v>548</v>
      </c>
      <c r="Z156" s="12">
        <v>128467.000287</v>
      </c>
      <c r="AA156" s="13">
        <f>Z156/V156</f>
        <v>0.39658387212698548</v>
      </c>
      <c r="AB156" s="4">
        <v>114</v>
      </c>
      <c r="AC156" s="4">
        <v>24730.000177999998</v>
      </c>
      <c r="AD156" s="17">
        <f>AC156/V156</f>
        <v>7.6342712185868133E-2</v>
      </c>
      <c r="AE156" s="9">
        <v>8</v>
      </c>
      <c r="AF156" s="9">
        <v>1145</v>
      </c>
      <c r="AG156" s="18">
        <f>AF156/V156</f>
        <v>3.5346706358126826E-3</v>
      </c>
    </row>
    <row r="157" spans="1:33" ht="14" x14ac:dyDescent="0.2">
      <c r="A157" s="1" t="s">
        <v>342</v>
      </c>
      <c r="B157" s="1" t="s">
        <v>343</v>
      </c>
      <c r="C157" s="34">
        <v>4791533</v>
      </c>
      <c r="D157" s="34">
        <v>2649729</v>
      </c>
      <c r="E157" s="37">
        <v>0.55300000000000005</v>
      </c>
      <c r="F157" s="34">
        <v>4548843</v>
      </c>
      <c r="G157" s="34">
        <v>2286049</v>
      </c>
      <c r="H157" s="37">
        <v>0.50260000000000005</v>
      </c>
      <c r="I157" s="34">
        <v>5060535</v>
      </c>
      <c r="J157" s="34">
        <v>2651493</v>
      </c>
      <c r="K157" s="37">
        <v>0.52400000000000002</v>
      </c>
      <c r="L157" s="34">
        <v>4077303</v>
      </c>
      <c r="M157" s="34">
        <v>1858156</v>
      </c>
      <c r="N157" s="43">
        <v>0.45569999999999999</v>
      </c>
      <c r="O157" s="34">
        <v>3937182</v>
      </c>
      <c r="P157" s="34">
        <v>1828773</v>
      </c>
      <c r="Q157" s="43">
        <v>0.46450000000000002</v>
      </c>
      <c r="R157" s="34">
        <v>2802768</v>
      </c>
      <c r="S157" s="34">
        <v>1426522</v>
      </c>
      <c r="T157" s="43">
        <v>0.50900000000000001</v>
      </c>
      <c r="U157" s="24">
        <v>721</v>
      </c>
      <c r="V157" s="21">
        <v>207152.00069300001</v>
      </c>
      <c r="W157" s="20">
        <f t="shared" si="8"/>
        <v>117405.000325</v>
      </c>
      <c r="X157" s="40">
        <f t="shared" si="9"/>
        <v>0.56675774277939328</v>
      </c>
      <c r="Y157" s="12">
        <v>348</v>
      </c>
      <c r="Z157" s="12">
        <v>100872.000269</v>
      </c>
      <c r="AA157" s="13">
        <f>Z157/V157</f>
        <v>0.48694678270808811</v>
      </c>
      <c r="AB157" s="4">
        <v>53</v>
      </c>
      <c r="AC157" s="4">
        <v>15026.000013999999</v>
      </c>
      <c r="AD157" s="17">
        <f>AC157/V157</f>
        <v>7.253610857598515E-2</v>
      </c>
      <c r="AE157" s="9">
        <v>5</v>
      </c>
      <c r="AF157" s="9">
        <v>1507.0000419999999</v>
      </c>
      <c r="AG157" s="18">
        <f>AF157/V157</f>
        <v>7.2748514953199957E-3</v>
      </c>
    </row>
    <row r="158" spans="1:33" ht="14" x14ac:dyDescent="0.2">
      <c r="A158" s="1" t="s">
        <v>344</v>
      </c>
      <c r="B158" s="1" t="s">
        <v>345</v>
      </c>
      <c r="C158" s="34">
        <v>4832309</v>
      </c>
      <c r="D158" s="34">
        <v>3601999</v>
      </c>
      <c r="E158" s="37">
        <v>0.74539999999999995</v>
      </c>
      <c r="F158" s="34">
        <v>4344389</v>
      </c>
      <c r="G158" s="34">
        <v>3226707</v>
      </c>
      <c r="H158" s="37">
        <v>0.74270000000000003</v>
      </c>
      <c r="I158" s="34">
        <v>4172528</v>
      </c>
      <c r="J158" s="34">
        <v>2935119</v>
      </c>
      <c r="K158" s="37">
        <v>0.70340000000000003</v>
      </c>
      <c r="L158" s="34">
        <v>4550126</v>
      </c>
      <c r="M158" s="34">
        <v>2792691</v>
      </c>
      <c r="N158" s="43">
        <v>0.61380000000000001</v>
      </c>
      <c r="O158" s="34">
        <v>3922076</v>
      </c>
      <c r="P158" s="34">
        <v>2607771</v>
      </c>
      <c r="Q158" s="43">
        <v>0.66490000000000005</v>
      </c>
      <c r="R158" s="34">
        <v>2777028</v>
      </c>
      <c r="S158" s="34">
        <v>1911180</v>
      </c>
      <c r="T158" s="43">
        <v>0.68820000000000003</v>
      </c>
      <c r="U158" s="24">
        <v>1366</v>
      </c>
      <c r="V158" s="21">
        <v>304544.00115999999</v>
      </c>
      <c r="W158" s="20">
        <f t="shared" si="8"/>
        <v>288925.00116700004</v>
      </c>
      <c r="X158" s="40">
        <f t="shared" si="9"/>
        <v>0.94871348661110511</v>
      </c>
      <c r="Y158" s="12">
        <v>1136</v>
      </c>
      <c r="Z158" s="12">
        <v>251036.00092300001</v>
      </c>
      <c r="AA158" s="13">
        <f>Z158/V158</f>
        <v>0.82430125028505097</v>
      </c>
      <c r="AB158" s="4">
        <v>147</v>
      </c>
      <c r="AC158" s="4">
        <v>34433.000228999997</v>
      </c>
      <c r="AD158" s="17">
        <f>AC158/V158</f>
        <v>0.11306412241858523</v>
      </c>
      <c r="AE158" s="9">
        <v>16</v>
      </c>
      <c r="AF158" s="9">
        <v>3456.0000150000001</v>
      </c>
      <c r="AG158" s="18">
        <f>AF158/V158</f>
        <v>1.1348113907468833E-2</v>
      </c>
    </row>
    <row r="159" spans="1:33" ht="14" x14ac:dyDescent="0.2">
      <c r="A159" s="1" t="s">
        <v>346</v>
      </c>
      <c r="B159" s="1" t="s">
        <v>347</v>
      </c>
      <c r="C159" s="34">
        <v>3765016</v>
      </c>
      <c r="D159" s="34">
        <v>2872241</v>
      </c>
      <c r="E159" s="37">
        <v>0.76290000000000002</v>
      </c>
      <c r="F159" s="34">
        <v>3507970</v>
      </c>
      <c r="G159" s="34">
        <v>2700288</v>
      </c>
      <c r="H159" s="37">
        <v>0.76980000000000004</v>
      </c>
      <c r="I159" s="34">
        <v>3998334</v>
      </c>
      <c r="J159" s="34">
        <v>3110507</v>
      </c>
      <c r="K159" s="37">
        <v>0.77800000000000002</v>
      </c>
      <c r="L159" s="34">
        <v>3039899</v>
      </c>
      <c r="M159" s="34">
        <v>2015896</v>
      </c>
      <c r="N159" s="43">
        <v>0.66310000000000002</v>
      </c>
      <c r="O159" s="34">
        <v>3143005</v>
      </c>
      <c r="P159" s="34">
        <v>2235935</v>
      </c>
      <c r="Q159" s="43">
        <v>0.71140000000000003</v>
      </c>
      <c r="R159" s="34">
        <v>2216713</v>
      </c>
      <c r="S159" s="34">
        <v>1682415</v>
      </c>
      <c r="T159" s="43">
        <v>0.75900000000000001</v>
      </c>
      <c r="U159" s="24">
        <v>1124</v>
      </c>
      <c r="V159" s="21">
        <v>289540.00034999999</v>
      </c>
      <c r="W159" s="20">
        <f t="shared" si="8"/>
        <v>267420.00021600001</v>
      </c>
      <c r="X159" s="40">
        <f t="shared" si="9"/>
        <v>0.92360295604316844</v>
      </c>
      <c r="Y159" s="12">
        <v>965</v>
      </c>
      <c r="Z159" s="12">
        <v>240761.000226</v>
      </c>
      <c r="AA159" s="13">
        <f>Z159/V159</f>
        <v>0.83152932214880415</v>
      </c>
      <c r="AB159" s="4">
        <v>86</v>
      </c>
      <c r="AC159" s="4">
        <v>24274.999995999999</v>
      </c>
      <c r="AD159" s="17">
        <f>AC159/V159</f>
        <v>8.3839883838696005E-2</v>
      </c>
      <c r="AE159" s="9">
        <v>10</v>
      </c>
      <c r="AF159" s="9">
        <v>2383.9999939999998</v>
      </c>
      <c r="AG159" s="18">
        <f>AF159/V159</f>
        <v>8.2337500556682579E-3</v>
      </c>
    </row>
    <row r="160" spans="1:33" ht="14" x14ac:dyDescent="0.2">
      <c r="A160" s="1" t="s">
        <v>348</v>
      </c>
      <c r="B160" s="1" t="s">
        <v>349</v>
      </c>
      <c r="C160" s="34">
        <v>2960379</v>
      </c>
      <c r="D160" s="34">
        <v>1798907</v>
      </c>
      <c r="E160" s="37">
        <v>0.60770000000000002</v>
      </c>
      <c r="F160" s="34">
        <v>2810358</v>
      </c>
      <c r="G160" s="34">
        <v>1655479</v>
      </c>
      <c r="H160" s="37">
        <v>0.58909999999999996</v>
      </c>
      <c r="I160" s="34">
        <v>3232005</v>
      </c>
      <c r="J160" s="34">
        <v>1889248</v>
      </c>
      <c r="K160" s="37">
        <v>0.58450000000000002</v>
      </c>
      <c r="L160" s="34">
        <v>2388511</v>
      </c>
      <c r="M160" s="34">
        <v>1292935</v>
      </c>
      <c r="N160" s="43">
        <v>0.5413</v>
      </c>
      <c r="O160" s="34">
        <v>2269739</v>
      </c>
      <c r="P160" s="34">
        <v>1199787</v>
      </c>
      <c r="Q160" s="43">
        <v>0.52859999999999996</v>
      </c>
      <c r="R160" s="34">
        <v>1674939</v>
      </c>
      <c r="S160" s="34">
        <v>969785</v>
      </c>
      <c r="T160" s="43">
        <v>0.57899999999999996</v>
      </c>
      <c r="U160" s="24">
        <v>490</v>
      </c>
      <c r="V160" s="21">
        <v>125140.000958</v>
      </c>
      <c r="W160" s="20">
        <f t="shared" si="8"/>
        <v>74096.000603000008</v>
      </c>
      <c r="X160" s="40">
        <f t="shared" si="9"/>
        <v>0.59210484286210296</v>
      </c>
      <c r="Y160" s="12">
        <v>253</v>
      </c>
      <c r="Z160" s="12">
        <v>62692.000505000004</v>
      </c>
      <c r="AA160" s="13">
        <f>Z160/V160</f>
        <v>0.50097490830322866</v>
      </c>
      <c r="AB160" s="4">
        <v>34</v>
      </c>
      <c r="AC160" s="4">
        <v>8701.0000569999993</v>
      </c>
      <c r="AD160" s="17">
        <f>AC160/V160</f>
        <v>6.9530126181797491E-2</v>
      </c>
      <c r="AE160" s="9">
        <v>9</v>
      </c>
      <c r="AF160" s="9">
        <v>2703.0000409999998</v>
      </c>
      <c r="AG160" s="18">
        <f>AF160/V160</f>
        <v>2.1599808377076739E-2</v>
      </c>
    </row>
    <row r="161" spans="1:33" ht="14" x14ac:dyDescent="0.2">
      <c r="A161" s="1" t="s">
        <v>350</v>
      </c>
      <c r="B161" s="1" t="s">
        <v>351</v>
      </c>
      <c r="C161" s="34">
        <v>4971837</v>
      </c>
      <c r="D161" s="34">
        <v>3207356</v>
      </c>
      <c r="E161" s="37">
        <v>0.64510000000000001</v>
      </c>
      <c r="F161" s="34">
        <v>5189991</v>
      </c>
      <c r="G161" s="34">
        <v>3255320</v>
      </c>
      <c r="H161" s="37">
        <v>0.62719999999999998</v>
      </c>
      <c r="I161" s="34">
        <v>5033795</v>
      </c>
      <c r="J161" s="34">
        <v>3245321</v>
      </c>
      <c r="K161" s="37">
        <v>0.64470000000000005</v>
      </c>
      <c r="L161" s="34">
        <v>4450113</v>
      </c>
      <c r="M161" s="34">
        <v>2688803</v>
      </c>
      <c r="N161" s="43">
        <v>0.60419999999999996</v>
      </c>
      <c r="O161" s="34">
        <v>4681305</v>
      </c>
      <c r="P161" s="34">
        <v>3039399</v>
      </c>
      <c r="Q161" s="43">
        <v>0.64929999999999999</v>
      </c>
      <c r="R161" s="34">
        <v>2784837</v>
      </c>
      <c r="S161" s="34">
        <v>1927152</v>
      </c>
      <c r="T161" s="43">
        <v>0.69199999999999995</v>
      </c>
      <c r="U161" s="24">
        <v>1068</v>
      </c>
      <c r="V161" s="21">
        <v>242182.000695</v>
      </c>
      <c r="W161" s="20">
        <f t="shared" si="8"/>
        <v>228578.00060600002</v>
      </c>
      <c r="X161" s="40">
        <f t="shared" si="9"/>
        <v>0.94382736929268074</v>
      </c>
      <c r="Y161" s="12">
        <v>863</v>
      </c>
      <c r="Z161" s="12">
        <v>199968.00070100001</v>
      </c>
      <c r="AA161" s="13">
        <f>Z161/V161</f>
        <v>0.82569307432898953</v>
      </c>
      <c r="AB161" s="4">
        <v>105</v>
      </c>
      <c r="AC161" s="4">
        <v>22745.999876000002</v>
      </c>
      <c r="AD161" s="17">
        <f>AC161/V161</f>
        <v>9.3921099878293335E-2</v>
      </c>
      <c r="AE161" s="9">
        <v>26</v>
      </c>
      <c r="AF161" s="9">
        <v>5864.0000289999998</v>
      </c>
      <c r="AG161" s="18">
        <f>AF161/V161</f>
        <v>2.421319508539788E-2</v>
      </c>
    </row>
    <row r="162" spans="1:33" ht="14" x14ac:dyDescent="0.2">
      <c r="A162" s="1" t="s">
        <v>352</v>
      </c>
      <c r="B162" s="1" t="s">
        <v>353</v>
      </c>
      <c r="C162" s="34">
        <v>3479525</v>
      </c>
      <c r="D162" s="34">
        <v>2245501</v>
      </c>
      <c r="E162" s="37">
        <v>0.64529999999999998</v>
      </c>
      <c r="F162" s="34">
        <v>3496513</v>
      </c>
      <c r="G162" s="34">
        <v>2146178</v>
      </c>
      <c r="H162" s="37">
        <v>0.61380000000000001</v>
      </c>
      <c r="I162" s="34">
        <v>4538207</v>
      </c>
      <c r="J162" s="34">
        <v>2942197</v>
      </c>
      <c r="K162" s="37">
        <v>0.64829999999999999</v>
      </c>
      <c r="L162" s="34">
        <v>3248337</v>
      </c>
      <c r="M162" s="34">
        <v>1872388</v>
      </c>
      <c r="N162" s="43">
        <v>0.57640000000000002</v>
      </c>
      <c r="O162" s="34">
        <v>3168261</v>
      </c>
      <c r="P162" s="34">
        <v>1853487</v>
      </c>
      <c r="Q162" s="43">
        <v>0.58499999999999996</v>
      </c>
      <c r="R162" s="34">
        <v>2288444</v>
      </c>
      <c r="S162" s="34">
        <v>1446989</v>
      </c>
      <c r="T162" s="43">
        <v>0.63229999999999997</v>
      </c>
      <c r="U162" s="24">
        <v>739</v>
      </c>
      <c r="V162" s="21">
        <v>197451.00042299999</v>
      </c>
      <c r="W162" s="20">
        <f t="shared" ref="W162:W198" si="10">Z162+AC162+AF162</f>
        <v>114437.00006600001</v>
      </c>
      <c r="X162" s="40">
        <f t="shared" ref="X162:X193" si="11">W162/V162</f>
        <v>0.57957163965156522</v>
      </c>
      <c r="Y162" s="12">
        <v>336</v>
      </c>
      <c r="Z162" s="12">
        <v>93268.000207000005</v>
      </c>
      <c r="AA162" s="13">
        <f>Z162/V162</f>
        <v>0.47236023118237758</v>
      </c>
      <c r="AB162" s="4">
        <v>64</v>
      </c>
      <c r="AC162" s="4">
        <v>19051.999865999998</v>
      </c>
      <c r="AD162" s="17">
        <f>AC162/V162</f>
        <v>9.6489761131545698E-2</v>
      </c>
      <c r="AE162" s="9">
        <v>10</v>
      </c>
      <c r="AF162" s="9">
        <v>2116.9999929999999</v>
      </c>
      <c r="AG162" s="18">
        <f>AF162/V162</f>
        <v>1.0721647337641962E-2</v>
      </c>
    </row>
    <row r="163" spans="1:33" ht="14" x14ac:dyDescent="0.2">
      <c r="A163" s="1" t="s">
        <v>354</v>
      </c>
      <c r="B163" s="1" t="s">
        <v>355</v>
      </c>
      <c r="C163" s="34">
        <v>3527532</v>
      </c>
      <c r="D163" s="34">
        <v>1971022</v>
      </c>
      <c r="E163" s="37">
        <v>0.55879999999999996</v>
      </c>
      <c r="F163" s="34">
        <v>3433386</v>
      </c>
      <c r="G163" s="34">
        <v>1887597</v>
      </c>
      <c r="H163" s="37">
        <v>0.54979999999999996</v>
      </c>
      <c r="I163" s="34">
        <v>4086249</v>
      </c>
      <c r="J163" s="34">
        <v>2348367</v>
      </c>
      <c r="K163" s="37">
        <v>0.57469999999999999</v>
      </c>
      <c r="L163" s="34">
        <v>3306191</v>
      </c>
      <c r="M163" s="34">
        <v>1640936</v>
      </c>
      <c r="N163" s="43">
        <v>0.49630000000000002</v>
      </c>
      <c r="O163" s="34">
        <v>2838628</v>
      </c>
      <c r="P163" s="34">
        <v>1396457</v>
      </c>
      <c r="Q163" s="43">
        <v>0.4919</v>
      </c>
      <c r="R163" s="34">
        <v>2208727</v>
      </c>
      <c r="S163" s="34">
        <v>1159831</v>
      </c>
      <c r="T163" s="43">
        <v>0.52510000000000001</v>
      </c>
      <c r="U163" s="24">
        <v>735</v>
      </c>
      <c r="V163" s="21">
        <v>211942.000723</v>
      </c>
      <c r="W163" s="20">
        <f t="shared" si="10"/>
        <v>97820.000285000002</v>
      </c>
      <c r="X163" s="40">
        <f t="shared" si="11"/>
        <v>0.4615413648606958</v>
      </c>
      <c r="Y163" s="12">
        <v>281</v>
      </c>
      <c r="Z163" s="12">
        <v>81155.000195000001</v>
      </c>
      <c r="AA163" s="13">
        <f>Z163/V163</f>
        <v>0.38291136215641586</v>
      </c>
      <c r="AB163" s="4">
        <v>58</v>
      </c>
      <c r="AC163" s="4">
        <v>15513.000103</v>
      </c>
      <c r="AD163" s="17">
        <f>AC163/V163</f>
        <v>7.3194553463118858E-2</v>
      </c>
      <c r="AE163" s="9">
        <v>8</v>
      </c>
      <c r="AF163" s="9">
        <v>1151.9999869999999</v>
      </c>
      <c r="AG163" s="18">
        <f>AF163/V163</f>
        <v>5.4354492411611199E-3</v>
      </c>
    </row>
    <row r="164" spans="1:33" ht="14" x14ac:dyDescent="0.2">
      <c r="A164" s="1" t="s">
        <v>356</v>
      </c>
      <c r="B164" s="1" t="s">
        <v>357</v>
      </c>
      <c r="C164" s="34">
        <v>4030190</v>
      </c>
      <c r="D164" s="34">
        <v>2542426</v>
      </c>
      <c r="E164" s="37">
        <v>0.63080000000000003</v>
      </c>
      <c r="F164" s="34">
        <v>3781205</v>
      </c>
      <c r="G164" s="34">
        <v>2266512</v>
      </c>
      <c r="H164" s="37">
        <v>0.59940000000000004</v>
      </c>
      <c r="I164" s="34">
        <v>3957061</v>
      </c>
      <c r="J164" s="34">
        <v>2589292</v>
      </c>
      <c r="K164" s="37">
        <v>0.65429999999999999</v>
      </c>
      <c r="L164" s="34">
        <v>3589677</v>
      </c>
      <c r="M164" s="34">
        <v>2013412</v>
      </c>
      <c r="N164" s="43">
        <v>0.56089999999999995</v>
      </c>
      <c r="O164" s="34">
        <v>3236688</v>
      </c>
      <c r="P164" s="34">
        <v>1849832</v>
      </c>
      <c r="Q164" s="43">
        <v>0.57150000000000001</v>
      </c>
      <c r="R164" s="34">
        <v>2406922</v>
      </c>
      <c r="S164" s="34">
        <v>1484551</v>
      </c>
      <c r="T164" s="43">
        <v>0.61680000000000001</v>
      </c>
      <c r="U164" s="24">
        <v>1054</v>
      </c>
      <c r="V164" s="21">
        <v>247290.00090300001</v>
      </c>
      <c r="W164" s="20">
        <f t="shared" si="10"/>
        <v>140350.000528</v>
      </c>
      <c r="X164" s="40">
        <f t="shared" si="11"/>
        <v>0.5675522666322953</v>
      </c>
      <c r="Y164" s="12">
        <v>508</v>
      </c>
      <c r="Z164" s="12">
        <v>122917.00046</v>
      </c>
      <c r="AA164" s="13">
        <f>Z164/V164</f>
        <v>0.49705608803897589</v>
      </c>
      <c r="AB164" s="4">
        <v>53</v>
      </c>
      <c r="AC164" s="4">
        <v>14722.000040000001</v>
      </c>
      <c r="AD164" s="17">
        <f>AC164/V164</f>
        <v>5.9533341365366144E-2</v>
      </c>
      <c r="AE164" s="9">
        <v>14</v>
      </c>
      <c r="AF164" s="9">
        <v>2711.0000279999999</v>
      </c>
      <c r="AG164" s="18">
        <f>AF164/V164</f>
        <v>1.0962837227953244E-2</v>
      </c>
    </row>
    <row r="165" spans="1:33" ht="14" x14ac:dyDescent="0.2">
      <c r="A165" s="1" t="s">
        <v>358</v>
      </c>
      <c r="B165" s="1" t="s">
        <v>359</v>
      </c>
      <c r="C165" s="34">
        <v>3079309</v>
      </c>
      <c r="D165" s="34">
        <v>1859026</v>
      </c>
      <c r="E165" s="37">
        <v>0.60370000000000001</v>
      </c>
      <c r="F165" s="34">
        <v>3058586</v>
      </c>
      <c r="G165" s="34">
        <v>1804925</v>
      </c>
      <c r="H165" s="37">
        <v>0.59009999999999996</v>
      </c>
      <c r="I165" s="34">
        <v>3019748</v>
      </c>
      <c r="J165" s="34">
        <v>1916586</v>
      </c>
      <c r="K165" s="37">
        <v>0.63470000000000004</v>
      </c>
      <c r="L165" s="34">
        <v>2659737</v>
      </c>
      <c r="M165" s="34">
        <v>1388184</v>
      </c>
      <c r="N165" s="43">
        <v>0.52190000000000003</v>
      </c>
      <c r="O165" s="34">
        <v>2353910</v>
      </c>
      <c r="P165" s="34">
        <v>1259177</v>
      </c>
      <c r="Q165" s="43">
        <v>0.53490000000000004</v>
      </c>
      <c r="R165" s="34">
        <v>1752792</v>
      </c>
      <c r="S165" s="34">
        <v>1034089</v>
      </c>
      <c r="T165" s="43">
        <v>0.59</v>
      </c>
      <c r="U165" s="24">
        <v>965</v>
      </c>
      <c r="V165" s="21">
        <v>206715.000486</v>
      </c>
      <c r="W165" s="20">
        <f t="shared" si="10"/>
        <v>104797.00002699999</v>
      </c>
      <c r="X165" s="40">
        <f t="shared" si="11"/>
        <v>0.50696369291350718</v>
      </c>
      <c r="Y165" s="12">
        <v>405</v>
      </c>
      <c r="Z165" s="12">
        <v>87699.000203999996</v>
      </c>
      <c r="AA165" s="13">
        <f>Z165/V165</f>
        <v>0.4242507800489278</v>
      </c>
      <c r="AB165" s="4">
        <v>69</v>
      </c>
      <c r="AC165" s="4">
        <v>15646.999877</v>
      </c>
      <c r="AD165" s="17">
        <f>AC165/V165</f>
        <v>7.5693587016969821E-2</v>
      </c>
      <c r="AE165" s="9">
        <v>10</v>
      </c>
      <c r="AF165" s="9">
        <v>1450.9999459999999</v>
      </c>
      <c r="AG165" s="18">
        <f>AF165/V165</f>
        <v>7.0193258476095467E-3</v>
      </c>
    </row>
    <row r="166" spans="1:33" ht="14" x14ac:dyDescent="0.2">
      <c r="A166" s="1" t="s">
        <v>360</v>
      </c>
      <c r="B166" s="1" t="s">
        <v>361</v>
      </c>
      <c r="C166" s="34">
        <v>5248204</v>
      </c>
      <c r="D166" s="34">
        <v>4107297</v>
      </c>
      <c r="E166" s="37">
        <v>0.78259999999999996</v>
      </c>
      <c r="F166" s="34">
        <v>5273483</v>
      </c>
      <c r="G166" s="34">
        <v>3940276</v>
      </c>
      <c r="H166" s="37">
        <v>0.74719999999999998</v>
      </c>
      <c r="I166" s="34">
        <v>5358192</v>
      </c>
      <c r="J166" s="34">
        <v>4087270</v>
      </c>
      <c r="K166" s="37">
        <v>0.76280000000000003</v>
      </c>
      <c r="L166" s="34">
        <v>4524013</v>
      </c>
      <c r="M166" s="34">
        <v>3214157</v>
      </c>
      <c r="N166" s="43">
        <v>0.71050000000000002</v>
      </c>
      <c r="O166" s="34">
        <v>4383329</v>
      </c>
      <c r="P166" s="34">
        <v>3284917</v>
      </c>
      <c r="Q166" s="43">
        <v>0.74939999999999996</v>
      </c>
      <c r="R166" s="34">
        <v>3143593</v>
      </c>
      <c r="S166" s="34">
        <v>2498162</v>
      </c>
      <c r="T166" s="43">
        <v>0.79469999999999996</v>
      </c>
      <c r="U166" s="24">
        <v>1249</v>
      </c>
      <c r="V166" s="21">
        <v>292440.00149</v>
      </c>
      <c r="W166" s="20">
        <f t="shared" si="10"/>
        <v>273674.00144100003</v>
      </c>
      <c r="X166" s="40">
        <f t="shared" si="11"/>
        <v>0.93582957203738881</v>
      </c>
      <c r="Y166" s="12">
        <v>1058</v>
      </c>
      <c r="Z166" s="12">
        <v>245699.00135100001</v>
      </c>
      <c r="AA166" s="13">
        <f>Z166/V166</f>
        <v>0.84016892387890962</v>
      </c>
      <c r="AB166" s="4">
        <v>98</v>
      </c>
      <c r="AC166" s="4">
        <v>25989.000113999999</v>
      </c>
      <c r="AD166" s="17">
        <f>AC166/V166</f>
        <v>8.8869511631734469E-2</v>
      </c>
      <c r="AE166" s="9">
        <v>9</v>
      </c>
      <c r="AF166" s="9">
        <v>1985.9999760000001</v>
      </c>
      <c r="AG166" s="18">
        <f>AF166/V166</f>
        <v>6.7911365267446545E-3</v>
      </c>
    </row>
    <row r="167" spans="1:33" ht="14" x14ac:dyDescent="0.2">
      <c r="A167" s="1" t="s">
        <v>362</v>
      </c>
      <c r="B167" s="1" t="s">
        <v>363</v>
      </c>
      <c r="C167" s="34">
        <v>2969149</v>
      </c>
      <c r="D167" s="34">
        <v>1735327</v>
      </c>
      <c r="E167" s="37">
        <v>0.58450000000000002</v>
      </c>
      <c r="F167" s="34">
        <v>2985096</v>
      </c>
      <c r="G167" s="34">
        <v>1700553</v>
      </c>
      <c r="H167" s="37">
        <v>0.56969999999999998</v>
      </c>
      <c r="I167" s="34">
        <v>3133178</v>
      </c>
      <c r="J167" s="34">
        <v>1823692</v>
      </c>
      <c r="K167" s="37">
        <v>0.58209999999999995</v>
      </c>
      <c r="L167" s="34">
        <v>2774869</v>
      </c>
      <c r="M167" s="34">
        <v>1349229</v>
      </c>
      <c r="N167" s="43">
        <v>0.48620000000000002</v>
      </c>
      <c r="O167" s="34">
        <v>2456404</v>
      </c>
      <c r="P167" s="34">
        <v>1178151</v>
      </c>
      <c r="Q167" s="43">
        <v>0.47960000000000003</v>
      </c>
      <c r="R167" s="34">
        <v>1635947</v>
      </c>
      <c r="S167" s="34">
        <v>862382</v>
      </c>
      <c r="T167" s="43">
        <v>0.52710000000000001</v>
      </c>
      <c r="U167" s="24">
        <v>1022</v>
      </c>
      <c r="V167" s="21">
        <v>233427.000715</v>
      </c>
      <c r="W167" s="20">
        <f t="shared" si="10"/>
        <v>124750.000397</v>
      </c>
      <c r="X167" s="40">
        <f t="shared" si="11"/>
        <v>0.53442832240864913</v>
      </c>
      <c r="Y167" s="12">
        <v>446</v>
      </c>
      <c r="Z167" s="12">
        <v>103942.000375</v>
      </c>
      <c r="AA167" s="13">
        <f>Z167/V167</f>
        <v>0.44528696361868947</v>
      </c>
      <c r="AB167" s="4">
        <v>72</v>
      </c>
      <c r="AC167" s="4">
        <v>18501.000016999998</v>
      </c>
      <c r="AD167" s="17">
        <f>AC167/V167</f>
        <v>7.9258183330678952E-2</v>
      </c>
      <c r="AE167" s="9">
        <v>7</v>
      </c>
      <c r="AF167" s="9">
        <v>2307.0000049999999</v>
      </c>
      <c r="AG167" s="18">
        <f>AF167/V167</f>
        <v>9.8831754592807568E-3</v>
      </c>
    </row>
    <row r="168" spans="1:33" ht="14" x14ac:dyDescent="0.2">
      <c r="A168" s="1" t="s">
        <v>364</v>
      </c>
      <c r="B168" s="1" t="s">
        <v>365</v>
      </c>
      <c r="C168" s="34">
        <v>2765121</v>
      </c>
      <c r="D168" s="34">
        <v>1732901</v>
      </c>
      <c r="E168" s="37">
        <v>0.62670000000000003</v>
      </c>
      <c r="F168" s="34">
        <v>2698108</v>
      </c>
      <c r="G168" s="34">
        <v>1654628</v>
      </c>
      <c r="H168" s="37">
        <v>0.61329999999999996</v>
      </c>
      <c r="I168" s="34">
        <v>2891562</v>
      </c>
      <c r="J168" s="34">
        <v>1763950</v>
      </c>
      <c r="K168" s="37">
        <v>0.61</v>
      </c>
      <c r="L168" s="34">
        <v>2715754</v>
      </c>
      <c r="M168" s="34">
        <v>1418516</v>
      </c>
      <c r="N168" s="43">
        <v>0.52229999999999999</v>
      </c>
      <c r="O168" s="34">
        <v>2307624</v>
      </c>
      <c r="P168" s="34">
        <v>1255496</v>
      </c>
      <c r="Q168" s="43">
        <v>0.54410000000000003</v>
      </c>
      <c r="R168" s="34">
        <v>1651224</v>
      </c>
      <c r="S168" s="34">
        <v>968211</v>
      </c>
      <c r="T168" s="43">
        <v>0.58640000000000003</v>
      </c>
      <c r="U168" s="24">
        <v>840</v>
      </c>
      <c r="V168" s="21">
        <v>205890.00035399999</v>
      </c>
      <c r="W168" s="20">
        <f t="shared" si="10"/>
        <v>109441.999889</v>
      </c>
      <c r="X168" s="40">
        <f t="shared" si="11"/>
        <v>0.53155568362149352</v>
      </c>
      <c r="Y168" s="12">
        <v>381</v>
      </c>
      <c r="Z168" s="12">
        <v>93965.999981000001</v>
      </c>
      <c r="AA168" s="13">
        <f>Z168/V168</f>
        <v>0.45638933323346537</v>
      </c>
      <c r="AB168" s="4">
        <v>53</v>
      </c>
      <c r="AC168" s="4">
        <v>14760.999892</v>
      </c>
      <c r="AD168" s="17">
        <f>AC168/V168</f>
        <v>7.169362216047627E-2</v>
      </c>
      <c r="AE168" s="9">
        <v>5</v>
      </c>
      <c r="AF168" s="9">
        <v>715.00001599999996</v>
      </c>
      <c r="AG168" s="18">
        <f>AF168/V168</f>
        <v>3.4727282275518684E-3</v>
      </c>
    </row>
    <row r="169" spans="1:33" ht="14" x14ac:dyDescent="0.2">
      <c r="A169" s="1" t="s">
        <v>366</v>
      </c>
      <c r="B169" s="1" t="s">
        <v>367</v>
      </c>
      <c r="C169" s="34">
        <v>6393218</v>
      </c>
      <c r="D169" s="34">
        <v>4174929</v>
      </c>
      <c r="E169" s="37">
        <v>0.65300000000000002</v>
      </c>
      <c r="F169" s="34">
        <v>5724308</v>
      </c>
      <c r="G169" s="34">
        <v>3559052</v>
      </c>
      <c r="H169" s="37">
        <v>0.62170000000000003</v>
      </c>
      <c r="I169" s="34">
        <v>5580565</v>
      </c>
      <c r="J169" s="34">
        <v>3859183</v>
      </c>
      <c r="K169" s="37">
        <v>0.6915</v>
      </c>
      <c r="L169" s="34">
        <v>5696401</v>
      </c>
      <c r="M169" s="34">
        <v>3403869</v>
      </c>
      <c r="N169" s="43">
        <v>0.59750000000000003</v>
      </c>
      <c r="O169" s="34">
        <v>5196533</v>
      </c>
      <c r="P169" s="34">
        <v>3163699</v>
      </c>
      <c r="Q169" s="43">
        <v>0.60880000000000001</v>
      </c>
      <c r="R169" s="34">
        <v>3457528</v>
      </c>
      <c r="S169" s="34">
        <v>2228237</v>
      </c>
      <c r="T169" s="43">
        <v>0.64449999999999996</v>
      </c>
      <c r="U169" s="24">
        <v>1484</v>
      </c>
      <c r="V169" s="21">
        <v>355043.000955</v>
      </c>
      <c r="W169" s="20">
        <f t="shared" si="10"/>
        <v>249171.00083500001</v>
      </c>
      <c r="X169" s="40">
        <f t="shared" si="11"/>
        <v>0.70180513392680921</v>
      </c>
      <c r="Y169" s="12">
        <v>968</v>
      </c>
      <c r="Z169" s="12">
        <v>215308.00075100001</v>
      </c>
      <c r="AA169" s="13">
        <f>Z169/V169</f>
        <v>0.60642795428120344</v>
      </c>
      <c r="AB169" s="4">
        <v>122</v>
      </c>
      <c r="AC169" s="4">
        <v>31008.000123000002</v>
      </c>
      <c r="AD169" s="17">
        <f>AC169/V169</f>
        <v>8.7335900270091846E-2</v>
      </c>
      <c r="AE169" s="9">
        <v>14</v>
      </c>
      <c r="AF169" s="9">
        <v>2854.999961</v>
      </c>
      <c r="AG169" s="18">
        <f>AF169/V169</f>
        <v>8.041279375513891E-3</v>
      </c>
    </row>
    <row r="170" spans="1:33" ht="14" x14ac:dyDescent="0.2">
      <c r="A170" s="1" t="s">
        <v>368</v>
      </c>
      <c r="B170" s="1" t="s">
        <v>369</v>
      </c>
      <c r="C170" s="34">
        <v>4826331</v>
      </c>
      <c r="D170" s="34">
        <v>3353645</v>
      </c>
      <c r="E170" s="37">
        <v>0.69489999999999996</v>
      </c>
      <c r="F170" s="34">
        <v>4408421</v>
      </c>
      <c r="G170" s="34">
        <v>2889514</v>
      </c>
      <c r="H170" s="37">
        <v>0.65549999999999997</v>
      </c>
      <c r="I170" s="34">
        <v>4331298</v>
      </c>
      <c r="J170" s="34">
        <v>2655979</v>
      </c>
      <c r="K170" s="37">
        <v>0.61319999999999997</v>
      </c>
      <c r="L170" s="34">
        <v>4694728</v>
      </c>
      <c r="M170" s="34">
        <v>2652721</v>
      </c>
      <c r="N170" s="43">
        <v>0.56499999999999995</v>
      </c>
      <c r="O170" s="34">
        <v>4071017</v>
      </c>
      <c r="P170" s="34">
        <v>2479506</v>
      </c>
      <c r="Q170" s="43">
        <v>0.60909999999999997</v>
      </c>
      <c r="R170" s="34">
        <v>2471914</v>
      </c>
      <c r="S170" s="34">
        <v>1632545</v>
      </c>
      <c r="T170" s="43">
        <v>0.66039999999999999</v>
      </c>
      <c r="U170" s="24">
        <v>786</v>
      </c>
      <c r="V170" s="21">
        <v>208132.000214</v>
      </c>
      <c r="W170" s="20">
        <f t="shared" si="10"/>
        <v>192557.00029500003</v>
      </c>
      <c r="X170" s="40">
        <f t="shared" si="11"/>
        <v>0.92516768251404946</v>
      </c>
      <c r="Y170" s="12">
        <v>671</v>
      </c>
      <c r="Z170" s="12">
        <v>172289.00027300001</v>
      </c>
      <c r="AA170" s="13">
        <f>Z170/V170</f>
        <v>0.82778717398503621</v>
      </c>
      <c r="AB170" s="4">
        <v>63</v>
      </c>
      <c r="AC170" s="4">
        <v>19111.000005000002</v>
      </c>
      <c r="AD170" s="17">
        <f>AC170/V170</f>
        <v>9.1821536262324838E-2</v>
      </c>
      <c r="AE170" s="9">
        <v>8</v>
      </c>
      <c r="AF170" s="9">
        <v>1157.0000170000001</v>
      </c>
      <c r="AG170" s="18">
        <f>AF170/V170</f>
        <v>5.5589722666883517E-3</v>
      </c>
    </row>
    <row r="171" spans="1:33" ht="14" x14ac:dyDescent="0.2">
      <c r="A171" s="1" t="s">
        <v>370</v>
      </c>
      <c r="B171" s="1" t="s">
        <v>371</v>
      </c>
      <c r="C171" s="34">
        <v>4484637</v>
      </c>
      <c r="D171" s="34">
        <v>3089187</v>
      </c>
      <c r="E171" s="37">
        <v>0.68879999999999997</v>
      </c>
      <c r="F171" s="34">
        <v>4322668</v>
      </c>
      <c r="G171" s="34">
        <v>2931847</v>
      </c>
      <c r="H171" s="37">
        <v>0.67820000000000003</v>
      </c>
      <c r="I171" s="34">
        <v>4549780</v>
      </c>
      <c r="J171" s="34">
        <v>3268390</v>
      </c>
      <c r="K171" s="37">
        <v>0.71840000000000004</v>
      </c>
      <c r="L171" s="34">
        <v>3856024</v>
      </c>
      <c r="M171" s="34">
        <v>2574613</v>
      </c>
      <c r="N171" s="43">
        <v>0.66769999999999996</v>
      </c>
      <c r="O171" s="34">
        <v>3444531</v>
      </c>
      <c r="P171" s="34">
        <v>2512280</v>
      </c>
      <c r="Q171" s="43">
        <v>0.72940000000000005</v>
      </c>
      <c r="R171" s="34">
        <v>2407562</v>
      </c>
      <c r="S171" s="34">
        <v>1808717</v>
      </c>
      <c r="T171" s="43">
        <v>0.75129999999999997</v>
      </c>
      <c r="U171" s="24">
        <v>1260</v>
      </c>
      <c r="V171" s="21">
        <v>309742.001062</v>
      </c>
      <c r="W171" s="20">
        <f t="shared" si="10"/>
        <v>280004.00103799999</v>
      </c>
      <c r="X171" s="40">
        <f t="shared" si="11"/>
        <v>0.90399106378199112</v>
      </c>
      <c r="Y171" s="12">
        <v>1036</v>
      </c>
      <c r="Z171" s="12">
        <v>243998.00088800001</v>
      </c>
      <c r="AA171" s="13">
        <f>Z171/V171</f>
        <v>0.78774593065006948</v>
      </c>
      <c r="AB171" s="4">
        <v>99</v>
      </c>
      <c r="AC171" s="4">
        <v>30477.000144000001</v>
      </c>
      <c r="AD171" s="17">
        <f>AC171/V171</f>
        <v>9.839479321339932E-2</v>
      </c>
      <c r="AE171" s="9">
        <v>23</v>
      </c>
      <c r="AF171" s="9">
        <v>5529.0000060000002</v>
      </c>
      <c r="AG171" s="18">
        <f>AF171/V171</f>
        <v>1.7850339918522317E-2</v>
      </c>
    </row>
    <row r="172" spans="1:33" ht="14" x14ac:dyDescent="0.2">
      <c r="A172" s="1" t="s">
        <v>372</v>
      </c>
      <c r="B172" s="1" t="s">
        <v>373</v>
      </c>
      <c r="C172" s="34">
        <v>5098526</v>
      </c>
      <c r="D172" s="34">
        <v>3005680</v>
      </c>
      <c r="E172" s="37">
        <v>0.58950000000000002</v>
      </c>
      <c r="F172" s="34">
        <v>4927401</v>
      </c>
      <c r="G172" s="34">
        <v>2800310</v>
      </c>
      <c r="H172" s="37">
        <v>0.56830000000000003</v>
      </c>
      <c r="I172" s="34">
        <v>5093618</v>
      </c>
      <c r="J172" s="34">
        <v>3165374</v>
      </c>
      <c r="K172" s="37">
        <v>0.62139999999999995</v>
      </c>
      <c r="L172" s="34">
        <v>4249149</v>
      </c>
      <c r="M172" s="34">
        <v>2172737</v>
      </c>
      <c r="N172" s="43">
        <v>0.51129999999999998</v>
      </c>
      <c r="O172" s="34">
        <v>4010562</v>
      </c>
      <c r="P172" s="34">
        <v>2021118</v>
      </c>
      <c r="Q172" s="43">
        <v>0.50390000000000001</v>
      </c>
      <c r="R172" s="34">
        <v>3015220</v>
      </c>
      <c r="S172" s="34">
        <v>1753419</v>
      </c>
      <c r="T172" s="43">
        <v>0.58150000000000002</v>
      </c>
      <c r="U172" s="24">
        <v>959</v>
      </c>
      <c r="V172" s="21">
        <v>253417.00079300001</v>
      </c>
      <c r="W172" s="20">
        <f t="shared" si="10"/>
        <v>133259.00017099999</v>
      </c>
      <c r="X172" s="40">
        <f t="shared" si="11"/>
        <v>0.52584869899810183</v>
      </c>
      <c r="Y172" s="12">
        <v>406</v>
      </c>
      <c r="Z172" s="12">
        <v>104746.000187</v>
      </c>
      <c r="AA172" s="13">
        <f>Z172/V172</f>
        <v>0.41333454290448429</v>
      </c>
      <c r="AB172" s="4">
        <v>91</v>
      </c>
      <c r="AC172" s="4">
        <v>24405.999948000001</v>
      </c>
      <c r="AD172" s="17">
        <f>AC172/V172</f>
        <v>9.6307666303476161E-2</v>
      </c>
      <c r="AE172" s="9">
        <v>12</v>
      </c>
      <c r="AF172" s="9">
        <v>4107.0000360000004</v>
      </c>
      <c r="AG172" s="18">
        <f>AF172/V172</f>
        <v>1.6206489790141363E-2</v>
      </c>
    </row>
    <row r="173" spans="1:33" ht="14" x14ac:dyDescent="0.2">
      <c r="A173" s="1" t="s">
        <v>374</v>
      </c>
      <c r="B173" s="1" t="s">
        <v>375</v>
      </c>
      <c r="C173" s="34">
        <v>3645200</v>
      </c>
      <c r="D173" s="34">
        <v>2342468</v>
      </c>
      <c r="E173" s="37">
        <v>0.64259999999999995</v>
      </c>
      <c r="F173" s="34">
        <v>3665191</v>
      </c>
      <c r="G173" s="34">
        <v>2203959</v>
      </c>
      <c r="H173" s="37">
        <v>0.60129999999999995</v>
      </c>
      <c r="I173" s="34">
        <v>3712447</v>
      </c>
      <c r="J173" s="34">
        <v>2234389</v>
      </c>
      <c r="K173" s="37">
        <v>0.60189999999999999</v>
      </c>
      <c r="L173" s="34">
        <v>3449036</v>
      </c>
      <c r="M173" s="34">
        <v>1847202</v>
      </c>
      <c r="N173" s="43">
        <v>0.53559999999999997</v>
      </c>
      <c r="O173" s="34">
        <v>3207841</v>
      </c>
      <c r="P173" s="34">
        <v>1669623</v>
      </c>
      <c r="Q173" s="43">
        <v>0.52049999999999996</v>
      </c>
      <c r="R173" s="34">
        <v>2087298</v>
      </c>
      <c r="S173" s="34">
        <v>1188694</v>
      </c>
      <c r="T173" s="43">
        <v>0.56950000000000001</v>
      </c>
      <c r="U173" s="24">
        <v>1001</v>
      </c>
      <c r="V173" s="21">
        <v>232463.00058600001</v>
      </c>
      <c r="W173" s="20">
        <f t="shared" si="10"/>
        <v>137057.00035700001</v>
      </c>
      <c r="X173" s="40">
        <f t="shared" si="11"/>
        <v>0.58958629980471056</v>
      </c>
      <c r="Y173" s="12">
        <v>493</v>
      </c>
      <c r="Z173" s="12">
        <v>118815.000265</v>
      </c>
      <c r="AA173" s="13">
        <f>Z173/V173</f>
        <v>0.51111359642389298</v>
      </c>
      <c r="AB173" s="4">
        <v>62</v>
      </c>
      <c r="AC173" s="4">
        <v>14893.000040999999</v>
      </c>
      <c r="AD173" s="17">
        <f>AC173/V173</f>
        <v>6.4066109460246393E-2</v>
      </c>
      <c r="AE173" s="9">
        <v>23</v>
      </c>
      <c r="AF173" s="9">
        <v>3349.000051</v>
      </c>
      <c r="AG173" s="18">
        <f>AF173/V173</f>
        <v>1.440659392057117E-2</v>
      </c>
    </row>
    <row r="174" spans="1:33" ht="14" x14ac:dyDescent="0.2">
      <c r="A174" s="1" t="s">
        <v>376</v>
      </c>
      <c r="B174" s="1" t="s">
        <v>377</v>
      </c>
      <c r="C174" s="34">
        <v>3323587</v>
      </c>
      <c r="D174" s="34">
        <v>2103462</v>
      </c>
      <c r="E174" s="37">
        <v>0.63290000000000002</v>
      </c>
      <c r="F174" s="34">
        <v>3131681</v>
      </c>
      <c r="G174" s="34">
        <v>1907972</v>
      </c>
      <c r="H174" s="37">
        <v>0.60919999999999996</v>
      </c>
      <c r="I174" s="34">
        <v>3167468</v>
      </c>
      <c r="J174" s="34">
        <v>1933098</v>
      </c>
      <c r="K174" s="37">
        <v>0.61029999999999995</v>
      </c>
      <c r="L174" s="34">
        <v>3198079</v>
      </c>
      <c r="M174" s="34">
        <v>1664449</v>
      </c>
      <c r="N174" s="43">
        <v>0.52049999999999996</v>
      </c>
      <c r="O174" s="34">
        <v>2910593</v>
      </c>
      <c r="P174" s="34">
        <v>1525166</v>
      </c>
      <c r="Q174" s="43">
        <v>0.52400000000000002</v>
      </c>
      <c r="R174" s="34">
        <v>2077831</v>
      </c>
      <c r="S174" s="34">
        <v>1158032</v>
      </c>
      <c r="T174" s="43">
        <v>0.55730000000000002</v>
      </c>
      <c r="U174" s="24">
        <v>1048</v>
      </c>
      <c r="V174" s="21">
        <v>223505.00057900001</v>
      </c>
      <c r="W174" s="20">
        <f t="shared" si="10"/>
        <v>121131.999901</v>
      </c>
      <c r="X174" s="40">
        <f t="shared" si="11"/>
        <v>0.54196550228049467</v>
      </c>
      <c r="Y174" s="12">
        <v>433</v>
      </c>
      <c r="Z174" s="12">
        <v>102551.999859</v>
      </c>
      <c r="AA174" s="13">
        <f>Z174/V174</f>
        <v>0.45883537099095911</v>
      </c>
      <c r="AB174" s="4">
        <v>73</v>
      </c>
      <c r="AC174" s="4">
        <v>17129.000042</v>
      </c>
      <c r="AD174" s="17">
        <f>AC174/V174</f>
        <v>7.6638106519435964E-2</v>
      </c>
      <c r="AE174" s="9">
        <v>10</v>
      </c>
      <c r="AF174" s="9">
        <v>1451</v>
      </c>
      <c r="AG174" s="18">
        <f>AF174/V174</f>
        <v>6.4920247700996289E-3</v>
      </c>
    </row>
    <row r="175" spans="1:33" ht="14" x14ac:dyDescent="0.2">
      <c r="A175" s="1" t="s">
        <v>378</v>
      </c>
      <c r="B175" s="1" t="s">
        <v>379</v>
      </c>
      <c r="C175" s="34">
        <v>4085026</v>
      </c>
      <c r="D175" s="34">
        <v>2581228</v>
      </c>
      <c r="E175" s="37">
        <v>0.63190000000000002</v>
      </c>
      <c r="F175" s="34">
        <v>3935003</v>
      </c>
      <c r="G175" s="34">
        <v>2299867</v>
      </c>
      <c r="H175" s="37">
        <v>0.58450000000000002</v>
      </c>
      <c r="I175" s="34">
        <v>4406408</v>
      </c>
      <c r="J175" s="34">
        <v>2725342</v>
      </c>
      <c r="K175" s="37">
        <v>0.61850000000000005</v>
      </c>
      <c r="L175" s="34">
        <v>3719975</v>
      </c>
      <c r="M175" s="34">
        <v>2176054</v>
      </c>
      <c r="N175" s="43">
        <v>0.58499999999999996</v>
      </c>
      <c r="O175" s="34">
        <v>3633056</v>
      </c>
      <c r="P175" s="34">
        <v>2045958</v>
      </c>
      <c r="Q175" s="43">
        <v>0.56320000000000003</v>
      </c>
      <c r="R175" s="34">
        <v>2497704</v>
      </c>
      <c r="S175" s="34">
        <v>1524482</v>
      </c>
      <c r="T175" s="43">
        <v>0.61040000000000005</v>
      </c>
      <c r="U175" s="24">
        <v>732</v>
      </c>
      <c r="V175" s="21">
        <v>183319.00068299999</v>
      </c>
      <c r="W175" s="20">
        <f t="shared" si="10"/>
        <v>103587.00062999999</v>
      </c>
      <c r="X175" s="40">
        <f t="shared" si="11"/>
        <v>0.56506417907615236</v>
      </c>
      <c r="Y175" s="12">
        <v>369</v>
      </c>
      <c r="Z175" s="12">
        <v>87408.000558999993</v>
      </c>
      <c r="AA175" s="13">
        <f>Z175/V175</f>
        <v>0.47680818809474196</v>
      </c>
      <c r="AB175" s="4">
        <v>44</v>
      </c>
      <c r="AC175" s="4">
        <v>13124.000102</v>
      </c>
      <c r="AD175" s="17">
        <f>AC175/V175</f>
        <v>7.1591051953716262E-2</v>
      </c>
      <c r="AE175" s="9">
        <v>24</v>
      </c>
      <c r="AF175" s="9">
        <v>3054.999969</v>
      </c>
      <c r="AG175" s="18">
        <f>AF175/V175</f>
        <v>1.6664939027694056E-2</v>
      </c>
    </row>
    <row r="176" spans="1:33" ht="14" x14ac:dyDescent="0.2">
      <c r="A176" s="1" t="s">
        <v>380</v>
      </c>
      <c r="B176" s="1" t="s">
        <v>381</v>
      </c>
      <c r="C176" s="34">
        <v>3318078</v>
      </c>
      <c r="D176" s="34">
        <v>1982965</v>
      </c>
      <c r="E176" s="37">
        <v>0.59760000000000002</v>
      </c>
      <c r="F176" s="34">
        <v>3038256</v>
      </c>
      <c r="G176" s="34">
        <v>1676700</v>
      </c>
      <c r="H176" s="37">
        <v>0.55189999999999995</v>
      </c>
      <c r="I176" s="34">
        <v>3020763</v>
      </c>
      <c r="J176" s="34">
        <v>1728489</v>
      </c>
      <c r="K176" s="37">
        <v>0.57220000000000004</v>
      </c>
      <c r="L176" s="34">
        <v>2873169</v>
      </c>
      <c r="M176" s="34">
        <v>1424198</v>
      </c>
      <c r="N176" s="43">
        <v>0.49569999999999997</v>
      </c>
      <c r="O176" s="34">
        <v>2737172</v>
      </c>
      <c r="P176" s="34">
        <v>1363626</v>
      </c>
      <c r="Q176" s="43">
        <v>0.49819999999999998</v>
      </c>
      <c r="R176" s="34">
        <v>1794542</v>
      </c>
      <c r="S176" s="34">
        <v>974040</v>
      </c>
      <c r="T176" s="43">
        <v>0.54279999999999995</v>
      </c>
      <c r="U176" s="24">
        <v>717</v>
      </c>
      <c r="V176" s="21">
        <v>165184.000363</v>
      </c>
      <c r="W176" s="20">
        <f t="shared" si="10"/>
        <v>96226.000287000003</v>
      </c>
      <c r="X176" s="40">
        <f t="shared" si="11"/>
        <v>0.58253826082149973</v>
      </c>
      <c r="Y176" s="12">
        <v>364</v>
      </c>
      <c r="Z176" s="12">
        <v>86039.000245000003</v>
      </c>
      <c r="AA176" s="13">
        <f>Z176/V176</f>
        <v>0.5208676388507667</v>
      </c>
      <c r="AB176" s="4">
        <v>45</v>
      </c>
      <c r="AC176" s="4">
        <v>9830.0000099999997</v>
      </c>
      <c r="AD176" s="17">
        <f>AC176/V176</f>
        <v>5.9509395512871037E-2</v>
      </c>
      <c r="AE176" s="9">
        <v>3</v>
      </c>
      <c r="AF176" s="9">
        <v>357.00003199999998</v>
      </c>
      <c r="AG176" s="18">
        <f>AF176/V176</f>
        <v>2.1612264578619888E-3</v>
      </c>
    </row>
    <row r="177" spans="1:33" ht="14" x14ac:dyDescent="0.2">
      <c r="A177" s="1" t="s">
        <v>382</v>
      </c>
      <c r="B177" s="1" t="s">
        <v>383</v>
      </c>
      <c r="C177" s="34">
        <v>3191558</v>
      </c>
      <c r="D177" s="34">
        <v>2113918</v>
      </c>
      <c r="E177" s="37">
        <v>0.6623</v>
      </c>
      <c r="F177" s="34">
        <v>3020055</v>
      </c>
      <c r="G177" s="34">
        <v>2065816</v>
      </c>
      <c r="H177" s="37">
        <v>0.68400000000000005</v>
      </c>
      <c r="I177" s="34">
        <v>3548927</v>
      </c>
      <c r="J177" s="34">
        <v>2378792</v>
      </c>
      <c r="K177" s="37">
        <v>0.67030000000000001</v>
      </c>
      <c r="L177" s="34">
        <v>2896011</v>
      </c>
      <c r="M177" s="34">
        <v>1593689</v>
      </c>
      <c r="N177" s="43">
        <v>0.55030000000000001</v>
      </c>
      <c r="O177" s="34">
        <v>2974668</v>
      </c>
      <c r="P177" s="34">
        <v>1566981</v>
      </c>
      <c r="Q177" s="43">
        <v>0.52680000000000005</v>
      </c>
      <c r="R177" s="34">
        <v>2069588</v>
      </c>
      <c r="S177" s="34">
        <v>1182060</v>
      </c>
      <c r="T177" s="43">
        <v>0.57120000000000004</v>
      </c>
      <c r="U177" s="24">
        <v>746</v>
      </c>
      <c r="V177" s="21">
        <v>177094.00074300001</v>
      </c>
      <c r="W177" s="20">
        <f t="shared" si="10"/>
        <v>89117.000264000002</v>
      </c>
      <c r="X177" s="40">
        <f t="shared" si="11"/>
        <v>0.50321862903378178</v>
      </c>
      <c r="Y177" s="12">
        <v>312</v>
      </c>
      <c r="Z177" s="12">
        <v>76406.000306999995</v>
      </c>
      <c r="AA177" s="13">
        <f>Z177/V177</f>
        <v>0.43144318828665962</v>
      </c>
      <c r="AB177" s="4">
        <v>42</v>
      </c>
      <c r="AC177" s="4">
        <v>11019.999965999999</v>
      </c>
      <c r="AD177" s="17">
        <f>AC177/V177</f>
        <v>6.2226839530223815E-2</v>
      </c>
      <c r="AE177" s="9">
        <v>7</v>
      </c>
      <c r="AF177" s="9">
        <v>1690.9999909999999</v>
      </c>
      <c r="AG177" s="18">
        <f>AF177/V177</f>
        <v>9.5486012168983087E-3</v>
      </c>
    </row>
    <row r="178" spans="1:33" ht="14" x14ac:dyDescent="0.2">
      <c r="A178" s="1" t="s">
        <v>384</v>
      </c>
      <c r="B178" s="1" t="s">
        <v>385</v>
      </c>
      <c r="C178" s="34">
        <v>2786672</v>
      </c>
      <c r="D178" s="34">
        <v>2104785</v>
      </c>
      <c r="E178" s="37">
        <v>0.75529999999999997</v>
      </c>
      <c r="F178" s="34">
        <v>2860627</v>
      </c>
      <c r="G178" s="34">
        <v>2141640</v>
      </c>
      <c r="H178" s="37">
        <v>0.74870000000000003</v>
      </c>
      <c r="I178" s="34">
        <v>2835803</v>
      </c>
      <c r="J178" s="34">
        <v>2114047</v>
      </c>
      <c r="K178" s="37">
        <v>0.74550000000000005</v>
      </c>
      <c r="L178" s="34">
        <v>2467584</v>
      </c>
      <c r="M178" s="34">
        <v>1444791</v>
      </c>
      <c r="N178" s="43">
        <v>0.58550000000000002</v>
      </c>
      <c r="O178" s="34">
        <v>2414423</v>
      </c>
      <c r="P178" s="34">
        <v>1351910</v>
      </c>
      <c r="Q178" s="43">
        <v>0.55989999999999995</v>
      </c>
      <c r="R178" s="34">
        <v>1635505</v>
      </c>
      <c r="S178" s="34">
        <v>1037927</v>
      </c>
      <c r="T178" s="43">
        <v>0.63460000000000005</v>
      </c>
      <c r="U178" s="24">
        <v>1360</v>
      </c>
      <c r="V178" s="21">
        <v>328318.00024000002</v>
      </c>
      <c r="W178" s="20">
        <f t="shared" si="10"/>
        <v>190736.99993299998</v>
      </c>
      <c r="X178" s="40">
        <f t="shared" si="11"/>
        <v>0.58095200322118035</v>
      </c>
      <c r="Y178" s="12">
        <v>663</v>
      </c>
      <c r="Z178" s="12">
        <v>160592.00004799999</v>
      </c>
      <c r="AA178" s="13">
        <f>Z178/V178</f>
        <v>0.48913553302166635</v>
      </c>
      <c r="AB178" s="4">
        <v>88</v>
      </c>
      <c r="AC178" s="4">
        <v>24531.999926</v>
      </c>
      <c r="AD178" s="17">
        <f>AC178/V178</f>
        <v>7.4720240462195622E-2</v>
      </c>
      <c r="AE178" s="9">
        <v>25</v>
      </c>
      <c r="AF178" s="9">
        <v>5612.9999589999998</v>
      </c>
      <c r="AG178" s="18">
        <f>AF178/V178</f>
        <v>1.7096229737318405E-2</v>
      </c>
    </row>
    <row r="179" spans="1:33" ht="14" x14ac:dyDescent="0.2">
      <c r="A179" s="1" t="s">
        <v>386</v>
      </c>
      <c r="B179" s="1" t="s">
        <v>387</v>
      </c>
      <c r="C179" s="34">
        <v>3880594</v>
      </c>
      <c r="D179" s="34">
        <v>2661859</v>
      </c>
      <c r="E179" s="37">
        <v>0.68589999999999995</v>
      </c>
      <c r="F179" s="34">
        <v>3644938</v>
      </c>
      <c r="G179" s="34">
        <v>2434370</v>
      </c>
      <c r="H179" s="37">
        <v>0.66790000000000005</v>
      </c>
      <c r="I179" s="34">
        <v>4249625</v>
      </c>
      <c r="J179" s="34">
        <v>2959674</v>
      </c>
      <c r="K179" s="37">
        <v>0.69650000000000001</v>
      </c>
      <c r="L179" s="34">
        <v>3600647</v>
      </c>
      <c r="M179" s="34">
        <v>2008458</v>
      </c>
      <c r="N179" s="43">
        <v>0.55779999999999996</v>
      </c>
      <c r="O179" s="34">
        <v>3557266</v>
      </c>
      <c r="P179" s="34">
        <v>1767921</v>
      </c>
      <c r="Q179" s="43">
        <v>0.497</v>
      </c>
      <c r="R179" s="34">
        <v>2392846</v>
      </c>
      <c r="S179" s="34">
        <v>1334631</v>
      </c>
      <c r="T179" s="43">
        <v>0.55779999999999996</v>
      </c>
      <c r="U179" s="24">
        <v>863</v>
      </c>
      <c r="V179" s="21">
        <v>231886.00085300001</v>
      </c>
      <c r="W179" s="20">
        <f t="shared" si="10"/>
        <v>113895.00030499999</v>
      </c>
      <c r="X179" s="40">
        <f t="shared" si="11"/>
        <v>0.49116807347590463</v>
      </c>
      <c r="Y179" s="12">
        <v>369</v>
      </c>
      <c r="Z179" s="12">
        <v>93380.0003</v>
      </c>
      <c r="AA179" s="13">
        <f>Z179/V179</f>
        <v>0.40269787721767897</v>
      </c>
      <c r="AB179" s="4">
        <v>74</v>
      </c>
      <c r="AC179" s="4">
        <v>17947.000001</v>
      </c>
      <c r="AD179" s="17">
        <f>AC179/V179</f>
        <v>7.7395789029874124E-2</v>
      </c>
      <c r="AE179" s="9">
        <v>7</v>
      </c>
      <c r="AF179" s="9">
        <v>2568.000004</v>
      </c>
      <c r="AG179" s="18">
        <f>AF179/V179</f>
        <v>1.1074407228351563E-2</v>
      </c>
    </row>
    <row r="180" spans="1:33" ht="14" x14ac:dyDescent="0.2">
      <c r="A180" s="1" t="s">
        <v>388</v>
      </c>
      <c r="B180" s="1" t="s">
        <v>389</v>
      </c>
      <c r="C180" s="34">
        <v>4200617</v>
      </c>
      <c r="D180" s="34">
        <v>2852397</v>
      </c>
      <c r="E180" s="37">
        <v>0.67900000000000005</v>
      </c>
      <c r="F180" s="34">
        <v>4145974</v>
      </c>
      <c r="G180" s="34">
        <v>2682721</v>
      </c>
      <c r="H180" s="37">
        <v>0.64710000000000001</v>
      </c>
      <c r="I180" s="34">
        <v>4064041</v>
      </c>
      <c r="J180" s="34">
        <v>2746693</v>
      </c>
      <c r="K180" s="37">
        <v>0.67589999999999995</v>
      </c>
      <c r="L180" s="34">
        <v>3696422</v>
      </c>
      <c r="M180" s="34">
        <v>2225518</v>
      </c>
      <c r="N180" s="43">
        <v>0.60209999999999997</v>
      </c>
      <c r="O180" s="34">
        <v>3404715</v>
      </c>
      <c r="P180" s="34">
        <v>2196324</v>
      </c>
      <c r="Q180" s="43">
        <v>0.64510000000000001</v>
      </c>
      <c r="R180" s="34">
        <v>2332546</v>
      </c>
      <c r="S180" s="34">
        <v>1557629</v>
      </c>
      <c r="T180" s="43">
        <v>0.66779999999999995</v>
      </c>
      <c r="U180" s="24">
        <v>748</v>
      </c>
      <c r="V180" s="21">
        <v>196964.000337</v>
      </c>
      <c r="W180" s="20">
        <f t="shared" si="10"/>
        <v>184685.00014000002</v>
      </c>
      <c r="X180" s="40">
        <f t="shared" si="11"/>
        <v>0.93765865754152555</v>
      </c>
      <c r="Y180" s="12">
        <v>624</v>
      </c>
      <c r="Z180" s="12">
        <v>163108.00005500001</v>
      </c>
      <c r="AA180" s="13">
        <f>Z180/V180</f>
        <v>0.82811071960321025</v>
      </c>
      <c r="AB180" s="4">
        <v>61</v>
      </c>
      <c r="AC180" s="4">
        <v>18015.000065</v>
      </c>
      <c r="AD180" s="17">
        <f>AC180/V180</f>
        <v>9.1463414807664498E-2</v>
      </c>
      <c r="AE180" s="9">
        <v>15</v>
      </c>
      <c r="AF180" s="9">
        <v>3562.0000199999999</v>
      </c>
      <c r="AG180" s="18">
        <f>AF180/V180</f>
        <v>1.8084523130650856E-2</v>
      </c>
    </row>
    <row r="181" spans="1:33" ht="14" x14ac:dyDescent="0.2">
      <c r="A181" s="1" t="s">
        <v>390</v>
      </c>
      <c r="B181" s="1" t="s">
        <v>391</v>
      </c>
      <c r="C181" s="34">
        <v>4662400</v>
      </c>
      <c r="D181" s="34">
        <v>2993544</v>
      </c>
      <c r="E181" s="37">
        <v>0.6421</v>
      </c>
      <c r="F181" s="34">
        <v>4439841</v>
      </c>
      <c r="G181" s="34">
        <v>2770618</v>
      </c>
      <c r="H181" s="37">
        <v>0.624</v>
      </c>
      <c r="I181" s="34">
        <v>4567528</v>
      </c>
      <c r="J181" s="34">
        <v>2948293</v>
      </c>
      <c r="K181" s="37">
        <v>0.64549999999999996</v>
      </c>
      <c r="L181" s="34">
        <v>3909541</v>
      </c>
      <c r="M181" s="34">
        <v>2215800</v>
      </c>
      <c r="N181" s="43">
        <v>0.56679999999999997</v>
      </c>
      <c r="O181" s="34">
        <v>3872248</v>
      </c>
      <c r="P181" s="34">
        <v>2166483</v>
      </c>
      <c r="Q181" s="43">
        <v>0.5595</v>
      </c>
      <c r="R181" s="34">
        <v>2588886</v>
      </c>
      <c r="S181" s="34">
        <v>1525921</v>
      </c>
      <c r="T181" s="43">
        <v>0.58940000000000003</v>
      </c>
      <c r="U181" s="24">
        <v>902</v>
      </c>
      <c r="V181" s="21">
        <v>228500.00041899999</v>
      </c>
      <c r="W181" s="20">
        <f t="shared" si="10"/>
        <v>141476.00035800002</v>
      </c>
      <c r="X181" s="40">
        <f t="shared" si="11"/>
        <v>0.61915098511411715</v>
      </c>
      <c r="Y181" s="12">
        <v>470</v>
      </c>
      <c r="Z181" s="12">
        <v>120342.000096</v>
      </c>
      <c r="AA181" s="13">
        <f>Z181/V181</f>
        <v>0.52666083096424121</v>
      </c>
      <c r="AB181" s="4">
        <v>64</v>
      </c>
      <c r="AC181" s="4">
        <v>17095.000261000001</v>
      </c>
      <c r="AD181" s="17">
        <f>AC181/V181</f>
        <v>7.4814005381413279E-2</v>
      </c>
      <c r="AE181" s="9">
        <v>23</v>
      </c>
      <c r="AF181" s="9">
        <v>4039.0000009999999</v>
      </c>
      <c r="AG181" s="18">
        <f>AF181/V181</f>
        <v>1.7676148768462553E-2</v>
      </c>
    </row>
    <row r="182" spans="1:33" ht="14" x14ac:dyDescent="0.2">
      <c r="A182" s="1" t="s">
        <v>392</v>
      </c>
      <c r="B182" s="1" t="s">
        <v>393</v>
      </c>
      <c r="C182" s="34">
        <v>4427123</v>
      </c>
      <c r="D182" s="34">
        <v>3501129</v>
      </c>
      <c r="E182" s="37">
        <v>0.79079999999999995</v>
      </c>
      <c r="F182" s="34">
        <v>4135732</v>
      </c>
      <c r="G182" s="34">
        <v>3232655</v>
      </c>
      <c r="H182" s="37">
        <v>0.78159999999999996</v>
      </c>
      <c r="I182" s="34">
        <v>4575222</v>
      </c>
      <c r="J182" s="34">
        <v>3693185</v>
      </c>
      <c r="K182" s="37">
        <v>0.80720000000000003</v>
      </c>
      <c r="L182" s="34">
        <v>3909471</v>
      </c>
      <c r="M182" s="34">
        <v>2517782</v>
      </c>
      <c r="N182" s="43">
        <v>0.64400000000000002</v>
      </c>
      <c r="O182" s="34">
        <v>3677118</v>
      </c>
      <c r="P182" s="34">
        <v>2713170</v>
      </c>
      <c r="Q182" s="43">
        <v>0.7379</v>
      </c>
      <c r="R182" s="34">
        <v>2610978</v>
      </c>
      <c r="S182" s="34">
        <v>2090351</v>
      </c>
      <c r="T182" s="43">
        <v>0.80059999999999998</v>
      </c>
      <c r="U182" s="24">
        <v>1203</v>
      </c>
      <c r="V182" s="21">
        <v>358297.00161199999</v>
      </c>
      <c r="W182" s="20">
        <f t="shared" si="10"/>
        <v>329710.00150199997</v>
      </c>
      <c r="X182" s="40">
        <f t="shared" si="11"/>
        <v>0.92021423572794259</v>
      </c>
      <c r="Y182" s="12">
        <v>1040</v>
      </c>
      <c r="Z182" s="12">
        <v>302837.00141700002</v>
      </c>
      <c r="AA182" s="13">
        <f>Z182/V182</f>
        <v>0.84521221236716448</v>
      </c>
      <c r="AB182" s="4">
        <v>80</v>
      </c>
      <c r="AC182" s="4">
        <v>23131.000072999999</v>
      </c>
      <c r="AD182" s="17">
        <f>AC182/V182</f>
        <v>6.4558173718820486E-2</v>
      </c>
      <c r="AE182" s="9">
        <v>12</v>
      </c>
      <c r="AF182" s="9">
        <v>3742.000012</v>
      </c>
      <c r="AG182" s="18">
        <f>AF182/V182</f>
        <v>1.044384964195769E-2</v>
      </c>
    </row>
    <row r="183" spans="1:33" ht="14" x14ac:dyDescent="0.2">
      <c r="A183" s="1" t="s">
        <v>394</v>
      </c>
      <c r="B183" s="1" t="s">
        <v>395</v>
      </c>
      <c r="C183" s="34">
        <v>3755259</v>
      </c>
      <c r="D183" s="34">
        <v>2398479</v>
      </c>
      <c r="E183" s="37">
        <v>0.63870000000000005</v>
      </c>
      <c r="F183" s="34">
        <v>3574643</v>
      </c>
      <c r="G183" s="34">
        <v>2149622</v>
      </c>
      <c r="H183" s="37">
        <v>0.60140000000000005</v>
      </c>
      <c r="I183" s="34">
        <v>4273401</v>
      </c>
      <c r="J183" s="34">
        <v>2698600</v>
      </c>
      <c r="K183" s="37">
        <v>0.63149999999999995</v>
      </c>
      <c r="L183" s="34">
        <v>3826453</v>
      </c>
      <c r="M183" s="34">
        <v>1883461</v>
      </c>
      <c r="N183" s="43">
        <v>0.49220000000000003</v>
      </c>
      <c r="O183" s="34">
        <v>3798592</v>
      </c>
      <c r="P183" s="34">
        <v>1758265</v>
      </c>
      <c r="Q183" s="43">
        <v>0.46289999999999998</v>
      </c>
      <c r="R183" s="34">
        <v>2592245</v>
      </c>
      <c r="S183" s="34">
        <v>1329752</v>
      </c>
      <c r="T183" s="43">
        <v>0.51300000000000001</v>
      </c>
      <c r="U183" s="24">
        <v>526</v>
      </c>
      <c r="V183" s="21">
        <v>153427.00042999999</v>
      </c>
      <c r="W183" s="20">
        <f t="shared" si="10"/>
        <v>83032.000180000003</v>
      </c>
      <c r="X183" s="40">
        <f t="shared" si="11"/>
        <v>0.54118245124581432</v>
      </c>
      <c r="Y183" s="12">
        <v>231</v>
      </c>
      <c r="Z183" s="12">
        <v>67085.000159000003</v>
      </c>
      <c r="AA183" s="13">
        <f>Z183/V183</f>
        <v>0.43724377046403295</v>
      </c>
      <c r="AB183" s="4">
        <v>41</v>
      </c>
      <c r="AC183" s="4">
        <v>12100.999961</v>
      </c>
      <c r="AD183" s="17">
        <f>AC183/V183</f>
        <v>7.8871384613433779E-2</v>
      </c>
      <c r="AE183" s="9">
        <v>12</v>
      </c>
      <c r="AF183" s="9">
        <v>3846.0000599999998</v>
      </c>
      <c r="AG183" s="18">
        <f>AF183/V183</f>
        <v>2.5067296168347571E-2</v>
      </c>
    </row>
    <row r="184" spans="1:33" ht="14" x14ac:dyDescent="0.2">
      <c r="A184" s="1" t="s">
        <v>396</v>
      </c>
      <c r="B184" s="1" t="s">
        <v>397</v>
      </c>
      <c r="C184" s="34">
        <v>4731573</v>
      </c>
      <c r="D184" s="34">
        <v>3083807</v>
      </c>
      <c r="E184" s="37">
        <v>0.65180000000000005</v>
      </c>
      <c r="F184" s="34">
        <v>4095370</v>
      </c>
      <c r="G184" s="34">
        <v>2694703</v>
      </c>
      <c r="H184" s="37">
        <v>0.65800000000000003</v>
      </c>
      <c r="I184" s="34">
        <v>4251361</v>
      </c>
      <c r="J184" s="34">
        <v>2784312</v>
      </c>
      <c r="K184" s="37">
        <v>0.65490000000000004</v>
      </c>
      <c r="L184" s="34">
        <v>4092819</v>
      </c>
      <c r="M184" s="34">
        <v>2225968</v>
      </c>
      <c r="N184" s="43">
        <v>0.54390000000000005</v>
      </c>
      <c r="O184" s="34">
        <v>3795022</v>
      </c>
      <c r="P184" s="34">
        <v>2356493</v>
      </c>
      <c r="Q184" s="43">
        <v>0.62090000000000001</v>
      </c>
      <c r="R184" s="34">
        <v>2629276</v>
      </c>
      <c r="S184" s="34">
        <v>1734565</v>
      </c>
      <c r="T184" s="43">
        <v>0.65969999999999995</v>
      </c>
      <c r="U184" s="24">
        <v>1084</v>
      </c>
      <c r="V184" s="21">
        <v>297130.00101499999</v>
      </c>
      <c r="W184" s="20">
        <f t="shared" si="10"/>
        <v>251721.000784</v>
      </c>
      <c r="X184" s="40">
        <f t="shared" si="11"/>
        <v>0.84717463710873275</v>
      </c>
      <c r="Y184" s="12">
        <v>833</v>
      </c>
      <c r="Z184" s="12">
        <v>221139.00067000001</v>
      </c>
      <c r="AA184" s="13">
        <f>Z184/V184</f>
        <v>0.74424999129871194</v>
      </c>
      <c r="AB184" s="4">
        <v>82</v>
      </c>
      <c r="AC184" s="4">
        <v>24783.000117</v>
      </c>
      <c r="AD184" s="17">
        <f>AC184/V184</f>
        <v>8.3407936029148672E-2</v>
      </c>
      <c r="AE184" s="9">
        <v>22</v>
      </c>
      <c r="AF184" s="9">
        <v>5798.9999969999999</v>
      </c>
      <c r="AG184" s="18">
        <f>AF184/V184</f>
        <v>1.9516709780872141E-2</v>
      </c>
    </row>
    <row r="185" spans="1:33" ht="14" x14ac:dyDescent="0.2">
      <c r="A185" s="1" t="s">
        <v>398</v>
      </c>
      <c r="B185" s="1" t="s">
        <v>399</v>
      </c>
      <c r="C185" s="34">
        <v>3837272</v>
      </c>
      <c r="D185" s="34">
        <v>2182053</v>
      </c>
      <c r="E185" s="37">
        <v>0.56859999999999999</v>
      </c>
      <c r="F185" s="34">
        <v>3618890</v>
      </c>
      <c r="G185" s="34">
        <v>2050275</v>
      </c>
      <c r="H185" s="37">
        <v>0.5665</v>
      </c>
      <c r="I185" s="34">
        <v>3775306</v>
      </c>
      <c r="J185" s="34">
        <v>2229791</v>
      </c>
      <c r="K185" s="37">
        <v>0.59060000000000001</v>
      </c>
      <c r="L185" s="34">
        <v>3399060</v>
      </c>
      <c r="M185" s="34">
        <v>1758211</v>
      </c>
      <c r="N185" s="43">
        <v>0.51729999999999998</v>
      </c>
      <c r="O185" s="34">
        <v>3254819</v>
      </c>
      <c r="P185" s="34">
        <v>1627298</v>
      </c>
      <c r="Q185" s="43">
        <v>0.5</v>
      </c>
      <c r="R185" s="34">
        <v>2290584</v>
      </c>
      <c r="S185" s="34">
        <v>1250333</v>
      </c>
      <c r="T185" s="43">
        <v>0.54590000000000005</v>
      </c>
      <c r="U185" s="24">
        <v>841</v>
      </c>
      <c r="V185" s="21">
        <v>218760.000761</v>
      </c>
      <c r="W185" s="20">
        <f t="shared" si="10"/>
        <v>114551.000313</v>
      </c>
      <c r="X185" s="40">
        <f t="shared" si="11"/>
        <v>0.52363777616799989</v>
      </c>
      <c r="Y185" s="12">
        <v>356</v>
      </c>
      <c r="Z185" s="12">
        <v>95868.000417000003</v>
      </c>
      <c r="AA185" s="13">
        <f>Z185/V185</f>
        <v>0.43823368112773892</v>
      </c>
      <c r="AB185" s="4">
        <v>68</v>
      </c>
      <c r="AC185" s="4">
        <v>17868.999910999999</v>
      </c>
      <c r="AD185" s="17">
        <f>AC185/V185</f>
        <v>8.16831223662422E-2</v>
      </c>
      <c r="AE185" s="9">
        <v>5</v>
      </c>
      <c r="AF185" s="9">
        <v>813.99998500000004</v>
      </c>
      <c r="AG185" s="18">
        <f>AF185/V185</f>
        <v>3.7209726740187413E-3</v>
      </c>
    </row>
    <row r="186" spans="1:33" ht="14" x14ac:dyDescent="0.2">
      <c r="A186" s="1" t="s">
        <v>400</v>
      </c>
      <c r="B186" s="1" t="s">
        <v>401</v>
      </c>
      <c r="C186" s="34">
        <v>3388723</v>
      </c>
      <c r="D186" s="34">
        <v>2902692</v>
      </c>
      <c r="E186" s="37">
        <v>0.85660000000000003</v>
      </c>
      <c r="F186" s="34">
        <v>3862805</v>
      </c>
      <c r="G186" s="34">
        <v>2914701</v>
      </c>
      <c r="H186" s="37">
        <v>0.75460000000000005</v>
      </c>
      <c r="I186" s="34">
        <v>4762517</v>
      </c>
      <c r="J186" s="34">
        <v>3558292</v>
      </c>
      <c r="K186" s="37">
        <v>0.74709999999999999</v>
      </c>
      <c r="L186" s="34">
        <v>3506328</v>
      </c>
      <c r="M186" s="34">
        <v>2209127</v>
      </c>
      <c r="N186" s="43">
        <v>0.63</v>
      </c>
      <c r="O186" s="34">
        <v>3288709</v>
      </c>
      <c r="P186" s="34">
        <v>2242542</v>
      </c>
      <c r="Q186" s="43">
        <v>0.68189999999999995</v>
      </c>
      <c r="R186" s="34">
        <v>2438320</v>
      </c>
      <c r="S186" s="34">
        <v>1853206</v>
      </c>
      <c r="T186" s="43">
        <v>0.76</v>
      </c>
      <c r="U186" s="24">
        <v>1186</v>
      </c>
      <c r="V186" s="21">
        <v>303267.00173800002</v>
      </c>
      <c r="W186" s="20">
        <f t="shared" si="10"/>
        <v>258926.00151100001</v>
      </c>
      <c r="X186" s="40">
        <f t="shared" si="11"/>
        <v>0.85378890557533416</v>
      </c>
      <c r="Y186" s="12">
        <v>955</v>
      </c>
      <c r="Z186" s="12">
        <v>238314.00134700001</v>
      </c>
      <c r="AA186" s="13">
        <f>Z186/V186</f>
        <v>0.78582239406608922</v>
      </c>
      <c r="AB186" s="4">
        <v>70</v>
      </c>
      <c r="AC186" s="4">
        <v>16638.000056000001</v>
      </c>
      <c r="AD186" s="17">
        <f>AC186/V186</f>
        <v>5.4862546734886726E-2</v>
      </c>
      <c r="AE186" s="9">
        <v>20</v>
      </c>
      <c r="AF186" s="9">
        <v>3974.0001080000002</v>
      </c>
      <c r="AG186" s="18">
        <f>AF186/V186</f>
        <v>1.3103964774358269E-2</v>
      </c>
    </row>
    <row r="187" spans="1:33" ht="14" x14ac:dyDescent="0.2">
      <c r="A187" s="1" t="s">
        <v>402</v>
      </c>
      <c r="B187" s="1" t="s">
        <v>403</v>
      </c>
      <c r="C187" s="34">
        <v>4088772</v>
      </c>
      <c r="D187" s="34">
        <v>2737377</v>
      </c>
      <c r="E187" s="37">
        <v>0.66949999999999998</v>
      </c>
      <c r="F187" s="34">
        <v>4243169</v>
      </c>
      <c r="G187" s="34">
        <v>2699982</v>
      </c>
      <c r="H187" s="37">
        <v>0.63629999999999998</v>
      </c>
      <c r="I187" s="34">
        <v>3876025</v>
      </c>
      <c r="J187" s="34">
        <v>2519687</v>
      </c>
      <c r="K187" s="37">
        <v>0.65010000000000001</v>
      </c>
      <c r="L187" s="34">
        <v>3586612</v>
      </c>
      <c r="M187" s="34">
        <v>2192514</v>
      </c>
      <c r="N187" s="43">
        <v>0.61129999999999995</v>
      </c>
      <c r="O187" s="34">
        <v>3533659</v>
      </c>
      <c r="P187" s="34">
        <v>2293745</v>
      </c>
      <c r="Q187" s="43">
        <v>0.64910000000000001</v>
      </c>
      <c r="R187" s="34">
        <v>2323393</v>
      </c>
      <c r="S187" s="34">
        <v>1606001</v>
      </c>
      <c r="T187" s="43">
        <v>0.69120000000000004</v>
      </c>
      <c r="U187" s="24">
        <v>703</v>
      </c>
      <c r="V187" s="21">
        <v>184550.000359</v>
      </c>
      <c r="W187" s="20">
        <f t="shared" si="10"/>
        <v>169688.00032300001</v>
      </c>
      <c r="X187" s="40">
        <f t="shared" si="11"/>
        <v>0.91946897855817211</v>
      </c>
      <c r="Y187" s="12">
        <v>581</v>
      </c>
      <c r="Z187" s="12">
        <v>153466.00026500001</v>
      </c>
      <c r="AA187" s="13">
        <f>Z187/V187</f>
        <v>0.83156868039266785</v>
      </c>
      <c r="AB187" s="4">
        <v>56</v>
      </c>
      <c r="AC187" s="4">
        <v>14246.000050000001</v>
      </c>
      <c r="AD187" s="17">
        <f>AC187/V187</f>
        <v>7.7193172702723661E-2</v>
      </c>
      <c r="AE187" s="9">
        <v>11</v>
      </c>
      <c r="AF187" s="9">
        <v>1976.000008</v>
      </c>
      <c r="AG187" s="18">
        <f>AF187/V187</f>
        <v>1.0707125462780505E-2</v>
      </c>
    </row>
    <row r="188" spans="1:33" ht="14" x14ac:dyDescent="0.2">
      <c r="A188" s="1" t="s">
        <v>404</v>
      </c>
      <c r="B188" s="1" t="s">
        <v>405</v>
      </c>
      <c r="C188" s="34">
        <v>2369542</v>
      </c>
      <c r="D188" s="34">
        <v>1526157</v>
      </c>
      <c r="E188" s="37">
        <v>0.64410000000000001</v>
      </c>
      <c r="F188" s="34">
        <v>2403334</v>
      </c>
      <c r="G188" s="34">
        <v>1448526</v>
      </c>
      <c r="H188" s="37">
        <v>0.60270000000000001</v>
      </c>
      <c r="I188" s="34">
        <v>2488670</v>
      </c>
      <c r="J188" s="34">
        <v>1609431</v>
      </c>
      <c r="K188" s="37">
        <v>0.64670000000000005</v>
      </c>
      <c r="L188" s="34">
        <v>2282465</v>
      </c>
      <c r="M188" s="34">
        <v>1140387</v>
      </c>
      <c r="N188" s="43">
        <v>0.49959999999999999</v>
      </c>
      <c r="O188" s="34">
        <v>2120787</v>
      </c>
      <c r="P188" s="34">
        <v>1105116</v>
      </c>
      <c r="Q188" s="43">
        <v>0.52110000000000001</v>
      </c>
      <c r="R188" s="34">
        <v>1477098</v>
      </c>
      <c r="S188" s="34">
        <v>845038</v>
      </c>
      <c r="T188" s="43">
        <v>0.57210000000000005</v>
      </c>
      <c r="U188" s="24">
        <v>867</v>
      </c>
      <c r="V188" s="21">
        <v>222523.00097299999</v>
      </c>
      <c r="W188" s="20">
        <f t="shared" si="10"/>
        <v>100215.00057399999</v>
      </c>
      <c r="X188" s="40">
        <f t="shared" si="11"/>
        <v>0.45035794113777777</v>
      </c>
      <c r="Y188" s="12">
        <v>335</v>
      </c>
      <c r="Z188" s="12">
        <v>84928.000631999996</v>
      </c>
      <c r="AA188" s="13">
        <f>Z188/V188</f>
        <v>0.38165942514097589</v>
      </c>
      <c r="AB188" s="4">
        <v>45</v>
      </c>
      <c r="AC188" s="4">
        <v>12875.999958</v>
      </c>
      <c r="AD188" s="17">
        <f>AC188/V188</f>
        <v>5.7863681065321963E-2</v>
      </c>
      <c r="AE188" s="9">
        <v>6</v>
      </c>
      <c r="AF188" s="9">
        <v>2410.999984</v>
      </c>
      <c r="AG188" s="18">
        <f>AF188/V188</f>
        <v>1.0834834931479917E-2</v>
      </c>
    </row>
    <row r="189" spans="1:33" ht="14" x14ac:dyDescent="0.2">
      <c r="A189" s="1" t="s">
        <v>406</v>
      </c>
      <c r="B189" s="1" t="s">
        <v>407</v>
      </c>
      <c r="C189" s="34">
        <v>2753801</v>
      </c>
      <c r="D189" s="34">
        <v>1680226</v>
      </c>
      <c r="E189" s="37">
        <v>0.61009999999999998</v>
      </c>
      <c r="F189" s="34">
        <v>2621242</v>
      </c>
      <c r="G189" s="34">
        <v>1481305</v>
      </c>
      <c r="H189" s="37">
        <v>0.56510000000000005</v>
      </c>
      <c r="I189" s="34">
        <v>2881221</v>
      </c>
      <c r="J189" s="34">
        <v>1630045</v>
      </c>
      <c r="K189" s="37">
        <v>0.56569999999999998</v>
      </c>
      <c r="L189" s="34">
        <v>2396861</v>
      </c>
      <c r="M189" s="34">
        <v>1201992</v>
      </c>
      <c r="N189" s="43">
        <v>0.50149999999999995</v>
      </c>
      <c r="O189" s="34">
        <v>2346409</v>
      </c>
      <c r="P189" s="34">
        <v>1169685</v>
      </c>
      <c r="Q189" s="43">
        <v>0.4985</v>
      </c>
      <c r="R189" s="34">
        <v>1583500</v>
      </c>
      <c r="S189" s="34">
        <v>839855</v>
      </c>
      <c r="T189" s="43">
        <v>0.53039999999999998</v>
      </c>
      <c r="U189" s="24">
        <v>627</v>
      </c>
      <c r="V189" s="21">
        <v>152597.00046800001</v>
      </c>
      <c r="W189" s="20">
        <f t="shared" si="10"/>
        <v>76670.000130999993</v>
      </c>
      <c r="X189" s="40">
        <f t="shared" si="11"/>
        <v>0.50243451637883207</v>
      </c>
      <c r="Y189" s="12">
        <v>257</v>
      </c>
      <c r="Z189" s="12">
        <v>61999.000152000001</v>
      </c>
      <c r="AA189" s="13">
        <f>Z189/V189</f>
        <v>0.40629239081931595</v>
      </c>
      <c r="AB189" s="4">
        <v>48</v>
      </c>
      <c r="AC189" s="4">
        <v>13606.999991000001</v>
      </c>
      <c r="AD189" s="17">
        <f>AC189/V189</f>
        <v>8.9169511519025066E-2</v>
      </c>
      <c r="AE189" s="9">
        <v>5</v>
      </c>
      <c r="AF189" s="9">
        <v>1063.999988</v>
      </c>
      <c r="AG189" s="18">
        <f>AF189/V189</f>
        <v>6.9726140404910751E-3</v>
      </c>
    </row>
    <row r="190" spans="1:33" ht="14" x14ac:dyDescent="0.2">
      <c r="A190" s="1" t="s">
        <v>408</v>
      </c>
      <c r="B190" s="1" t="s">
        <v>409</v>
      </c>
      <c r="C190" s="34">
        <v>2606230</v>
      </c>
      <c r="D190" s="34">
        <v>1660653</v>
      </c>
      <c r="E190" s="37">
        <v>0.63719999999999999</v>
      </c>
      <c r="F190" s="34">
        <v>2462459</v>
      </c>
      <c r="G190" s="34">
        <v>1566677</v>
      </c>
      <c r="H190" s="37">
        <v>0.63619999999999999</v>
      </c>
      <c r="I190" s="34">
        <v>2652558</v>
      </c>
      <c r="J190" s="34">
        <v>1712294</v>
      </c>
      <c r="K190" s="37">
        <v>0.64549999999999996</v>
      </c>
      <c r="L190" s="34">
        <v>2154359</v>
      </c>
      <c r="M190" s="34">
        <v>1291926</v>
      </c>
      <c r="N190" s="43">
        <v>0.59970000000000001</v>
      </c>
      <c r="O190" s="34">
        <v>1960524</v>
      </c>
      <c r="P190" s="34">
        <v>1134593</v>
      </c>
      <c r="Q190" s="43">
        <v>0.57869999999999999</v>
      </c>
      <c r="R190" s="34">
        <v>1449997</v>
      </c>
      <c r="S190" s="34">
        <v>928607</v>
      </c>
      <c r="T190" s="43">
        <v>0.64039999999999997</v>
      </c>
      <c r="U190" s="24">
        <v>700</v>
      </c>
      <c r="V190" s="21">
        <v>165256.000875</v>
      </c>
      <c r="W190" s="20">
        <f t="shared" si="10"/>
        <v>99876.000444999998</v>
      </c>
      <c r="X190" s="40">
        <f t="shared" si="11"/>
        <v>0.60437139901834136</v>
      </c>
      <c r="Y190" s="12">
        <v>335</v>
      </c>
      <c r="Z190" s="12">
        <v>82325.000354999996</v>
      </c>
      <c r="AA190" s="13">
        <f>Z190/V190</f>
        <v>0.49816648060647922</v>
      </c>
      <c r="AB190" s="4">
        <v>54</v>
      </c>
      <c r="AC190" s="4">
        <v>15501.000055</v>
      </c>
      <c r="AD190" s="17">
        <f>AC190/V190</f>
        <v>9.3799922380579631E-2</v>
      </c>
      <c r="AE190" s="9">
        <v>11</v>
      </c>
      <c r="AF190" s="9">
        <v>2050.000035</v>
      </c>
      <c r="AG190" s="18">
        <f>AF190/V190</f>
        <v>1.2404996031282547E-2</v>
      </c>
    </row>
    <row r="191" spans="1:33" ht="14" x14ac:dyDescent="0.2">
      <c r="A191" s="1" t="s">
        <v>410</v>
      </c>
      <c r="B191" s="1" t="s">
        <v>411</v>
      </c>
      <c r="C191" s="34">
        <v>4282248</v>
      </c>
      <c r="D191" s="34">
        <v>2768180</v>
      </c>
      <c r="E191" s="37">
        <v>0.64639999999999997</v>
      </c>
      <c r="F191" s="34">
        <v>4251619</v>
      </c>
      <c r="G191" s="34">
        <v>2672691</v>
      </c>
      <c r="H191" s="37">
        <v>0.62860000000000005</v>
      </c>
      <c r="I191" s="34">
        <v>4623599</v>
      </c>
      <c r="J191" s="34">
        <v>2984323</v>
      </c>
      <c r="K191" s="37">
        <v>0.64549999999999996</v>
      </c>
      <c r="L191" s="34">
        <v>3800220</v>
      </c>
      <c r="M191" s="34">
        <v>2025296</v>
      </c>
      <c r="N191" s="43">
        <v>0.53290000000000004</v>
      </c>
      <c r="O191" s="34">
        <v>3675106</v>
      </c>
      <c r="P191" s="34">
        <v>1915074</v>
      </c>
      <c r="Q191" s="43">
        <v>0.52110000000000001</v>
      </c>
      <c r="R191" s="34">
        <v>2630951</v>
      </c>
      <c r="S191" s="34">
        <v>1471436</v>
      </c>
      <c r="T191" s="43">
        <v>0.55930000000000002</v>
      </c>
      <c r="U191" s="24">
        <v>1132</v>
      </c>
      <c r="V191" s="21">
        <v>319061.00112099998</v>
      </c>
      <c r="W191" s="20">
        <f t="shared" si="10"/>
        <v>161740.000172</v>
      </c>
      <c r="X191" s="40">
        <f t="shared" si="11"/>
        <v>0.50692500682859098</v>
      </c>
      <c r="Y191" s="12">
        <v>461</v>
      </c>
      <c r="Z191" s="12">
        <v>139703.00005800001</v>
      </c>
      <c r="AA191" s="13">
        <f>Z191/V191</f>
        <v>0.43785670942911431</v>
      </c>
      <c r="AB191" s="4">
        <v>59</v>
      </c>
      <c r="AC191" s="4">
        <v>16582.000088000001</v>
      </c>
      <c r="AD191" s="17">
        <f>AC191/V191</f>
        <v>5.1971253239161873E-2</v>
      </c>
      <c r="AE191" s="9">
        <v>17</v>
      </c>
      <c r="AF191" s="9">
        <v>5455.0000259999997</v>
      </c>
      <c r="AG191" s="18">
        <f>AF191/V191</f>
        <v>1.709704416031484E-2</v>
      </c>
    </row>
    <row r="192" spans="1:33" ht="14" x14ac:dyDescent="0.2">
      <c r="A192" s="1" t="s">
        <v>412</v>
      </c>
      <c r="B192" s="1" t="s">
        <v>413</v>
      </c>
      <c r="C192" s="34">
        <v>4431387</v>
      </c>
      <c r="D192" s="34">
        <v>3306515</v>
      </c>
      <c r="E192" s="37">
        <v>0.74619999999999997</v>
      </c>
      <c r="F192" s="34">
        <v>4160928</v>
      </c>
      <c r="G192" s="34">
        <v>2988047</v>
      </c>
      <c r="H192" s="37">
        <v>0.71809999999999996</v>
      </c>
      <c r="I192" s="34">
        <v>4535875</v>
      </c>
      <c r="J192" s="34">
        <v>3218044</v>
      </c>
      <c r="K192" s="37">
        <v>0.70950000000000002</v>
      </c>
      <c r="L192" s="34">
        <v>3928250</v>
      </c>
      <c r="M192" s="34">
        <v>2456012</v>
      </c>
      <c r="N192" s="43">
        <v>0.62519999999999998</v>
      </c>
      <c r="O192" s="34">
        <v>3703800</v>
      </c>
      <c r="P192" s="34">
        <v>2620144</v>
      </c>
      <c r="Q192" s="43">
        <v>0.70740000000000003</v>
      </c>
      <c r="R192" s="34">
        <v>2624040</v>
      </c>
      <c r="S192" s="34">
        <v>1912422</v>
      </c>
      <c r="T192" s="43">
        <v>0.7288</v>
      </c>
      <c r="U192" s="24">
        <v>1232</v>
      </c>
      <c r="V192" s="21">
        <v>332054.00136499997</v>
      </c>
      <c r="W192" s="20">
        <f t="shared" si="10"/>
        <v>292022.00113599998</v>
      </c>
      <c r="X192" s="40">
        <f t="shared" si="11"/>
        <v>0.87944129549881234</v>
      </c>
      <c r="Y192" s="12">
        <v>996</v>
      </c>
      <c r="Z192" s="12">
        <v>260627.000937</v>
      </c>
      <c r="AA192" s="13">
        <f>Z192/V192</f>
        <v>0.78489342054491285</v>
      </c>
      <c r="AB192" s="4">
        <v>97</v>
      </c>
      <c r="AC192" s="4">
        <v>25838.000085</v>
      </c>
      <c r="AD192" s="17">
        <f>AC192/V192</f>
        <v>7.7812644867358144E-2</v>
      </c>
      <c r="AE192" s="9">
        <v>23</v>
      </c>
      <c r="AF192" s="9">
        <v>5557.0001140000004</v>
      </c>
      <c r="AG192" s="18">
        <f>AF192/V192</f>
        <v>1.6735230086541382E-2</v>
      </c>
    </row>
    <row r="193" spans="1:33" ht="14" x14ac:dyDescent="0.2">
      <c r="A193" s="1" t="s">
        <v>414</v>
      </c>
      <c r="B193" s="1" t="s">
        <v>415</v>
      </c>
      <c r="C193" s="34">
        <v>3037493</v>
      </c>
      <c r="D193" s="34">
        <v>1340750</v>
      </c>
      <c r="E193" s="37">
        <v>0.44140000000000001</v>
      </c>
      <c r="F193" s="34">
        <v>2877256</v>
      </c>
      <c r="G193" s="34">
        <v>1207668</v>
      </c>
      <c r="H193" s="37">
        <v>0.41970000000000002</v>
      </c>
      <c r="I193" s="34">
        <v>2723240</v>
      </c>
      <c r="J193" s="34">
        <v>1263240</v>
      </c>
      <c r="K193" s="37">
        <v>0.46389999999999998</v>
      </c>
      <c r="L193" s="34">
        <v>2530047</v>
      </c>
      <c r="M193" s="34">
        <v>909478</v>
      </c>
      <c r="N193" s="43">
        <v>0.35949999999999999</v>
      </c>
      <c r="O193" s="34">
        <v>2353404</v>
      </c>
      <c r="P193" s="34">
        <v>761882</v>
      </c>
      <c r="Q193" s="43">
        <v>0.32369999999999999</v>
      </c>
      <c r="R193" s="34">
        <v>1688481</v>
      </c>
      <c r="S193" s="34">
        <v>684962</v>
      </c>
      <c r="T193" s="43">
        <v>0.40570000000000001</v>
      </c>
      <c r="U193" s="24">
        <v>1291</v>
      </c>
      <c r="V193" s="21">
        <v>349686.00170600001</v>
      </c>
      <c r="W193" s="20">
        <f t="shared" si="10"/>
        <v>70372.000321</v>
      </c>
      <c r="X193" s="40">
        <f t="shared" si="11"/>
        <v>0.20124340115897907</v>
      </c>
      <c r="Y193" s="12">
        <v>267</v>
      </c>
      <c r="Z193" s="12">
        <v>61890.000202000003</v>
      </c>
      <c r="AA193" s="13">
        <f>Z193/V193</f>
        <v>0.17698735408354802</v>
      </c>
      <c r="AB193" s="4">
        <v>31</v>
      </c>
      <c r="AC193" s="4">
        <v>6173.0001270000002</v>
      </c>
      <c r="AD193" s="17">
        <f>AC193/V193</f>
        <v>1.7652980379208819E-2</v>
      </c>
      <c r="AE193" s="9">
        <v>11</v>
      </c>
      <c r="AF193" s="9">
        <v>2308.999992</v>
      </c>
      <c r="AG193" s="18">
        <f>AF193/V193</f>
        <v>6.6030666962222338E-3</v>
      </c>
    </row>
    <row r="194" spans="1:33" ht="14" x14ac:dyDescent="0.2">
      <c r="A194" s="1" t="s">
        <v>416</v>
      </c>
      <c r="B194" s="1" t="s">
        <v>417</v>
      </c>
      <c r="C194" s="34">
        <v>2764092</v>
      </c>
      <c r="D194" s="34">
        <v>1513323</v>
      </c>
      <c r="E194" s="37">
        <v>0.54749999999999999</v>
      </c>
      <c r="F194" s="34">
        <v>2443536</v>
      </c>
      <c r="G194" s="34">
        <v>1328844</v>
      </c>
      <c r="H194" s="37">
        <v>0.54379999999999995</v>
      </c>
      <c r="I194" s="34">
        <v>2297792</v>
      </c>
      <c r="J194" s="34">
        <v>1192497</v>
      </c>
      <c r="K194" s="37">
        <v>0.51900000000000002</v>
      </c>
      <c r="L194" s="34">
        <v>2445642</v>
      </c>
      <c r="M194" s="34">
        <v>1086932</v>
      </c>
      <c r="N194" s="43">
        <v>0.44440000000000002</v>
      </c>
      <c r="O194" s="34">
        <v>2160663</v>
      </c>
      <c r="P194" s="34">
        <v>1007183</v>
      </c>
      <c r="Q194" s="43">
        <v>0.46610000000000001</v>
      </c>
      <c r="R194" s="34">
        <v>1405781</v>
      </c>
      <c r="S194" s="34">
        <v>695142</v>
      </c>
      <c r="T194" s="43">
        <v>0.4945</v>
      </c>
      <c r="U194" s="24">
        <v>1264</v>
      </c>
      <c r="V194" s="21">
        <v>273816.00107900001</v>
      </c>
      <c r="W194" s="20">
        <f t="shared" si="10"/>
        <v>115776.00034499999</v>
      </c>
      <c r="X194" s="40">
        <f t="shared" ref="X194:X198" si="12">W194/V194</f>
        <v>0.42282408584148773</v>
      </c>
      <c r="Y194" s="12">
        <v>454</v>
      </c>
      <c r="Z194" s="12">
        <v>95864.000375999996</v>
      </c>
      <c r="AA194" s="13">
        <f>Z194/V194</f>
        <v>0.35010371927950917</v>
      </c>
      <c r="AB194" s="4">
        <v>62</v>
      </c>
      <c r="AC194" s="4">
        <v>17148.999967</v>
      </c>
      <c r="AD194" s="17">
        <f>AC194/V194</f>
        <v>6.262964874011237E-2</v>
      </c>
      <c r="AE194" s="9">
        <v>20</v>
      </c>
      <c r="AF194" s="9">
        <v>2763.0000020000002</v>
      </c>
      <c r="AG194" s="18">
        <f>AF194/V194</f>
        <v>1.0090717821866201E-2</v>
      </c>
    </row>
    <row r="195" spans="1:33" ht="14" x14ac:dyDescent="0.2">
      <c r="A195" s="1" t="s">
        <v>418</v>
      </c>
      <c r="B195" s="1" t="s">
        <v>419</v>
      </c>
      <c r="C195" s="34">
        <v>5204109</v>
      </c>
      <c r="D195" s="34">
        <v>4159700</v>
      </c>
      <c r="E195" s="37">
        <v>0.79930000000000001</v>
      </c>
      <c r="F195" s="34">
        <v>5172142</v>
      </c>
      <c r="G195" s="34">
        <v>4142285</v>
      </c>
      <c r="H195" s="37">
        <v>0.80089999999999995</v>
      </c>
      <c r="I195" s="34">
        <v>5632223</v>
      </c>
      <c r="J195" s="34">
        <v>4523496</v>
      </c>
      <c r="K195" s="37">
        <v>0.80310000000000004</v>
      </c>
      <c r="L195" s="34">
        <v>4873641</v>
      </c>
      <c r="M195" s="34">
        <v>3280964</v>
      </c>
      <c r="N195" s="43">
        <v>0.67320000000000002</v>
      </c>
      <c r="O195" s="34">
        <v>4567117</v>
      </c>
      <c r="P195" s="34">
        <v>3339320</v>
      </c>
      <c r="Q195" s="43">
        <v>0.73119999999999996</v>
      </c>
      <c r="R195" s="34">
        <v>3303420</v>
      </c>
      <c r="S195" s="34">
        <v>2521409</v>
      </c>
      <c r="T195" s="43">
        <v>0.76329999999999998</v>
      </c>
      <c r="U195" s="24">
        <v>1195</v>
      </c>
      <c r="V195" s="21">
        <v>335827.00135899999</v>
      </c>
      <c r="W195" s="20">
        <f t="shared" si="10"/>
        <v>287178.00105399999</v>
      </c>
      <c r="X195" s="40">
        <f t="shared" si="12"/>
        <v>0.85513672185937761</v>
      </c>
      <c r="Y195" s="12">
        <v>962</v>
      </c>
      <c r="Z195" s="12">
        <v>262110.00100600001</v>
      </c>
      <c r="AA195" s="13">
        <f>Z195/V195</f>
        <v>0.7804911455758845</v>
      </c>
      <c r="AB195" s="4">
        <v>82</v>
      </c>
      <c r="AC195" s="4">
        <v>21889.000034000001</v>
      </c>
      <c r="AD195" s="17">
        <f>AC195/V195</f>
        <v>6.5179392798736274E-2</v>
      </c>
      <c r="AE195" s="9">
        <v>17</v>
      </c>
      <c r="AF195" s="9">
        <v>3179.0000140000002</v>
      </c>
      <c r="AG195" s="18">
        <f>AF195/V195</f>
        <v>9.4661834847569043E-3</v>
      </c>
    </row>
    <row r="196" spans="1:33" ht="14" x14ac:dyDescent="0.2">
      <c r="A196" s="1" t="s">
        <v>420</v>
      </c>
      <c r="B196" s="1" t="s">
        <v>421</v>
      </c>
      <c r="C196" s="34">
        <v>5108391</v>
      </c>
      <c r="D196" s="34">
        <v>3813201</v>
      </c>
      <c r="E196" s="37">
        <v>0.74650000000000005</v>
      </c>
      <c r="F196" s="34">
        <v>4833065</v>
      </c>
      <c r="G196" s="34">
        <v>3515540</v>
      </c>
      <c r="H196" s="37">
        <v>0.72740000000000005</v>
      </c>
      <c r="I196" s="34">
        <v>4373018</v>
      </c>
      <c r="J196" s="34">
        <v>3313493</v>
      </c>
      <c r="K196" s="37">
        <v>0.75770000000000004</v>
      </c>
      <c r="L196" s="34">
        <v>4522210</v>
      </c>
      <c r="M196" s="34">
        <v>2989172</v>
      </c>
      <c r="N196" s="43">
        <v>0.66100000000000003</v>
      </c>
      <c r="O196" s="34">
        <v>4075055</v>
      </c>
      <c r="P196" s="34">
        <v>2888254</v>
      </c>
      <c r="Q196" s="43">
        <v>0.70879999999999999</v>
      </c>
      <c r="R196" s="34">
        <v>2885195</v>
      </c>
      <c r="S196" s="34">
        <v>2045078</v>
      </c>
      <c r="T196" s="43">
        <v>0.70879999999999999</v>
      </c>
      <c r="U196" s="24">
        <v>1395</v>
      </c>
      <c r="V196" s="21">
        <v>333754.00121100002</v>
      </c>
      <c r="W196" s="20">
        <f t="shared" si="10"/>
        <v>296045.00108600006</v>
      </c>
      <c r="X196" s="40">
        <f t="shared" si="12"/>
        <v>0.88701558636547928</v>
      </c>
      <c r="Y196" s="12">
        <v>1138</v>
      </c>
      <c r="Z196" s="12">
        <v>262400.00089000002</v>
      </c>
      <c r="AA196" s="13">
        <f>Z196/V196</f>
        <v>0.78620780556308645</v>
      </c>
      <c r="AB196" s="4">
        <v>111</v>
      </c>
      <c r="AC196" s="4">
        <v>29687.000146999999</v>
      </c>
      <c r="AD196" s="17">
        <f>AC196/V196</f>
        <v>8.894874679938837E-2</v>
      </c>
      <c r="AE196" s="9">
        <v>22</v>
      </c>
      <c r="AF196" s="9">
        <v>3958.0000490000002</v>
      </c>
      <c r="AG196" s="18">
        <f>AF196/V196</f>
        <v>1.1859034003004337E-2</v>
      </c>
    </row>
    <row r="197" spans="1:33" ht="14" x14ac:dyDescent="0.2">
      <c r="A197" s="1" t="s">
        <v>422</v>
      </c>
      <c r="B197" s="1" t="s">
        <v>423</v>
      </c>
      <c r="C197" s="34">
        <v>2762901</v>
      </c>
      <c r="D197" s="34">
        <v>1701742</v>
      </c>
      <c r="E197" s="37">
        <v>0.6159</v>
      </c>
      <c r="F197" s="34">
        <v>2640517</v>
      </c>
      <c r="G197" s="34">
        <v>1585722</v>
      </c>
      <c r="H197" s="37">
        <v>0.60050000000000003</v>
      </c>
      <c r="I197" s="34">
        <v>2667849</v>
      </c>
      <c r="J197" s="34">
        <v>1677819</v>
      </c>
      <c r="K197" s="37">
        <v>0.62890000000000001</v>
      </c>
      <c r="L197" s="34">
        <v>2326576</v>
      </c>
      <c r="M197" s="34">
        <v>1144691</v>
      </c>
      <c r="N197" s="43">
        <v>0.49199999999999999</v>
      </c>
      <c r="O197" s="34">
        <v>2119787</v>
      </c>
      <c r="P197" s="34">
        <v>1068096</v>
      </c>
      <c r="Q197" s="43">
        <v>0.50390000000000001</v>
      </c>
      <c r="R197" s="34">
        <v>1617125</v>
      </c>
      <c r="S197" s="34">
        <v>920262</v>
      </c>
      <c r="T197" s="43">
        <v>0.56910000000000005</v>
      </c>
      <c r="U197" s="24">
        <v>827</v>
      </c>
      <c r="V197" s="21">
        <v>217984.00034100001</v>
      </c>
      <c r="W197" s="20">
        <f t="shared" si="10"/>
        <v>118233.000149</v>
      </c>
      <c r="X197" s="40">
        <f t="shared" si="12"/>
        <v>0.54239301950622054</v>
      </c>
      <c r="Y197" s="12">
        <v>366</v>
      </c>
      <c r="Z197" s="12">
        <v>97289.000199999995</v>
      </c>
      <c r="AA197" s="13">
        <f>Z197/V197</f>
        <v>0.44631257361919868</v>
      </c>
      <c r="AB197" s="4">
        <v>61</v>
      </c>
      <c r="AC197" s="4">
        <v>18604.999947</v>
      </c>
      <c r="AD197" s="17">
        <f>AC197/V197</f>
        <v>8.5350300562864925E-2</v>
      </c>
      <c r="AE197" s="9">
        <v>10</v>
      </c>
      <c r="AF197" s="9">
        <v>2339.0000020000002</v>
      </c>
      <c r="AG197" s="18">
        <f>AF197/V197</f>
        <v>1.0730145324156913E-2</v>
      </c>
    </row>
    <row r="198" spans="1:33" ht="14" x14ac:dyDescent="0.2">
      <c r="A198" s="1" t="s">
        <v>424</v>
      </c>
      <c r="B198" s="1" t="s">
        <v>425</v>
      </c>
      <c r="C198" s="34">
        <v>2550499</v>
      </c>
      <c r="D198" s="34">
        <v>1543781</v>
      </c>
      <c r="E198" s="37">
        <v>0.60529999999999995</v>
      </c>
      <c r="F198" s="34">
        <v>2435119</v>
      </c>
      <c r="G198" s="34">
        <v>1387508</v>
      </c>
      <c r="H198" s="37">
        <v>0.56979999999999997</v>
      </c>
      <c r="I198" s="34">
        <v>2716509</v>
      </c>
      <c r="J198" s="34">
        <v>1672585</v>
      </c>
      <c r="K198" s="37">
        <v>0.61570000000000003</v>
      </c>
      <c r="L198" s="34">
        <v>2237337</v>
      </c>
      <c r="M198" s="34">
        <v>1178400</v>
      </c>
      <c r="N198" s="43">
        <v>0.52669999999999995</v>
      </c>
      <c r="O198" s="34">
        <v>2154758</v>
      </c>
      <c r="P198" s="34">
        <v>1045129</v>
      </c>
      <c r="Q198" s="43">
        <v>0.48499999999999999</v>
      </c>
      <c r="R198" s="34">
        <v>1453221</v>
      </c>
      <c r="S198" s="34">
        <v>776167</v>
      </c>
      <c r="T198" s="43">
        <v>0.53410000000000002</v>
      </c>
      <c r="U198" s="24">
        <v>725</v>
      </c>
      <c r="V198" s="21">
        <v>200594.00107</v>
      </c>
      <c r="W198" s="20">
        <f t="shared" si="10"/>
        <v>101035.00032799999</v>
      </c>
      <c r="X198" s="40">
        <f t="shared" si="12"/>
        <v>0.50367907210117646</v>
      </c>
      <c r="Y198" s="12">
        <v>325</v>
      </c>
      <c r="Z198" s="12">
        <v>88891.000281999994</v>
      </c>
      <c r="AA198" s="13">
        <f>Z198/V198</f>
        <v>0.44313887657577694</v>
      </c>
      <c r="AB198" s="4">
        <v>29</v>
      </c>
      <c r="AC198" s="4">
        <v>7951.0000799999998</v>
      </c>
      <c r="AD198" s="17">
        <f>AC198/V198</f>
        <v>3.9637277473843248E-2</v>
      </c>
      <c r="AE198" s="9">
        <v>14</v>
      </c>
      <c r="AF198" s="9">
        <v>4192.9999660000003</v>
      </c>
      <c r="AG198" s="18">
        <f>AF198/V198</f>
        <v>2.0902918051556269E-2</v>
      </c>
    </row>
    <row r="199" spans="1:33" ht="14" x14ac:dyDescent="0.2">
      <c r="U199" s="1"/>
      <c r="V199" s="22"/>
      <c r="X199" s="40"/>
      <c r="Y199" s="14"/>
      <c r="Z199" s="15"/>
      <c r="AA199" s="13"/>
      <c r="AC199" s="3"/>
      <c r="AD199" s="17"/>
      <c r="AF199" s="7"/>
      <c r="AG199" s="18"/>
    </row>
    <row r="200" spans="1:33" s="45" customFormat="1" ht="16" x14ac:dyDescent="0.2">
      <c r="D200" s="47"/>
      <c r="E200" s="46"/>
      <c r="G200" s="47"/>
      <c r="H200" s="46"/>
      <c r="J200" s="47"/>
      <c r="K200" s="46"/>
      <c r="M200" s="47"/>
      <c r="N200" s="46"/>
      <c r="P200" s="47"/>
      <c r="Q200" s="46"/>
      <c r="S200" s="47"/>
      <c r="T200" s="46"/>
      <c r="U200" s="48"/>
      <c r="W200" s="47"/>
      <c r="X200" s="46"/>
      <c r="Y200" s="49"/>
      <c r="Z200" s="50"/>
      <c r="AA200" s="51"/>
      <c r="AB200" s="52"/>
      <c r="AC200" s="53"/>
      <c r="AD200" s="54"/>
      <c r="AE200" s="55"/>
      <c r="AF200" s="56"/>
      <c r="AG200" s="57"/>
    </row>
    <row r="201" spans="1:33" ht="14" x14ac:dyDescent="0.2">
      <c r="U201" s="1"/>
      <c r="V201" s="22"/>
      <c r="X201" s="40"/>
      <c r="Y201" s="14"/>
      <c r="Z201" s="15"/>
      <c r="AA201" s="13"/>
      <c r="AC201" s="3"/>
      <c r="AD201" s="17"/>
      <c r="AF201" s="7"/>
      <c r="AG201" s="18"/>
    </row>
    <row r="202" spans="1:33" ht="14" x14ac:dyDescent="0.2">
      <c r="U202" s="1"/>
      <c r="V202" s="22"/>
      <c r="X202" s="40"/>
      <c r="Y202" s="14"/>
      <c r="Z202" s="15"/>
      <c r="AA202" s="13"/>
      <c r="AC202" s="3"/>
      <c r="AD202" s="17"/>
      <c r="AF202" s="7"/>
      <c r="AG202" s="18"/>
    </row>
    <row r="203" spans="1:33" ht="14" x14ac:dyDescent="0.2">
      <c r="U203" s="1"/>
      <c r="V203" s="22"/>
      <c r="X203" s="40"/>
      <c r="Y203" s="14"/>
      <c r="Z203" s="15"/>
      <c r="AA203" s="13"/>
      <c r="AC203" s="3"/>
      <c r="AD203" s="17"/>
      <c r="AF203" s="7"/>
      <c r="AG203" s="18"/>
    </row>
    <row r="204" spans="1:33" ht="14" x14ac:dyDescent="0.2">
      <c r="U204" s="1"/>
      <c r="V204" s="22"/>
      <c r="X204" s="40"/>
      <c r="Y204" s="14"/>
      <c r="Z204" s="15"/>
      <c r="AA204" s="13"/>
      <c r="AC204" s="3"/>
      <c r="AD204" s="17"/>
      <c r="AF204" s="7"/>
      <c r="AG204" s="18"/>
    </row>
    <row r="205" spans="1:33" ht="14" x14ac:dyDescent="0.2">
      <c r="U205" s="1"/>
      <c r="V205" s="22"/>
      <c r="X205" s="40"/>
      <c r="Y205" s="14"/>
      <c r="Z205" s="15"/>
      <c r="AA205" s="13"/>
      <c r="AC205" s="3"/>
      <c r="AD205" s="17"/>
      <c r="AF205" s="7"/>
      <c r="AG205" s="18"/>
    </row>
    <row r="206" spans="1:33" ht="14" x14ac:dyDescent="0.2">
      <c r="U206" s="1"/>
      <c r="V206" s="22"/>
      <c r="X206" s="40"/>
      <c r="Y206" s="14"/>
      <c r="Z206" s="15"/>
      <c r="AA206" s="13"/>
      <c r="AC206" s="3"/>
      <c r="AD206" s="17"/>
      <c r="AF206" s="7"/>
      <c r="AG206" s="18"/>
    </row>
    <row r="207" spans="1:33" ht="14" x14ac:dyDescent="0.2">
      <c r="U207" s="1"/>
      <c r="V207" s="22"/>
      <c r="X207" s="40"/>
      <c r="Y207" s="14"/>
      <c r="Z207" s="15"/>
      <c r="AA207" s="13"/>
      <c r="AC207" s="3"/>
      <c r="AD207" s="17"/>
      <c r="AF207" s="7"/>
      <c r="AG207" s="18"/>
    </row>
    <row r="208" spans="1:33" ht="14" x14ac:dyDescent="0.2">
      <c r="U208" s="1"/>
      <c r="V208" s="22"/>
      <c r="X208" s="40"/>
      <c r="Y208" s="14"/>
      <c r="Z208" s="15"/>
      <c r="AA208" s="13"/>
      <c r="AC208" s="3"/>
      <c r="AD208" s="17"/>
      <c r="AF208" s="7"/>
      <c r="AG208" s="18"/>
    </row>
    <row r="209" spans="21:33" ht="14" x14ac:dyDescent="0.2">
      <c r="U209" s="1"/>
      <c r="V209" s="22"/>
      <c r="X209" s="40"/>
      <c r="Y209" s="14"/>
      <c r="Z209" s="15"/>
      <c r="AA209" s="13"/>
      <c r="AC209" s="3"/>
      <c r="AD209" s="17"/>
      <c r="AF209" s="7"/>
      <c r="AG209" s="18"/>
    </row>
    <row r="210" spans="21:33" ht="14" x14ac:dyDescent="0.2">
      <c r="U210" s="1"/>
      <c r="V210" s="22"/>
      <c r="X210" s="40"/>
      <c r="Y210" s="14"/>
      <c r="Z210" s="15"/>
      <c r="AA210" s="13"/>
      <c r="AC210" s="3"/>
      <c r="AD210" s="17"/>
      <c r="AF210" s="7"/>
      <c r="AG210" s="18"/>
    </row>
    <row r="211" spans="21:33" ht="14" x14ac:dyDescent="0.2">
      <c r="U211" s="1"/>
      <c r="V211" s="22"/>
      <c r="X211" s="40"/>
      <c r="Y211" s="14"/>
      <c r="Z211" s="15"/>
      <c r="AA211" s="13"/>
      <c r="AC211" s="3"/>
      <c r="AD211" s="17"/>
      <c r="AF211" s="7"/>
      <c r="AG211" s="18"/>
    </row>
    <row r="212" spans="21:33" ht="14" x14ac:dyDescent="0.2">
      <c r="U212" s="1"/>
      <c r="V212" s="22"/>
      <c r="X212" s="40"/>
      <c r="Y212" s="14"/>
      <c r="Z212" s="15"/>
      <c r="AA212" s="13"/>
      <c r="AC212" s="3"/>
      <c r="AD212" s="17"/>
      <c r="AF212" s="7"/>
      <c r="AG212" s="18"/>
    </row>
    <row r="213" spans="21:33" ht="14" x14ac:dyDescent="0.2">
      <c r="U213" s="1"/>
      <c r="V213" s="22"/>
      <c r="X213" s="40"/>
      <c r="Y213" s="14"/>
      <c r="Z213" s="15"/>
      <c r="AA213" s="13"/>
      <c r="AC213" s="3"/>
      <c r="AD213" s="17"/>
      <c r="AF213" s="7"/>
      <c r="AG213" s="18"/>
    </row>
    <row r="214" spans="21:33" ht="14" x14ac:dyDescent="0.2">
      <c r="U214" s="1"/>
      <c r="V214" s="22"/>
      <c r="X214" s="40"/>
      <c r="Y214" s="14"/>
      <c r="Z214" s="15"/>
      <c r="AA214" s="13"/>
      <c r="AC214" s="3"/>
      <c r="AD214" s="17"/>
      <c r="AF214" s="7"/>
      <c r="AG214" s="18"/>
    </row>
    <row r="215" spans="21:33" ht="14" x14ac:dyDescent="0.2">
      <c r="U215" s="1"/>
      <c r="V215" s="22"/>
      <c r="X215" s="40"/>
      <c r="Y215" s="14"/>
      <c r="Z215" s="15"/>
      <c r="AA215" s="13"/>
      <c r="AC215" s="3"/>
      <c r="AD215" s="17"/>
      <c r="AF215" s="7"/>
      <c r="AG215" s="18"/>
    </row>
    <row r="216" spans="21:33" ht="14" x14ac:dyDescent="0.2">
      <c r="U216" s="1"/>
      <c r="V216" s="22"/>
      <c r="X216" s="40"/>
      <c r="Y216" s="14"/>
      <c r="Z216" s="15"/>
      <c r="AA216" s="13"/>
      <c r="AC216" s="3"/>
      <c r="AD216" s="17"/>
      <c r="AF216" s="7"/>
      <c r="AG216" s="18"/>
    </row>
    <row r="217" spans="21:33" ht="14" x14ac:dyDescent="0.2">
      <c r="U217" s="1"/>
      <c r="V217" s="22"/>
      <c r="X217" s="40"/>
      <c r="Y217" s="14"/>
      <c r="Z217" s="15"/>
      <c r="AA217" s="13"/>
      <c r="AC217" s="3"/>
      <c r="AD217" s="17"/>
      <c r="AF217" s="7"/>
      <c r="AG217" s="18"/>
    </row>
    <row r="218" spans="21:33" ht="14" x14ac:dyDescent="0.2">
      <c r="U218" s="1"/>
      <c r="V218" s="22"/>
      <c r="X218" s="40"/>
      <c r="Y218" s="14"/>
      <c r="Z218" s="15"/>
      <c r="AA218" s="13"/>
      <c r="AC218" s="3"/>
      <c r="AD218" s="17"/>
      <c r="AF218" s="7"/>
      <c r="AG218" s="18"/>
    </row>
    <row r="219" spans="21:33" ht="14" x14ac:dyDescent="0.2">
      <c r="U219" s="1"/>
      <c r="V219" s="22"/>
      <c r="X219" s="40"/>
      <c r="Y219" s="14"/>
      <c r="Z219" s="15"/>
      <c r="AA219" s="13"/>
      <c r="AC219" s="3"/>
      <c r="AD219" s="17"/>
      <c r="AF219" s="7"/>
      <c r="AG219" s="18"/>
    </row>
    <row r="220" spans="21:33" ht="14" x14ac:dyDescent="0.2">
      <c r="U220" s="1"/>
      <c r="V220" s="22"/>
      <c r="X220" s="40"/>
      <c r="Y220" s="14"/>
      <c r="Z220" s="15"/>
      <c r="AA220" s="13"/>
      <c r="AC220" s="3"/>
      <c r="AD220" s="17"/>
      <c r="AF220" s="7"/>
      <c r="AG220" s="18"/>
    </row>
    <row r="221" spans="21:33" ht="14" x14ac:dyDescent="0.2">
      <c r="U221" s="1"/>
      <c r="V221" s="22"/>
      <c r="X221" s="40"/>
      <c r="Y221" s="14"/>
      <c r="Z221" s="15"/>
      <c r="AA221" s="13"/>
      <c r="AC221" s="3"/>
      <c r="AD221" s="17"/>
      <c r="AF221" s="7"/>
      <c r="AG221" s="18"/>
    </row>
    <row r="222" spans="21:33" ht="14" x14ac:dyDescent="0.2">
      <c r="U222" s="1"/>
      <c r="V222" s="22"/>
      <c r="X222" s="40"/>
      <c r="Y222" s="14"/>
      <c r="Z222" s="15"/>
      <c r="AA222" s="13"/>
      <c r="AC222" s="3"/>
      <c r="AD222" s="17"/>
      <c r="AF222" s="7"/>
      <c r="AG222" s="18"/>
    </row>
    <row r="223" spans="21:33" ht="14" x14ac:dyDescent="0.2">
      <c r="U223" s="1"/>
      <c r="V223" s="22"/>
      <c r="X223" s="40"/>
      <c r="Y223" s="14"/>
      <c r="Z223" s="15"/>
      <c r="AA223" s="13"/>
      <c r="AC223" s="3"/>
      <c r="AD223" s="17"/>
      <c r="AF223" s="7"/>
      <c r="AG223" s="18"/>
    </row>
    <row r="224" spans="21:33" ht="14" x14ac:dyDescent="0.2">
      <c r="U224" s="1"/>
      <c r="V224" s="22"/>
      <c r="X224" s="40"/>
      <c r="Y224" s="14"/>
      <c r="Z224" s="15"/>
      <c r="AA224" s="13"/>
      <c r="AC224" s="3"/>
      <c r="AD224" s="17"/>
      <c r="AF224" s="7"/>
      <c r="AG224" s="18"/>
    </row>
    <row r="225" spans="21:33" ht="14" x14ac:dyDescent="0.2">
      <c r="U225" s="1"/>
      <c r="V225" s="22"/>
      <c r="X225" s="40"/>
      <c r="Y225" s="14"/>
      <c r="Z225" s="15"/>
      <c r="AA225" s="13"/>
      <c r="AC225" s="3"/>
      <c r="AD225" s="17"/>
      <c r="AF225" s="7"/>
      <c r="AG225" s="18"/>
    </row>
    <row r="226" spans="21:33" ht="14" x14ac:dyDescent="0.2">
      <c r="U226" s="1"/>
      <c r="V226" s="22"/>
      <c r="X226" s="40"/>
      <c r="Y226" s="14"/>
      <c r="Z226" s="15"/>
      <c r="AA226" s="13"/>
      <c r="AC226" s="3"/>
      <c r="AD226" s="17"/>
      <c r="AF226" s="7"/>
      <c r="AG226" s="18"/>
    </row>
    <row r="227" spans="21:33" ht="14" x14ac:dyDescent="0.2">
      <c r="U227" s="1"/>
      <c r="V227" s="22"/>
      <c r="X227" s="40"/>
      <c r="Y227" s="14"/>
      <c r="Z227" s="15"/>
      <c r="AA227" s="13"/>
      <c r="AC227" s="3"/>
      <c r="AD227" s="17"/>
      <c r="AF227" s="7"/>
      <c r="AG227" s="18"/>
    </row>
    <row r="228" spans="21:33" ht="14" x14ac:dyDescent="0.2">
      <c r="U228" s="1"/>
      <c r="V228" s="22"/>
      <c r="X228" s="40"/>
      <c r="Y228" s="14"/>
      <c r="Z228" s="15"/>
      <c r="AA228" s="13"/>
      <c r="AC228" s="3"/>
      <c r="AD228" s="17"/>
      <c r="AF228" s="7"/>
      <c r="AG228" s="18"/>
    </row>
    <row r="229" spans="21:33" ht="14" x14ac:dyDescent="0.2">
      <c r="U229" s="1"/>
      <c r="V229" s="22"/>
      <c r="X229" s="40"/>
      <c r="Y229" s="14"/>
      <c r="Z229" s="15"/>
      <c r="AA229" s="13"/>
      <c r="AC229" s="3"/>
      <c r="AD229" s="17"/>
      <c r="AF229" s="7"/>
      <c r="AG229" s="18"/>
    </row>
    <row r="230" spans="21:33" ht="14" x14ac:dyDescent="0.2">
      <c r="U230" s="1"/>
      <c r="V230" s="22"/>
      <c r="X230" s="40"/>
      <c r="Y230" s="14"/>
      <c r="Z230" s="15"/>
      <c r="AA230" s="13"/>
      <c r="AC230" s="3"/>
      <c r="AD230" s="17"/>
      <c r="AF230" s="7"/>
      <c r="AG230" s="18"/>
    </row>
    <row r="231" spans="21:33" ht="14" x14ac:dyDescent="0.2">
      <c r="U231" s="1"/>
      <c r="V231" s="22"/>
      <c r="X231" s="40"/>
      <c r="Y231" s="14"/>
      <c r="Z231" s="15"/>
      <c r="AA231" s="13"/>
      <c r="AC231" s="3"/>
      <c r="AD231" s="17"/>
      <c r="AF231" s="7"/>
      <c r="AG231" s="18"/>
    </row>
    <row r="232" spans="21:33" ht="14" x14ac:dyDescent="0.2">
      <c r="U232" s="1"/>
      <c r="V232" s="22"/>
      <c r="X232" s="40"/>
      <c r="Y232" s="14"/>
      <c r="Z232" s="15"/>
      <c r="AA232" s="13"/>
      <c r="AC232" s="3"/>
      <c r="AD232" s="17"/>
      <c r="AF232" s="7"/>
      <c r="AG232" s="18"/>
    </row>
    <row r="233" spans="21:33" ht="14" x14ac:dyDescent="0.2">
      <c r="U233" s="1"/>
      <c r="V233" s="22"/>
      <c r="X233" s="40"/>
      <c r="Y233" s="14"/>
      <c r="Z233" s="15"/>
      <c r="AA233" s="13"/>
      <c r="AC233" s="3"/>
      <c r="AD233" s="17"/>
      <c r="AF233" s="7"/>
      <c r="AG233" s="18"/>
    </row>
    <row r="234" spans="21:33" ht="14" x14ac:dyDescent="0.2">
      <c r="U234" s="1"/>
      <c r="V234" s="22"/>
      <c r="X234" s="40"/>
      <c r="Y234" s="14"/>
      <c r="Z234" s="15"/>
      <c r="AA234" s="13"/>
      <c r="AC234" s="3"/>
      <c r="AD234" s="17"/>
      <c r="AF234" s="7"/>
      <c r="AG234" s="18"/>
    </row>
    <row r="235" spans="21:33" ht="14" x14ac:dyDescent="0.2">
      <c r="U235" s="1"/>
      <c r="V235" s="22"/>
      <c r="X235" s="40"/>
      <c r="Y235" s="14"/>
      <c r="Z235" s="15"/>
      <c r="AA235" s="13"/>
      <c r="AC235" s="3"/>
      <c r="AD235" s="17"/>
      <c r="AF235" s="7"/>
      <c r="AG235" s="18"/>
    </row>
    <row r="236" spans="21:33" ht="14" x14ac:dyDescent="0.2">
      <c r="U236" s="1"/>
      <c r="V236" s="22"/>
      <c r="X236" s="40"/>
      <c r="Y236" s="14"/>
      <c r="Z236" s="15"/>
      <c r="AA236" s="13"/>
      <c r="AC236" s="3"/>
      <c r="AD236" s="17"/>
      <c r="AF236" s="7"/>
      <c r="AG236" s="18"/>
    </row>
    <row r="237" spans="21:33" ht="14" x14ac:dyDescent="0.2">
      <c r="U237" s="1"/>
      <c r="V237" s="22"/>
      <c r="X237" s="40"/>
      <c r="Y237" s="14"/>
      <c r="Z237" s="15"/>
      <c r="AA237" s="13"/>
      <c r="AC237" s="3"/>
      <c r="AD237" s="17"/>
      <c r="AF237" s="7"/>
      <c r="AG237" s="18"/>
    </row>
    <row r="238" spans="21:33" ht="14" x14ac:dyDescent="0.2">
      <c r="U238" s="1"/>
      <c r="V238" s="22"/>
      <c r="X238" s="40"/>
      <c r="Y238" s="14"/>
      <c r="Z238" s="15"/>
      <c r="AA238" s="13"/>
      <c r="AC238" s="3"/>
      <c r="AD238" s="17"/>
      <c r="AF238" s="7"/>
      <c r="AG238" s="18"/>
    </row>
    <row r="239" spans="21:33" ht="14" x14ac:dyDescent="0.2">
      <c r="U239" s="1"/>
      <c r="V239" s="22"/>
      <c r="X239" s="40"/>
      <c r="Y239" s="14"/>
      <c r="Z239" s="15"/>
      <c r="AA239" s="13"/>
      <c r="AC239" s="3"/>
      <c r="AD239" s="17"/>
      <c r="AF239" s="7"/>
      <c r="AG239" s="18"/>
    </row>
    <row r="240" spans="21:33" ht="14" x14ac:dyDescent="0.2">
      <c r="U240" s="1"/>
      <c r="V240" s="22"/>
      <c r="X240" s="40"/>
      <c r="Y240" s="14"/>
      <c r="Z240" s="15"/>
      <c r="AA240" s="13"/>
      <c r="AC240" s="3"/>
      <c r="AD240" s="17"/>
      <c r="AF240" s="7"/>
      <c r="AG240" s="18"/>
    </row>
    <row r="241" spans="21:33" ht="14" x14ac:dyDescent="0.2">
      <c r="U241" s="1"/>
      <c r="V241" s="22"/>
      <c r="X241" s="40"/>
      <c r="Y241" s="14"/>
      <c r="Z241" s="15"/>
      <c r="AA241" s="13"/>
      <c r="AC241" s="3"/>
      <c r="AD241" s="17"/>
      <c r="AF241" s="7"/>
      <c r="AG241" s="18"/>
    </row>
    <row r="242" spans="21:33" ht="14" x14ac:dyDescent="0.2">
      <c r="U242" s="1"/>
      <c r="V242" s="22"/>
      <c r="X242" s="40"/>
      <c r="Y242" s="14"/>
      <c r="Z242" s="15"/>
      <c r="AA242" s="13"/>
      <c r="AC242" s="3"/>
      <c r="AD242" s="17"/>
      <c r="AF242" s="7"/>
      <c r="AG242" s="18"/>
    </row>
    <row r="243" spans="21:33" ht="14" x14ac:dyDescent="0.2">
      <c r="U243" s="1"/>
      <c r="V243" s="22"/>
      <c r="X243" s="40"/>
      <c r="Y243" s="14"/>
      <c r="Z243" s="15"/>
      <c r="AA243" s="13"/>
      <c r="AC243" s="3"/>
      <c r="AD243" s="17"/>
      <c r="AF243" s="7"/>
      <c r="AG243" s="18"/>
    </row>
    <row r="244" spans="21:33" ht="14" x14ac:dyDescent="0.2">
      <c r="U244" s="1"/>
      <c r="V244" s="22"/>
      <c r="X244" s="40"/>
      <c r="Y244" s="14"/>
      <c r="Z244" s="15"/>
      <c r="AA244" s="13"/>
      <c r="AC244" s="3"/>
      <c r="AD244" s="17"/>
      <c r="AF244" s="7"/>
      <c r="AG244" s="18"/>
    </row>
    <row r="245" spans="21:33" ht="14" x14ac:dyDescent="0.2">
      <c r="U245" s="1"/>
      <c r="V245" s="22"/>
      <c r="X245" s="40"/>
      <c r="Y245" s="14"/>
      <c r="Z245" s="15"/>
      <c r="AA245" s="13"/>
      <c r="AC245" s="3"/>
      <c r="AD245" s="17"/>
      <c r="AF245" s="7"/>
      <c r="AG245" s="18"/>
    </row>
    <row r="246" spans="21:33" ht="14" x14ac:dyDescent="0.2">
      <c r="U246" s="1"/>
      <c r="V246" s="22"/>
      <c r="X246" s="40"/>
      <c r="Y246" s="14"/>
      <c r="Z246" s="15"/>
      <c r="AA246" s="13"/>
      <c r="AC246" s="3"/>
      <c r="AD246" s="17"/>
      <c r="AF246" s="7"/>
      <c r="AG246" s="18"/>
    </row>
    <row r="247" spans="21:33" ht="14" x14ac:dyDescent="0.2">
      <c r="U247" s="1"/>
      <c r="V247" s="22"/>
      <c r="X247" s="40"/>
      <c r="Y247" s="14"/>
      <c r="Z247" s="15"/>
      <c r="AA247" s="13"/>
      <c r="AC247" s="3"/>
      <c r="AD247" s="17"/>
      <c r="AF247" s="7"/>
      <c r="AG247" s="18"/>
    </row>
    <row r="248" spans="21:33" ht="14" x14ac:dyDescent="0.2">
      <c r="U248" s="1"/>
      <c r="V248" s="22"/>
      <c r="X248" s="40"/>
      <c r="Y248" s="14"/>
      <c r="Z248" s="15"/>
      <c r="AA248" s="13"/>
      <c r="AC248" s="3"/>
      <c r="AD248" s="17"/>
      <c r="AF248" s="7"/>
      <c r="AG248" s="18"/>
    </row>
    <row r="249" spans="21:33" ht="14" x14ac:dyDescent="0.2">
      <c r="U249" s="1"/>
      <c r="V249" s="22"/>
      <c r="X249" s="40"/>
      <c r="Y249" s="14"/>
      <c r="Z249" s="15"/>
      <c r="AA249" s="13"/>
      <c r="AC249" s="3"/>
      <c r="AD249" s="17"/>
      <c r="AF249" s="7"/>
      <c r="AG249" s="18"/>
    </row>
    <row r="250" spans="21:33" ht="14" x14ac:dyDescent="0.2">
      <c r="U250" s="1"/>
      <c r="V250" s="22"/>
      <c r="X250" s="40"/>
      <c r="Y250" s="14"/>
      <c r="Z250" s="15"/>
      <c r="AA250" s="13"/>
      <c r="AC250" s="3"/>
      <c r="AD250" s="17"/>
      <c r="AF250" s="7"/>
      <c r="AG250" s="18"/>
    </row>
    <row r="251" spans="21:33" ht="14" x14ac:dyDescent="0.2">
      <c r="U251" s="1"/>
      <c r="V251" s="22"/>
      <c r="X251" s="40"/>
      <c r="Y251" s="14"/>
      <c r="Z251" s="15"/>
      <c r="AA251" s="13"/>
      <c r="AC251" s="3"/>
      <c r="AD251" s="17"/>
      <c r="AF251" s="7"/>
      <c r="AG251" s="18"/>
    </row>
    <row r="252" spans="21:33" ht="14" x14ac:dyDescent="0.2">
      <c r="U252" s="1"/>
      <c r="V252" s="22"/>
      <c r="X252" s="40"/>
      <c r="Y252" s="14"/>
      <c r="Z252" s="15"/>
      <c r="AA252" s="13"/>
      <c r="AC252" s="3"/>
      <c r="AD252" s="17"/>
      <c r="AF252" s="7"/>
      <c r="AG252" s="18"/>
    </row>
    <row r="253" spans="21:33" ht="14" x14ac:dyDescent="0.2">
      <c r="U253" s="1"/>
      <c r="V253" s="22"/>
      <c r="X253" s="40"/>
      <c r="Y253" s="14"/>
      <c r="Z253" s="15"/>
      <c r="AA253" s="13"/>
      <c r="AC253" s="3"/>
      <c r="AD253" s="17"/>
      <c r="AF253" s="7"/>
      <c r="AG253" s="18"/>
    </row>
    <row r="254" spans="21:33" ht="14" x14ac:dyDescent="0.2">
      <c r="U254" s="1"/>
      <c r="V254" s="22"/>
      <c r="X254" s="40"/>
      <c r="Y254" s="14"/>
      <c r="Z254" s="15"/>
      <c r="AA254" s="13"/>
      <c r="AC254" s="3"/>
      <c r="AD254" s="17"/>
      <c r="AF254" s="7"/>
      <c r="AG254" s="18"/>
    </row>
    <row r="255" spans="21:33" ht="14" x14ac:dyDescent="0.2">
      <c r="U255" s="1"/>
      <c r="V255" s="22"/>
      <c r="X255" s="40"/>
      <c r="Y255" s="14"/>
      <c r="Z255" s="15"/>
      <c r="AA255" s="13"/>
      <c r="AC255" s="3"/>
      <c r="AD255" s="17"/>
      <c r="AF255" s="7"/>
      <c r="AG255" s="18"/>
    </row>
    <row r="256" spans="21:33" ht="14" x14ac:dyDescent="0.2">
      <c r="U256" s="1"/>
      <c r="V256" s="22"/>
      <c r="X256" s="40"/>
      <c r="Y256" s="14"/>
      <c r="Z256" s="15"/>
      <c r="AA256" s="13"/>
      <c r="AC256" s="3"/>
      <c r="AD256" s="17"/>
      <c r="AF256" s="7"/>
      <c r="AG256" s="18"/>
    </row>
    <row r="257" spans="21:33" ht="14" x14ac:dyDescent="0.2">
      <c r="U257" s="1"/>
      <c r="V257" s="22"/>
      <c r="X257" s="40"/>
      <c r="Y257" s="14"/>
      <c r="Z257" s="15"/>
      <c r="AA257" s="13"/>
      <c r="AC257" s="3"/>
      <c r="AD257" s="17"/>
      <c r="AF257" s="7"/>
      <c r="AG257" s="18"/>
    </row>
    <row r="258" spans="21:33" ht="14" x14ac:dyDescent="0.2">
      <c r="U258" s="1"/>
      <c r="V258" s="22"/>
      <c r="X258" s="40"/>
      <c r="Y258" s="14"/>
      <c r="Z258" s="15"/>
      <c r="AA258" s="13"/>
      <c r="AC258" s="3"/>
      <c r="AD258" s="17"/>
      <c r="AF258" s="7"/>
      <c r="AG258" s="18"/>
    </row>
    <row r="259" spans="21:33" ht="14" x14ac:dyDescent="0.2">
      <c r="U259" s="1"/>
      <c r="V259" s="22"/>
      <c r="X259" s="40"/>
      <c r="Y259" s="14"/>
      <c r="Z259" s="15"/>
      <c r="AA259" s="13"/>
      <c r="AC259" s="3"/>
      <c r="AD259" s="17"/>
      <c r="AF259" s="7"/>
      <c r="AG259" s="18"/>
    </row>
    <row r="260" spans="21:33" ht="14" x14ac:dyDescent="0.2">
      <c r="U260" s="1"/>
      <c r="V260" s="22"/>
      <c r="X260" s="40"/>
      <c r="Y260" s="14"/>
      <c r="Z260" s="15"/>
      <c r="AA260" s="13"/>
      <c r="AC260" s="3"/>
      <c r="AD260" s="17"/>
      <c r="AF260" s="7"/>
      <c r="AG260" s="18"/>
    </row>
    <row r="261" spans="21:33" ht="14" x14ac:dyDescent="0.2">
      <c r="U261" s="1"/>
      <c r="V261" s="22"/>
      <c r="X261" s="40"/>
      <c r="Y261" s="14"/>
      <c r="Z261" s="15"/>
      <c r="AA261" s="13"/>
      <c r="AC261" s="3"/>
      <c r="AD261" s="17"/>
      <c r="AF261" s="7"/>
      <c r="AG261" s="18"/>
    </row>
    <row r="262" spans="21:33" ht="14" x14ac:dyDescent="0.2">
      <c r="U262" s="1"/>
      <c r="V262" s="22"/>
      <c r="X262" s="40"/>
      <c r="Y262" s="14"/>
      <c r="Z262" s="15"/>
      <c r="AA262" s="13"/>
      <c r="AC262" s="3"/>
      <c r="AD262" s="17"/>
      <c r="AF262" s="7"/>
      <c r="AG262" s="18"/>
    </row>
    <row r="263" spans="21:33" ht="14" x14ac:dyDescent="0.2">
      <c r="U263" s="1"/>
      <c r="V263" s="22"/>
      <c r="X263" s="40"/>
      <c r="Y263" s="14"/>
      <c r="Z263" s="15"/>
      <c r="AA263" s="13"/>
      <c r="AC263" s="3"/>
      <c r="AD263" s="17"/>
      <c r="AF263" s="7"/>
      <c r="AG263" s="18"/>
    </row>
    <row r="264" spans="21:33" ht="14" x14ac:dyDescent="0.2">
      <c r="U264" s="1"/>
      <c r="V264" s="22"/>
      <c r="X264" s="40"/>
      <c r="Y264" s="14"/>
      <c r="Z264" s="15"/>
      <c r="AA264" s="13"/>
      <c r="AC264" s="3"/>
      <c r="AD264" s="17"/>
      <c r="AF264" s="7"/>
      <c r="AG264" s="18"/>
    </row>
    <row r="265" spans="21:33" ht="14" x14ac:dyDescent="0.2">
      <c r="U265" s="1"/>
      <c r="V265" s="22"/>
      <c r="X265" s="40"/>
      <c r="Y265" s="14"/>
      <c r="Z265" s="15"/>
      <c r="AA265" s="13"/>
      <c r="AC265" s="3"/>
      <c r="AD265" s="17"/>
      <c r="AF265" s="7"/>
      <c r="AG265" s="18"/>
    </row>
    <row r="266" spans="21:33" ht="14" x14ac:dyDescent="0.2">
      <c r="U266" s="1"/>
      <c r="V266" s="22"/>
      <c r="X266" s="40"/>
      <c r="Y266" s="14"/>
      <c r="Z266" s="15"/>
      <c r="AA266" s="13"/>
      <c r="AC266" s="3"/>
      <c r="AD266" s="17"/>
      <c r="AF266" s="7"/>
      <c r="AG266" s="18"/>
    </row>
    <row r="267" spans="21:33" ht="14" x14ac:dyDescent="0.2">
      <c r="U267" s="1"/>
      <c r="V267" s="22"/>
      <c r="X267" s="40"/>
      <c r="Y267" s="14"/>
      <c r="Z267" s="15"/>
      <c r="AA267" s="13"/>
      <c r="AC267" s="3"/>
      <c r="AD267" s="17"/>
      <c r="AF267" s="7"/>
      <c r="AG267" s="18"/>
    </row>
    <row r="268" spans="21:33" ht="14" x14ac:dyDescent="0.2">
      <c r="U268" s="1"/>
      <c r="V268" s="22"/>
      <c r="X268" s="40"/>
      <c r="Y268" s="14"/>
      <c r="Z268" s="15"/>
      <c r="AA268" s="13"/>
      <c r="AC268" s="3"/>
      <c r="AD268" s="17"/>
      <c r="AF268" s="7"/>
      <c r="AG268" s="18"/>
    </row>
    <row r="269" spans="21:33" ht="14" x14ac:dyDescent="0.2">
      <c r="U269" s="1"/>
      <c r="V269" s="22"/>
      <c r="X269" s="40"/>
      <c r="Y269" s="14"/>
      <c r="Z269" s="15"/>
      <c r="AA269" s="13"/>
      <c r="AC269" s="3"/>
      <c r="AD269" s="17"/>
      <c r="AF269" s="7"/>
      <c r="AG269" s="18"/>
    </row>
    <row r="270" spans="21:33" ht="14" x14ac:dyDescent="0.2">
      <c r="U270" s="1"/>
      <c r="V270" s="22"/>
      <c r="X270" s="40"/>
      <c r="Y270" s="14"/>
      <c r="Z270" s="15"/>
      <c r="AA270" s="13"/>
      <c r="AC270" s="3"/>
      <c r="AD270" s="17"/>
      <c r="AF270" s="7"/>
      <c r="AG270" s="18"/>
    </row>
    <row r="271" spans="21:33" ht="14" x14ac:dyDescent="0.2">
      <c r="U271" s="1"/>
      <c r="V271" s="22"/>
      <c r="X271" s="40"/>
      <c r="Y271" s="14"/>
      <c r="Z271" s="15"/>
      <c r="AA271" s="13"/>
      <c r="AC271" s="3"/>
      <c r="AD271" s="17"/>
      <c r="AF271" s="7"/>
      <c r="AG271" s="18"/>
    </row>
    <row r="272" spans="21:33" ht="14" x14ac:dyDescent="0.2">
      <c r="U272" s="1"/>
      <c r="V272" s="22"/>
      <c r="X272" s="40"/>
      <c r="Y272" s="14"/>
      <c r="Z272" s="15"/>
      <c r="AA272" s="13"/>
      <c r="AC272" s="3"/>
      <c r="AD272" s="17"/>
      <c r="AF272" s="7"/>
      <c r="AG272" s="18"/>
    </row>
    <row r="273" spans="21:33" ht="14" x14ac:dyDescent="0.2">
      <c r="U273" s="1"/>
      <c r="V273" s="22"/>
      <c r="X273" s="40"/>
      <c r="Y273" s="14"/>
      <c r="Z273" s="15"/>
      <c r="AA273" s="13"/>
      <c r="AC273" s="3"/>
      <c r="AD273" s="17"/>
      <c r="AF273" s="7"/>
      <c r="AG273" s="18"/>
    </row>
    <row r="274" spans="21:33" ht="14" x14ac:dyDescent="0.2">
      <c r="U274" s="1"/>
      <c r="V274" s="22"/>
      <c r="X274" s="40"/>
      <c r="Y274" s="14"/>
      <c r="Z274" s="15"/>
      <c r="AA274" s="13"/>
      <c r="AC274" s="3"/>
      <c r="AD274" s="17"/>
      <c r="AF274" s="7"/>
      <c r="AG274" s="18"/>
    </row>
    <row r="275" spans="21:33" ht="14" x14ac:dyDescent="0.2">
      <c r="U275" s="1"/>
      <c r="V275" s="22"/>
      <c r="X275" s="40"/>
      <c r="Y275" s="14"/>
      <c r="Z275" s="15"/>
      <c r="AA275" s="13"/>
      <c r="AC275" s="3"/>
      <c r="AD275" s="17"/>
      <c r="AF275" s="7"/>
      <c r="AG275" s="18"/>
    </row>
    <row r="276" spans="21:33" ht="14" x14ac:dyDescent="0.2">
      <c r="U276" s="1"/>
      <c r="V276" s="22"/>
      <c r="X276" s="40"/>
      <c r="Y276" s="14"/>
      <c r="Z276" s="15"/>
      <c r="AA276" s="13"/>
      <c r="AC276" s="3"/>
      <c r="AD276" s="17"/>
      <c r="AF276" s="7"/>
      <c r="AG276" s="18"/>
    </row>
    <row r="277" spans="21:33" ht="14" x14ac:dyDescent="0.2">
      <c r="U277" s="1"/>
      <c r="V277" s="22"/>
      <c r="X277" s="40"/>
      <c r="Y277" s="14"/>
      <c r="Z277" s="15"/>
      <c r="AA277" s="13"/>
      <c r="AC277" s="3"/>
      <c r="AD277" s="17"/>
      <c r="AF277" s="7"/>
      <c r="AG277" s="18"/>
    </row>
    <row r="278" spans="21:33" ht="14" x14ac:dyDescent="0.2">
      <c r="U278" s="1"/>
      <c r="V278" s="22"/>
      <c r="X278" s="40"/>
      <c r="Y278" s="14"/>
      <c r="Z278" s="15"/>
      <c r="AA278" s="13"/>
      <c r="AC278" s="3"/>
      <c r="AD278" s="17"/>
      <c r="AF278" s="7"/>
      <c r="AG278" s="18"/>
    </row>
    <row r="279" spans="21:33" ht="14" x14ac:dyDescent="0.2">
      <c r="U279" s="1"/>
      <c r="V279" s="22"/>
      <c r="X279" s="40"/>
      <c r="Y279" s="14"/>
      <c r="Z279" s="15"/>
      <c r="AA279" s="13"/>
      <c r="AC279" s="3"/>
      <c r="AD279" s="17"/>
      <c r="AF279" s="7"/>
      <c r="AG279" s="18"/>
    </row>
    <row r="280" spans="21:33" ht="14" x14ac:dyDescent="0.2">
      <c r="U280" s="1"/>
      <c r="V280" s="22"/>
      <c r="X280" s="40"/>
      <c r="Y280" s="14"/>
      <c r="Z280" s="15"/>
      <c r="AA280" s="13"/>
      <c r="AC280" s="3"/>
      <c r="AD280" s="17"/>
      <c r="AF280" s="7"/>
      <c r="AG280" s="18"/>
    </row>
    <row r="281" spans="21:33" ht="14" x14ac:dyDescent="0.2">
      <c r="U281" s="1"/>
      <c r="V281" s="22"/>
      <c r="X281" s="40"/>
      <c r="Y281" s="14"/>
      <c r="Z281" s="15"/>
      <c r="AA281" s="13"/>
      <c r="AC281" s="3"/>
      <c r="AD281" s="17"/>
      <c r="AF281" s="7"/>
      <c r="AG281" s="18"/>
    </row>
    <row r="282" spans="21:33" ht="14" x14ac:dyDescent="0.2">
      <c r="U282" s="1"/>
      <c r="V282" s="22"/>
      <c r="X282" s="40"/>
      <c r="Y282" s="14"/>
      <c r="Z282" s="15"/>
      <c r="AA282" s="13"/>
      <c r="AC282" s="3"/>
      <c r="AD282" s="17"/>
      <c r="AF282" s="7"/>
      <c r="AG282" s="18"/>
    </row>
    <row r="283" spans="21:33" ht="14" x14ac:dyDescent="0.2">
      <c r="U283" s="1"/>
      <c r="V283" s="22"/>
      <c r="X283" s="40"/>
      <c r="Y283" s="14"/>
      <c r="Z283" s="15"/>
      <c r="AA283" s="13"/>
      <c r="AC283" s="3"/>
      <c r="AD283" s="17"/>
      <c r="AF283" s="7"/>
      <c r="AG283" s="18"/>
    </row>
    <row r="284" spans="21:33" ht="14" x14ac:dyDescent="0.2">
      <c r="U284" s="1"/>
      <c r="V284" s="22"/>
      <c r="X284" s="40"/>
      <c r="Y284" s="14"/>
      <c r="Z284" s="15"/>
      <c r="AA284" s="13"/>
      <c r="AC284" s="3"/>
      <c r="AD284" s="17"/>
      <c r="AF284" s="7"/>
      <c r="AG284" s="18"/>
    </row>
    <row r="285" spans="21:33" ht="14" x14ac:dyDescent="0.2">
      <c r="U285" s="1"/>
      <c r="V285" s="22"/>
      <c r="X285" s="40"/>
      <c r="Y285" s="14"/>
      <c r="Z285" s="15"/>
      <c r="AA285" s="13"/>
      <c r="AC285" s="3"/>
      <c r="AD285" s="17"/>
      <c r="AF285" s="7"/>
      <c r="AG285" s="18"/>
    </row>
    <row r="286" spans="21:33" ht="14" x14ac:dyDescent="0.2">
      <c r="U286" s="1"/>
      <c r="V286" s="22"/>
      <c r="X286" s="40"/>
      <c r="Y286" s="14"/>
      <c r="Z286" s="15"/>
      <c r="AA286" s="13"/>
      <c r="AC286" s="3"/>
      <c r="AD286" s="17"/>
      <c r="AF286" s="7"/>
      <c r="AG286" s="18"/>
    </row>
    <row r="287" spans="21:33" ht="14" x14ac:dyDescent="0.2">
      <c r="U287" s="1"/>
      <c r="V287" s="22"/>
      <c r="X287" s="40"/>
      <c r="Y287" s="14"/>
      <c r="Z287" s="15"/>
      <c r="AA287" s="13"/>
      <c r="AC287" s="3"/>
      <c r="AD287" s="17"/>
      <c r="AF287" s="7"/>
      <c r="AG287" s="18"/>
    </row>
    <row r="288" spans="21:33" ht="14" x14ac:dyDescent="0.2">
      <c r="U288" s="1"/>
      <c r="V288" s="22"/>
      <c r="X288" s="40"/>
      <c r="Y288" s="14"/>
      <c r="Z288" s="15"/>
      <c r="AA288" s="13"/>
      <c r="AC288" s="3"/>
      <c r="AD288" s="17"/>
      <c r="AF288" s="7"/>
      <c r="AG288" s="18"/>
    </row>
    <row r="289" spans="21:33" ht="14" x14ac:dyDescent="0.2">
      <c r="U289" s="1"/>
      <c r="V289" s="22"/>
      <c r="X289" s="40"/>
      <c r="Y289" s="14"/>
      <c r="Z289" s="15"/>
      <c r="AA289" s="13"/>
      <c r="AC289" s="3"/>
      <c r="AD289" s="17"/>
      <c r="AF289" s="7"/>
      <c r="AG289" s="18"/>
    </row>
    <row r="290" spans="21:33" ht="14" x14ac:dyDescent="0.2">
      <c r="U290" s="1"/>
      <c r="V290" s="22"/>
      <c r="X290" s="40"/>
      <c r="Y290" s="14"/>
      <c r="Z290" s="15"/>
      <c r="AA290" s="13"/>
      <c r="AC290" s="3"/>
      <c r="AD290" s="17"/>
      <c r="AF290" s="7"/>
      <c r="AG290" s="18"/>
    </row>
    <row r="291" spans="21:33" ht="14" x14ac:dyDescent="0.2">
      <c r="U291" s="1"/>
      <c r="V291" s="22"/>
      <c r="X291" s="40"/>
      <c r="Y291" s="14"/>
      <c r="Z291" s="15"/>
      <c r="AA291" s="13"/>
      <c r="AC291" s="3"/>
      <c r="AD291" s="17"/>
      <c r="AF291" s="7"/>
      <c r="AG291" s="18"/>
    </row>
    <row r="292" spans="21:33" ht="14" x14ac:dyDescent="0.2">
      <c r="U292" s="1"/>
      <c r="V292" s="22"/>
      <c r="X292" s="40"/>
      <c r="Y292" s="14"/>
      <c r="Z292" s="15"/>
      <c r="AA292" s="13"/>
      <c r="AC292" s="3"/>
      <c r="AD292" s="17"/>
      <c r="AF292" s="7"/>
      <c r="AG292" s="18"/>
    </row>
    <row r="293" spans="21:33" ht="14" x14ac:dyDescent="0.2">
      <c r="U293" s="1"/>
      <c r="V293" s="22"/>
      <c r="X293" s="40"/>
      <c r="Y293" s="14"/>
      <c r="Z293" s="15"/>
      <c r="AA293" s="13"/>
      <c r="AC293" s="3"/>
      <c r="AD293" s="17"/>
      <c r="AF293" s="7"/>
      <c r="AG293" s="18"/>
    </row>
    <row r="294" spans="21:33" ht="14" x14ac:dyDescent="0.2">
      <c r="U294" s="1"/>
      <c r="V294" s="22"/>
      <c r="X294" s="40"/>
      <c r="Y294" s="14"/>
      <c r="Z294" s="15"/>
      <c r="AA294" s="13"/>
      <c r="AC294" s="3"/>
      <c r="AD294" s="17"/>
      <c r="AF294" s="7"/>
      <c r="AG294" s="18"/>
    </row>
    <row r="295" spans="21:33" ht="14" x14ac:dyDescent="0.2">
      <c r="U295" s="1"/>
      <c r="V295" s="22"/>
      <c r="X295" s="40"/>
      <c r="Y295" s="14"/>
      <c r="Z295" s="15"/>
      <c r="AA295" s="13"/>
      <c r="AC295" s="3"/>
      <c r="AD295" s="17"/>
      <c r="AF295" s="7"/>
      <c r="AG295" s="18"/>
    </row>
    <row r="296" spans="21:33" ht="14" x14ac:dyDescent="0.2">
      <c r="U296" s="1"/>
      <c r="V296" s="22"/>
      <c r="X296" s="40"/>
      <c r="Y296" s="14"/>
      <c r="Z296" s="15"/>
      <c r="AA296" s="13"/>
      <c r="AC296" s="3"/>
      <c r="AD296" s="17"/>
      <c r="AF296" s="7"/>
      <c r="AG296" s="18"/>
    </row>
    <row r="297" spans="21:33" ht="14" x14ac:dyDescent="0.2">
      <c r="U297" s="1"/>
      <c r="V297" s="22"/>
      <c r="X297" s="40"/>
      <c r="Y297" s="14"/>
      <c r="Z297" s="15"/>
      <c r="AA297" s="13"/>
      <c r="AC297" s="3"/>
      <c r="AD297" s="17"/>
      <c r="AF297" s="7"/>
      <c r="AG297" s="18"/>
    </row>
    <row r="298" spans="21:33" ht="14" x14ac:dyDescent="0.2">
      <c r="U298" s="1"/>
      <c r="V298" s="22"/>
      <c r="X298" s="40"/>
      <c r="Y298" s="14"/>
      <c r="Z298" s="15"/>
      <c r="AA298" s="13"/>
      <c r="AC298" s="3"/>
      <c r="AD298" s="17"/>
      <c r="AF298" s="7"/>
      <c r="AG298" s="18"/>
    </row>
    <row r="299" spans="21:33" ht="14" x14ac:dyDescent="0.2">
      <c r="U299" s="1"/>
      <c r="V299" s="22"/>
      <c r="X299" s="40"/>
      <c r="Y299" s="14"/>
      <c r="Z299" s="15"/>
      <c r="AA299" s="13"/>
      <c r="AC299" s="3"/>
      <c r="AD299" s="17"/>
      <c r="AF299" s="7"/>
      <c r="AG299" s="18"/>
    </row>
    <row r="300" spans="21:33" ht="14" x14ac:dyDescent="0.2">
      <c r="U300" s="1"/>
      <c r="V300" s="22"/>
      <c r="X300" s="40"/>
      <c r="Y300" s="14"/>
      <c r="Z300" s="15"/>
      <c r="AA300" s="13"/>
      <c r="AC300" s="3"/>
      <c r="AD300" s="17"/>
      <c r="AF300" s="7"/>
      <c r="AG300" s="18"/>
    </row>
    <row r="301" spans="21:33" ht="14" x14ac:dyDescent="0.2">
      <c r="U301" s="1"/>
      <c r="V301" s="22"/>
      <c r="X301" s="40"/>
      <c r="Y301" s="14"/>
      <c r="Z301" s="15"/>
      <c r="AA301" s="13"/>
      <c r="AC301" s="3"/>
      <c r="AD301" s="17"/>
      <c r="AF301" s="7"/>
      <c r="AG301" s="18"/>
    </row>
    <row r="302" spans="21:33" ht="14" x14ac:dyDescent="0.2">
      <c r="U302" s="1"/>
      <c r="V302" s="22"/>
      <c r="X302" s="40"/>
      <c r="Y302" s="14"/>
      <c r="Z302" s="15"/>
      <c r="AA302" s="13"/>
      <c r="AC302" s="3"/>
      <c r="AD302" s="17"/>
      <c r="AF302" s="7"/>
      <c r="AG302" s="18"/>
    </row>
    <row r="303" spans="21:33" ht="14" x14ac:dyDescent="0.2">
      <c r="U303" s="1"/>
      <c r="V303" s="22"/>
      <c r="X303" s="40"/>
      <c r="Y303" s="14"/>
      <c r="Z303" s="15"/>
      <c r="AA303" s="13"/>
      <c r="AC303" s="3"/>
      <c r="AD303" s="17"/>
      <c r="AF303" s="7"/>
      <c r="AG303" s="18"/>
    </row>
    <row r="304" spans="21:33" ht="14" x14ac:dyDescent="0.2">
      <c r="U304" s="1"/>
      <c r="V304" s="22"/>
      <c r="X304" s="40"/>
      <c r="Y304" s="14"/>
      <c r="Z304" s="15"/>
      <c r="AA304" s="13"/>
      <c r="AC304" s="3"/>
      <c r="AD304" s="17"/>
      <c r="AF304" s="7"/>
      <c r="AG304" s="18"/>
    </row>
    <row r="305" spans="21:33" ht="14" x14ac:dyDescent="0.2">
      <c r="U305" s="1"/>
      <c r="V305" s="22"/>
      <c r="X305" s="40"/>
      <c r="Y305" s="14"/>
      <c r="Z305" s="15"/>
      <c r="AA305" s="13"/>
      <c r="AC305" s="3"/>
      <c r="AD305" s="17"/>
      <c r="AF305" s="7"/>
      <c r="AG305" s="18"/>
    </row>
    <row r="306" spans="21:33" ht="14" x14ac:dyDescent="0.2">
      <c r="U306" s="1"/>
      <c r="V306" s="22"/>
      <c r="X306" s="40"/>
      <c r="Y306" s="14"/>
      <c r="Z306" s="15"/>
      <c r="AA306" s="13"/>
      <c r="AC306" s="3"/>
      <c r="AD306" s="17"/>
      <c r="AF306" s="7"/>
      <c r="AG306" s="18"/>
    </row>
    <row r="307" spans="21:33" ht="14" x14ac:dyDescent="0.2">
      <c r="U307" s="1"/>
      <c r="V307" s="22"/>
      <c r="X307" s="40"/>
      <c r="Y307" s="14"/>
      <c r="Z307" s="15"/>
      <c r="AA307" s="13"/>
      <c r="AC307" s="3"/>
      <c r="AD307" s="17"/>
      <c r="AF307" s="7"/>
      <c r="AG307" s="18"/>
    </row>
    <row r="308" spans="21:33" ht="14" x14ac:dyDescent="0.2">
      <c r="U308" s="1"/>
      <c r="V308" s="22"/>
      <c r="X308" s="40"/>
      <c r="Y308" s="14"/>
      <c r="Z308" s="15"/>
      <c r="AA308" s="13"/>
      <c r="AC308" s="3"/>
      <c r="AD308" s="17"/>
      <c r="AF308" s="7"/>
      <c r="AG308" s="18"/>
    </row>
    <row r="309" spans="21:33" ht="14" x14ac:dyDescent="0.2">
      <c r="U309" s="1"/>
      <c r="V309" s="22"/>
      <c r="X309" s="40"/>
      <c r="Y309" s="14"/>
      <c r="Z309" s="15"/>
      <c r="AA309" s="13"/>
      <c r="AC309" s="3"/>
      <c r="AD309" s="17"/>
      <c r="AF309" s="7"/>
      <c r="AG309" s="18"/>
    </row>
    <row r="310" spans="21:33" ht="14" x14ac:dyDescent="0.2">
      <c r="U310" s="1"/>
      <c r="V310" s="22"/>
      <c r="X310" s="40"/>
      <c r="Y310" s="14"/>
      <c r="Z310" s="15"/>
      <c r="AA310" s="13"/>
      <c r="AC310" s="3"/>
      <c r="AD310" s="17"/>
      <c r="AF310" s="7"/>
      <c r="AG310" s="18"/>
    </row>
    <row r="311" spans="21:33" ht="14" x14ac:dyDescent="0.2">
      <c r="U311" s="1"/>
      <c r="V311" s="22"/>
      <c r="X311" s="40"/>
      <c r="Y311" s="14"/>
      <c r="Z311" s="15"/>
      <c r="AA311" s="13"/>
      <c r="AC311" s="3"/>
      <c r="AD311" s="17"/>
      <c r="AF311" s="7"/>
      <c r="AG311" s="18"/>
    </row>
    <row r="312" spans="21:33" ht="14" x14ac:dyDescent="0.2">
      <c r="U312" s="1"/>
      <c r="V312" s="22"/>
      <c r="X312" s="40"/>
      <c r="Y312" s="14"/>
      <c r="Z312" s="15"/>
      <c r="AA312" s="13"/>
      <c r="AC312" s="3"/>
      <c r="AD312" s="17"/>
      <c r="AF312" s="7"/>
      <c r="AG312" s="18"/>
    </row>
    <row r="313" spans="21:33" ht="14" x14ac:dyDescent="0.2">
      <c r="U313" s="1"/>
      <c r="V313" s="22"/>
      <c r="X313" s="40"/>
      <c r="Y313" s="14"/>
      <c r="Z313" s="15"/>
      <c r="AA313" s="13"/>
      <c r="AC313" s="3"/>
      <c r="AD313" s="17"/>
      <c r="AF313" s="7"/>
      <c r="AG313" s="18"/>
    </row>
    <row r="314" spans="21:33" ht="14" x14ac:dyDescent="0.2">
      <c r="U314" s="1"/>
      <c r="V314" s="22"/>
      <c r="X314" s="40"/>
      <c r="Y314" s="14"/>
      <c r="Z314" s="15"/>
      <c r="AA314" s="13"/>
      <c r="AC314" s="3"/>
      <c r="AD314" s="17"/>
      <c r="AF314" s="7"/>
      <c r="AG314" s="18"/>
    </row>
    <row r="315" spans="21:33" ht="14" x14ac:dyDescent="0.2">
      <c r="U315" s="1"/>
      <c r="V315" s="22"/>
      <c r="X315" s="40"/>
      <c r="Y315" s="14"/>
      <c r="Z315" s="15"/>
      <c r="AA315" s="13"/>
      <c r="AC315" s="3"/>
      <c r="AD315" s="17"/>
      <c r="AF315" s="7"/>
      <c r="AG315" s="18"/>
    </row>
    <row r="316" spans="21:33" ht="14" x14ac:dyDescent="0.2">
      <c r="U316" s="1"/>
      <c r="V316" s="22"/>
      <c r="X316" s="40"/>
      <c r="Y316" s="14"/>
      <c r="Z316" s="15"/>
      <c r="AA316" s="13"/>
      <c r="AC316" s="3"/>
      <c r="AD316" s="17"/>
      <c r="AF316" s="7"/>
      <c r="AG316" s="18"/>
    </row>
    <row r="317" spans="21:33" ht="14" x14ac:dyDescent="0.2">
      <c r="U317" s="1"/>
      <c r="V317" s="22"/>
      <c r="X317" s="40"/>
      <c r="Y317" s="14"/>
      <c r="Z317" s="15"/>
      <c r="AA317" s="13"/>
      <c r="AC317" s="3"/>
      <c r="AD317" s="17"/>
      <c r="AF317" s="7"/>
      <c r="AG317" s="18"/>
    </row>
    <row r="318" spans="21:33" ht="14" x14ac:dyDescent="0.2">
      <c r="U318" s="1"/>
      <c r="V318" s="22"/>
      <c r="X318" s="40"/>
      <c r="Y318" s="14"/>
      <c r="Z318" s="15"/>
      <c r="AA318" s="13"/>
      <c r="AC318" s="3"/>
      <c r="AD318" s="17"/>
      <c r="AF318" s="7"/>
      <c r="AG318" s="18"/>
    </row>
    <row r="319" spans="21:33" ht="14" x14ac:dyDescent="0.2">
      <c r="U319" s="1"/>
      <c r="V319" s="22"/>
      <c r="X319" s="40"/>
      <c r="Y319" s="14"/>
      <c r="Z319" s="15"/>
      <c r="AA319" s="13"/>
      <c r="AC319" s="3"/>
      <c r="AD319" s="17"/>
      <c r="AF319" s="7"/>
      <c r="AG319" s="18"/>
    </row>
    <row r="320" spans="21:33" ht="14" x14ac:dyDescent="0.2">
      <c r="U320" s="1"/>
      <c r="V320" s="22"/>
      <c r="X320" s="40"/>
      <c r="Y320" s="14"/>
      <c r="Z320" s="15"/>
      <c r="AA320" s="13"/>
      <c r="AC320" s="3"/>
      <c r="AD320" s="17"/>
      <c r="AF320" s="7"/>
      <c r="AG320" s="18"/>
    </row>
    <row r="321" spans="21:33" ht="14" x14ac:dyDescent="0.2">
      <c r="U321" s="1"/>
      <c r="V321" s="22"/>
      <c r="X321" s="40"/>
      <c r="Y321" s="14"/>
      <c r="Z321" s="15"/>
      <c r="AA321" s="13"/>
      <c r="AC321" s="3"/>
      <c r="AD321" s="17"/>
      <c r="AF321" s="7"/>
      <c r="AG321" s="18"/>
    </row>
    <row r="322" spans="21:33" ht="14" x14ac:dyDescent="0.2">
      <c r="U322" s="1"/>
      <c r="V322" s="22"/>
      <c r="X322" s="40"/>
      <c r="Y322" s="14"/>
      <c r="Z322" s="15"/>
      <c r="AA322" s="13"/>
      <c r="AC322" s="3"/>
      <c r="AD322" s="17"/>
      <c r="AF322" s="7"/>
      <c r="AG322" s="18"/>
    </row>
    <row r="323" spans="21:33" ht="14" x14ac:dyDescent="0.2">
      <c r="U323" s="1"/>
      <c r="V323" s="22"/>
      <c r="X323" s="40"/>
      <c r="Y323" s="14"/>
      <c r="Z323" s="15"/>
      <c r="AA323" s="13"/>
      <c r="AC323" s="3"/>
      <c r="AD323" s="17"/>
      <c r="AF323" s="7"/>
      <c r="AG323" s="18"/>
    </row>
    <row r="324" spans="21:33" ht="14" x14ac:dyDescent="0.2">
      <c r="U324" s="1"/>
      <c r="V324" s="22"/>
      <c r="X324" s="40"/>
      <c r="Y324" s="14"/>
      <c r="Z324" s="15"/>
      <c r="AA324" s="13"/>
      <c r="AC324" s="3"/>
      <c r="AD324" s="17"/>
      <c r="AF324" s="7"/>
      <c r="AG324" s="18"/>
    </row>
    <row r="325" spans="21:33" ht="14" x14ac:dyDescent="0.2">
      <c r="U325" s="1"/>
      <c r="V325" s="22"/>
      <c r="X325" s="40"/>
      <c r="Y325" s="14"/>
      <c r="Z325" s="15"/>
      <c r="AA325" s="13"/>
      <c r="AC325" s="3"/>
      <c r="AD325" s="17"/>
      <c r="AF325" s="7"/>
      <c r="AG325" s="18"/>
    </row>
    <row r="326" spans="21:33" ht="14" x14ac:dyDescent="0.2">
      <c r="U326" s="1"/>
      <c r="V326" s="22"/>
      <c r="X326" s="40"/>
      <c r="Y326" s="14"/>
      <c r="Z326" s="15"/>
      <c r="AA326" s="13"/>
      <c r="AC326" s="3"/>
      <c r="AD326" s="17"/>
      <c r="AF326" s="7"/>
      <c r="AG326" s="18"/>
    </row>
    <row r="327" spans="21:33" ht="14" x14ac:dyDescent="0.2">
      <c r="U327" s="1"/>
      <c r="V327" s="22"/>
      <c r="X327" s="40"/>
      <c r="Y327" s="14"/>
      <c r="Z327" s="15"/>
      <c r="AA327" s="13"/>
      <c r="AC327" s="3"/>
      <c r="AD327" s="17"/>
      <c r="AF327" s="7"/>
      <c r="AG327" s="18"/>
    </row>
    <row r="328" spans="21:33" ht="14" x14ac:dyDescent="0.2">
      <c r="U328" s="1"/>
      <c r="V328" s="22"/>
      <c r="X328" s="40"/>
      <c r="Y328" s="14"/>
      <c r="Z328" s="15"/>
      <c r="AA328" s="13"/>
      <c r="AC328" s="3"/>
      <c r="AD328" s="17"/>
      <c r="AF328" s="7"/>
      <c r="AG328" s="18"/>
    </row>
    <row r="329" spans="21:33" ht="14" x14ac:dyDescent="0.2">
      <c r="U329" s="1"/>
      <c r="V329" s="22"/>
      <c r="X329" s="40"/>
      <c r="Y329" s="14"/>
      <c r="Z329" s="15"/>
      <c r="AA329" s="13"/>
      <c r="AC329" s="3"/>
      <c r="AD329" s="17"/>
      <c r="AF329" s="7"/>
      <c r="AG329" s="18"/>
    </row>
    <row r="330" spans="21:33" ht="14" x14ac:dyDescent="0.2">
      <c r="U330" s="1"/>
      <c r="V330" s="22"/>
      <c r="X330" s="40"/>
      <c r="Y330" s="14"/>
      <c r="Z330" s="15"/>
      <c r="AA330" s="13"/>
      <c r="AC330" s="3"/>
      <c r="AD330" s="17"/>
      <c r="AF330" s="7"/>
      <c r="AG330" s="18"/>
    </row>
    <row r="331" spans="21:33" ht="14" x14ac:dyDescent="0.2">
      <c r="U331" s="1"/>
      <c r="V331" s="22"/>
      <c r="X331" s="40"/>
      <c r="Y331" s="14"/>
      <c r="Z331" s="15"/>
      <c r="AA331" s="13"/>
      <c r="AC331" s="3"/>
      <c r="AD331" s="17"/>
      <c r="AF331" s="7"/>
      <c r="AG331" s="18"/>
    </row>
    <row r="332" spans="21:33" ht="14" x14ac:dyDescent="0.2">
      <c r="U332" s="1"/>
      <c r="V332" s="22"/>
      <c r="X332" s="40"/>
      <c r="Y332" s="14"/>
      <c r="Z332" s="15"/>
      <c r="AA332" s="13"/>
      <c r="AC332" s="3"/>
      <c r="AD332" s="17"/>
      <c r="AF332" s="7"/>
      <c r="AG332" s="18"/>
    </row>
    <row r="333" spans="21:33" ht="14" x14ac:dyDescent="0.2">
      <c r="U333" s="1"/>
      <c r="V333" s="22"/>
      <c r="X333" s="40"/>
      <c r="Y333" s="14"/>
      <c r="Z333" s="15"/>
      <c r="AA333" s="13"/>
      <c r="AC333" s="3"/>
      <c r="AD333" s="17"/>
      <c r="AF333" s="7"/>
      <c r="AG333" s="18"/>
    </row>
    <row r="334" spans="21:33" ht="14" x14ac:dyDescent="0.2">
      <c r="U334" s="1"/>
      <c r="V334" s="22"/>
      <c r="X334" s="40"/>
      <c r="Y334" s="14"/>
      <c r="Z334" s="15"/>
      <c r="AA334" s="13"/>
      <c r="AC334" s="3"/>
      <c r="AD334" s="17"/>
      <c r="AF334" s="7"/>
      <c r="AG334" s="18"/>
    </row>
    <row r="335" spans="21:33" ht="14" x14ac:dyDescent="0.2">
      <c r="U335" s="1"/>
      <c r="V335" s="22"/>
      <c r="X335" s="40"/>
      <c r="Y335" s="14"/>
      <c r="Z335" s="15"/>
      <c r="AA335" s="13"/>
      <c r="AC335" s="3"/>
      <c r="AD335" s="17"/>
      <c r="AF335" s="7"/>
      <c r="AG335" s="18"/>
    </row>
    <row r="336" spans="21:33" ht="14" x14ac:dyDescent="0.2">
      <c r="U336" s="1"/>
      <c r="V336" s="22"/>
      <c r="X336" s="40"/>
      <c r="Y336" s="14"/>
      <c r="Z336" s="15"/>
      <c r="AA336" s="13"/>
      <c r="AC336" s="3"/>
      <c r="AD336" s="17"/>
      <c r="AF336" s="7"/>
      <c r="AG336" s="18"/>
    </row>
    <row r="337" spans="21:33" ht="14" x14ac:dyDescent="0.2">
      <c r="U337" s="1"/>
      <c r="V337" s="22"/>
      <c r="X337" s="40"/>
      <c r="Y337" s="14"/>
      <c r="Z337" s="15"/>
      <c r="AA337" s="13"/>
      <c r="AC337" s="3"/>
      <c r="AD337" s="17"/>
      <c r="AF337" s="7"/>
      <c r="AG337" s="18"/>
    </row>
    <row r="338" spans="21:33" ht="14" x14ac:dyDescent="0.2">
      <c r="U338" s="1"/>
      <c r="V338" s="22"/>
      <c r="X338" s="40"/>
      <c r="Y338" s="14"/>
      <c r="Z338" s="15"/>
      <c r="AA338" s="13"/>
      <c r="AC338" s="3"/>
      <c r="AD338" s="17"/>
      <c r="AF338" s="7"/>
      <c r="AG338" s="18"/>
    </row>
    <row r="339" spans="21:33" ht="14" x14ac:dyDescent="0.2">
      <c r="U339" s="1"/>
      <c r="V339" s="22"/>
      <c r="X339" s="40"/>
      <c r="Y339" s="14"/>
      <c r="Z339" s="15"/>
      <c r="AA339" s="13"/>
      <c r="AC339" s="3"/>
      <c r="AD339" s="17"/>
      <c r="AF339" s="7"/>
      <c r="AG339" s="18"/>
    </row>
    <row r="340" spans="21:33" ht="14" x14ac:dyDescent="0.2">
      <c r="U340" s="1"/>
      <c r="V340" s="22"/>
      <c r="X340" s="40"/>
      <c r="Y340" s="14"/>
      <c r="Z340" s="15"/>
      <c r="AA340" s="13"/>
      <c r="AC340" s="3"/>
      <c r="AD340" s="17"/>
      <c r="AF340" s="7"/>
      <c r="AG340" s="18"/>
    </row>
    <row r="341" spans="21:33" ht="14" x14ac:dyDescent="0.2">
      <c r="U341" s="1"/>
      <c r="V341" s="22"/>
      <c r="X341" s="40"/>
      <c r="Y341" s="14"/>
      <c r="Z341" s="15"/>
      <c r="AA341" s="13"/>
      <c r="AC341" s="3"/>
      <c r="AD341" s="17"/>
      <c r="AF341" s="7"/>
      <c r="AG341" s="18"/>
    </row>
    <row r="342" spans="21:33" ht="14" x14ac:dyDescent="0.2">
      <c r="U342" s="1"/>
      <c r="V342" s="22"/>
      <c r="X342" s="40"/>
      <c r="Y342" s="14"/>
      <c r="Z342" s="15"/>
      <c r="AA342" s="13"/>
      <c r="AC342" s="3"/>
      <c r="AD342" s="17"/>
      <c r="AF342" s="7"/>
      <c r="AG342" s="18"/>
    </row>
    <row r="343" spans="21:33" ht="14" x14ac:dyDescent="0.2">
      <c r="U343" s="1"/>
      <c r="V343" s="22"/>
      <c r="X343" s="40"/>
      <c r="Y343" s="14"/>
      <c r="Z343" s="15"/>
      <c r="AA343" s="13"/>
      <c r="AC343" s="3"/>
      <c r="AD343" s="17"/>
      <c r="AF343" s="7"/>
      <c r="AG343" s="18"/>
    </row>
    <row r="344" spans="21:33" ht="14" x14ac:dyDescent="0.2">
      <c r="U344" s="1"/>
      <c r="V344" s="22"/>
      <c r="X344" s="40"/>
      <c r="Y344" s="14"/>
      <c r="Z344" s="15"/>
      <c r="AA344" s="13"/>
      <c r="AC344" s="3"/>
      <c r="AD344" s="17"/>
      <c r="AF344" s="7"/>
      <c r="AG344" s="18"/>
    </row>
    <row r="345" spans="21:33" ht="14" x14ac:dyDescent="0.2">
      <c r="U345" s="1"/>
      <c r="V345" s="22"/>
      <c r="X345" s="40"/>
      <c r="Y345" s="14"/>
      <c r="Z345" s="15"/>
      <c r="AA345" s="13"/>
      <c r="AC345" s="3"/>
      <c r="AD345" s="17"/>
      <c r="AF345" s="7"/>
      <c r="AG345" s="18"/>
    </row>
    <row r="346" spans="21:33" ht="14" x14ac:dyDescent="0.2">
      <c r="U346" s="1"/>
      <c r="V346" s="22"/>
      <c r="X346" s="40"/>
      <c r="Y346" s="14"/>
      <c r="Z346" s="15"/>
      <c r="AA346" s="13"/>
      <c r="AC346" s="3"/>
      <c r="AD346" s="17"/>
      <c r="AF346" s="7"/>
      <c r="AG346" s="18"/>
    </row>
    <row r="347" spans="21:33" ht="14" x14ac:dyDescent="0.2">
      <c r="U347" s="1"/>
      <c r="V347" s="22"/>
      <c r="X347" s="40"/>
      <c r="Y347" s="14"/>
      <c r="Z347" s="15"/>
      <c r="AA347" s="13"/>
      <c r="AC347" s="3"/>
      <c r="AD347" s="17"/>
      <c r="AF347" s="7"/>
      <c r="AG347" s="18"/>
    </row>
    <row r="348" spans="21:33" ht="14" x14ac:dyDescent="0.2">
      <c r="U348" s="1"/>
      <c r="V348" s="22"/>
      <c r="X348" s="40"/>
      <c r="Y348" s="14"/>
      <c r="Z348" s="15"/>
      <c r="AA348" s="13"/>
      <c r="AC348" s="3"/>
      <c r="AD348" s="17"/>
      <c r="AF348" s="7"/>
      <c r="AG348" s="18"/>
    </row>
    <row r="349" spans="21:33" ht="14" x14ac:dyDescent="0.2">
      <c r="U349" s="1"/>
      <c r="V349" s="22"/>
      <c r="X349" s="40"/>
      <c r="Y349" s="14"/>
      <c r="Z349" s="15"/>
      <c r="AA349" s="13"/>
      <c r="AC349" s="3"/>
      <c r="AD349" s="17"/>
      <c r="AF349" s="7"/>
      <c r="AG349" s="18"/>
    </row>
    <row r="350" spans="21:33" ht="14" x14ac:dyDescent="0.2">
      <c r="U350" s="1"/>
      <c r="V350" s="22"/>
      <c r="X350" s="40"/>
      <c r="Y350" s="14"/>
      <c r="Z350" s="15"/>
      <c r="AA350" s="13"/>
      <c r="AC350" s="3"/>
      <c r="AD350" s="17"/>
      <c r="AF350" s="7"/>
      <c r="AG350" s="18"/>
    </row>
    <row r="351" spans="21:33" ht="14" x14ac:dyDescent="0.2">
      <c r="U351" s="1"/>
      <c r="V351" s="22"/>
      <c r="X351" s="40"/>
      <c r="Y351" s="14"/>
      <c r="Z351" s="15"/>
      <c r="AA351" s="13"/>
      <c r="AC351" s="3"/>
      <c r="AD351" s="17"/>
      <c r="AF351" s="7"/>
      <c r="AG351" s="18"/>
    </row>
    <row r="352" spans="21:33" ht="14" x14ac:dyDescent="0.2">
      <c r="U352" s="1"/>
      <c r="V352" s="22"/>
      <c r="X352" s="40"/>
      <c r="Y352" s="14"/>
      <c r="Z352" s="15"/>
      <c r="AA352" s="13"/>
      <c r="AC352" s="3"/>
      <c r="AD352" s="17"/>
      <c r="AF352" s="7"/>
      <c r="AG352" s="18"/>
    </row>
    <row r="353" spans="21:33" ht="14" x14ac:dyDescent="0.2">
      <c r="U353" s="1"/>
      <c r="V353" s="22"/>
      <c r="X353" s="40"/>
      <c r="Y353" s="14"/>
      <c r="Z353" s="15"/>
      <c r="AA353" s="13"/>
      <c r="AC353" s="3"/>
      <c r="AD353" s="17"/>
      <c r="AF353" s="7"/>
      <c r="AG353" s="18"/>
    </row>
    <row r="354" spans="21:33" ht="14" x14ac:dyDescent="0.2">
      <c r="U354" s="1"/>
      <c r="V354" s="22"/>
      <c r="X354" s="40"/>
      <c r="Y354" s="14"/>
      <c r="Z354" s="15"/>
      <c r="AA354" s="13"/>
      <c r="AC354" s="3"/>
      <c r="AD354" s="17"/>
      <c r="AF354" s="7"/>
      <c r="AG354" s="18"/>
    </row>
    <row r="355" spans="21:33" ht="14" x14ac:dyDescent="0.2">
      <c r="U355" s="1"/>
      <c r="V355" s="22"/>
      <c r="X355" s="40"/>
      <c r="Y355" s="14"/>
      <c r="Z355" s="15"/>
      <c r="AA355" s="13"/>
      <c r="AC355" s="3"/>
      <c r="AD355" s="17"/>
      <c r="AF355" s="7"/>
      <c r="AG355" s="18"/>
    </row>
    <row r="356" spans="21:33" ht="14" x14ac:dyDescent="0.2">
      <c r="U356" s="1"/>
      <c r="V356" s="22"/>
      <c r="X356" s="40"/>
      <c r="Y356" s="14"/>
      <c r="Z356" s="15"/>
      <c r="AA356" s="13"/>
      <c r="AC356" s="3"/>
      <c r="AD356" s="17"/>
      <c r="AF356" s="7"/>
      <c r="AG356" s="18"/>
    </row>
    <row r="357" spans="21:33" ht="14" x14ac:dyDescent="0.2">
      <c r="U357" s="1"/>
      <c r="V357" s="22"/>
      <c r="X357" s="40"/>
      <c r="Y357" s="14"/>
      <c r="Z357" s="15"/>
      <c r="AA357" s="13"/>
      <c r="AC357" s="3"/>
      <c r="AD357" s="17"/>
      <c r="AF357" s="7"/>
      <c r="AG357" s="18"/>
    </row>
    <row r="358" spans="21:33" ht="14" x14ac:dyDescent="0.2">
      <c r="U358" s="1"/>
      <c r="V358" s="22"/>
      <c r="X358" s="40"/>
      <c r="Y358" s="14"/>
      <c r="Z358" s="15"/>
      <c r="AA358" s="13"/>
      <c r="AC358" s="3"/>
      <c r="AD358" s="17"/>
      <c r="AF358" s="7"/>
      <c r="AG358" s="18"/>
    </row>
    <row r="359" spans="21:33" ht="14" x14ac:dyDescent="0.2">
      <c r="U359" s="1"/>
      <c r="V359" s="22"/>
      <c r="X359" s="40"/>
      <c r="Y359" s="14"/>
      <c r="Z359" s="15"/>
      <c r="AA359" s="13"/>
      <c r="AC359" s="3"/>
      <c r="AD359" s="17"/>
      <c r="AF359" s="7"/>
      <c r="AG359" s="18"/>
    </row>
    <row r="360" spans="21:33" ht="14" x14ac:dyDescent="0.2">
      <c r="U360" s="1"/>
      <c r="V360" s="22"/>
      <c r="X360" s="40"/>
      <c r="Y360" s="14"/>
      <c r="Z360" s="15"/>
      <c r="AA360" s="13"/>
      <c r="AC360" s="3"/>
      <c r="AD360" s="17"/>
      <c r="AF360" s="7"/>
      <c r="AG360" s="18"/>
    </row>
    <row r="361" spans="21:33" ht="14" x14ac:dyDescent="0.2">
      <c r="U361" s="1"/>
      <c r="V361" s="22"/>
      <c r="X361" s="40"/>
      <c r="Y361" s="14"/>
      <c r="Z361" s="15"/>
      <c r="AA361" s="13"/>
      <c r="AC361" s="3"/>
      <c r="AD361" s="17"/>
      <c r="AF361" s="7"/>
      <c r="AG361" s="18"/>
    </row>
    <row r="362" spans="21:33" ht="14" x14ac:dyDescent="0.2">
      <c r="U362" s="1"/>
      <c r="V362" s="22"/>
      <c r="X362" s="40"/>
      <c r="Y362" s="14"/>
      <c r="Z362" s="15"/>
      <c r="AA362" s="13"/>
      <c r="AC362" s="3"/>
      <c r="AD362" s="17"/>
      <c r="AF362" s="7"/>
      <c r="AG362" s="18"/>
    </row>
    <row r="363" spans="21:33" ht="14" x14ac:dyDescent="0.2">
      <c r="U363" s="1"/>
      <c r="V363" s="22"/>
      <c r="X363" s="40"/>
      <c r="Y363" s="14"/>
      <c r="Z363" s="15"/>
      <c r="AA363" s="13"/>
      <c r="AC363" s="3"/>
      <c r="AD363" s="17"/>
      <c r="AF363" s="7"/>
      <c r="AG363" s="18"/>
    </row>
    <row r="364" spans="21:33" ht="14" x14ac:dyDescent="0.2">
      <c r="U364" s="1"/>
      <c r="V364" s="22"/>
      <c r="X364" s="40"/>
      <c r="Y364" s="14"/>
      <c r="Z364" s="15"/>
      <c r="AA364" s="13"/>
      <c r="AC364" s="3"/>
      <c r="AD364" s="17"/>
      <c r="AF364" s="7"/>
      <c r="AG364" s="18"/>
    </row>
    <row r="365" spans="21:33" ht="14" x14ac:dyDescent="0.2">
      <c r="U365" s="1"/>
      <c r="V365" s="22"/>
      <c r="X365" s="40"/>
      <c r="Y365" s="14"/>
      <c r="Z365" s="15"/>
      <c r="AA365" s="13"/>
      <c r="AC365" s="3"/>
      <c r="AD365" s="17"/>
      <c r="AF365" s="7"/>
      <c r="AG365" s="18"/>
    </row>
    <row r="366" spans="21:33" ht="14" x14ac:dyDescent="0.2">
      <c r="U366" s="1"/>
      <c r="V366" s="22"/>
      <c r="X366" s="40"/>
      <c r="Y366" s="14"/>
      <c r="Z366" s="15"/>
      <c r="AA366" s="13"/>
      <c r="AC366" s="3"/>
      <c r="AD366" s="17"/>
      <c r="AF366" s="7"/>
      <c r="AG366" s="18"/>
    </row>
    <row r="367" spans="21:33" ht="14" x14ac:dyDescent="0.2">
      <c r="U367" s="1"/>
      <c r="V367" s="22"/>
      <c r="X367" s="40"/>
      <c r="Y367" s="14"/>
      <c r="Z367" s="15"/>
      <c r="AA367" s="13"/>
      <c r="AC367" s="3"/>
      <c r="AD367" s="17"/>
      <c r="AF367" s="7"/>
      <c r="AG367" s="18"/>
    </row>
    <row r="368" spans="21:33" ht="14" x14ac:dyDescent="0.2">
      <c r="U368" s="1"/>
      <c r="V368" s="22"/>
      <c r="X368" s="40"/>
      <c r="Y368" s="14"/>
      <c r="Z368" s="15"/>
      <c r="AA368" s="13"/>
      <c r="AC368" s="3"/>
      <c r="AD368" s="17"/>
      <c r="AF368" s="7"/>
      <c r="AG368" s="18"/>
    </row>
    <row r="369" spans="21:33" ht="14" x14ac:dyDescent="0.2">
      <c r="U369" s="1"/>
      <c r="V369" s="22"/>
      <c r="X369" s="40"/>
      <c r="Y369" s="14"/>
      <c r="Z369" s="15"/>
      <c r="AA369" s="13"/>
      <c r="AC369" s="3"/>
      <c r="AD369" s="17"/>
      <c r="AF369" s="7"/>
      <c r="AG369" s="18"/>
    </row>
    <row r="370" spans="21:33" ht="14" x14ac:dyDescent="0.2">
      <c r="U370" s="1"/>
      <c r="V370" s="22"/>
      <c r="X370" s="40"/>
      <c r="Y370" s="14"/>
      <c r="Z370" s="15"/>
      <c r="AA370" s="13"/>
      <c r="AC370" s="3"/>
      <c r="AD370" s="17"/>
      <c r="AF370" s="7"/>
      <c r="AG370" s="18"/>
    </row>
    <row r="371" spans="21:33" ht="14" x14ac:dyDescent="0.2">
      <c r="U371" s="1"/>
      <c r="V371" s="22"/>
      <c r="X371" s="40"/>
      <c r="Y371" s="14"/>
      <c r="Z371" s="15"/>
      <c r="AA371" s="13"/>
      <c r="AC371" s="3"/>
      <c r="AD371" s="17"/>
      <c r="AF371" s="7"/>
      <c r="AG371" s="18"/>
    </row>
    <row r="372" spans="21:33" ht="14" x14ac:dyDescent="0.2">
      <c r="U372" s="1"/>
      <c r="V372" s="22"/>
      <c r="X372" s="40"/>
      <c r="Y372" s="14"/>
      <c r="Z372" s="15"/>
      <c r="AA372" s="13"/>
      <c r="AC372" s="3"/>
      <c r="AD372" s="17"/>
      <c r="AF372" s="7"/>
      <c r="AG372" s="18"/>
    </row>
    <row r="373" spans="21:33" ht="14" x14ac:dyDescent="0.2">
      <c r="U373" s="1"/>
      <c r="V373" s="22"/>
      <c r="X373" s="40"/>
      <c r="Y373" s="14"/>
      <c r="Z373" s="15"/>
      <c r="AA373" s="13"/>
      <c r="AC373" s="3"/>
      <c r="AD373" s="17"/>
      <c r="AF373" s="7"/>
      <c r="AG373" s="18"/>
    </row>
    <row r="374" spans="21:33" ht="14" x14ac:dyDescent="0.2">
      <c r="U374" s="1"/>
      <c r="V374" s="22"/>
      <c r="X374" s="40"/>
      <c r="Y374" s="14"/>
      <c r="Z374" s="15"/>
      <c r="AA374" s="13"/>
      <c r="AC374" s="3"/>
      <c r="AD374" s="17"/>
      <c r="AF374" s="7"/>
      <c r="AG374" s="18"/>
    </row>
    <row r="375" spans="21:33" ht="14" x14ac:dyDescent="0.2">
      <c r="U375" s="1"/>
      <c r="V375" s="22"/>
      <c r="X375" s="40"/>
      <c r="Y375" s="14"/>
      <c r="Z375" s="15"/>
      <c r="AA375" s="13"/>
      <c r="AC375" s="3"/>
      <c r="AD375" s="17"/>
      <c r="AF375" s="7"/>
      <c r="AG375" s="18"/>
    </row>
    <row r="376" spans="21:33" ht="14" x14ac:dyDescent="0.2">
      <c r="U376" s="1"/>
      <c r="V376" s="22"/>
      <c r="X376" s="40"/>
      <c r="Y376" s="14"/>
      <c r="Z376" s="15"/>
      <c r="AA376" s="13"/>
      <c r="AC376" s="3"/>
      <c r="AD376" s="17"/>
      <c r="AF376" s="7"/>
      <c r="AG376" s="18"/>
    </row>
    <row r="377" spans="21:33" ht="14" x14ac:dyDescent="0.2">
      <c r="U377" s="1"/>
      <c r="V377" s="22"/>
      <c r="X377" s="40"/>
      <c r="Y377" s="14"/>
      <c r="Z377" s="15"/>
      <c r="AA377" s="13"/>
      <c r="AC377" s="3"/>
      <c r="AD377" s="17"/>
      <c r="AF377" s="7"/>
      <c r="AG377" s="18"/>
    </row>
    <row r="378" spans="21:33" ht="14" x14ac:dyDescent="0.2">
      <c r="U378" s="1"/>
      <c r="V378" s="22"/>
      <c r="X378" s="40"/>
      <c r="Y378" s="14"/>
      <c r="Z378" s="15"/>
      <c r="AA378" s="13"/>
      <c r="AC378" s="3"/>
      <c r="AD378" s="17"/>
      <c r="AF378" s="7"/>
      <c r="AG378" s="18"/>
    </row>
    <row r="379" spans="21:33" ht="14" x14ac:dyDescent="0.2">
      <c r="U379" s="1"/>
      <c r="V379" s="22"/>
      <c r="X379" s="40"/>
      <c r="Y379" s="14"/>
      <c r="Z379" s="15"/>
      <c r="AA379" s="13"/>
      <c r="AC379" s="3"/>
      <c r="AD379" s="17"/>
      <c r="AF379" s="7"/>
      <c r="AG379" s="18"/>
    </row>
    <row r="380" spans="21:33" ht="14" x14ac:dyDescent="0.2">
      <c r="U380" s="1"/>
      <c r="V380" s="22"/>
      <c r="X380" s="40"/>
      <c r="Y380" s="14"/>
      <c r="Z380" s="15"/>
      <c r="AA380" s="13"/>
      <c r="AC380" s="3"/>
      <c r="AD380" s="17"/>
      <c r="AF380" s="7"/>
      <c r="AG380" s="18"/>
    </row>
    <row r="381" spans="21:33" ht="14" x14ac:dyDescent="0.2">
      <c r="U381" s="1"/>
      <c r="V381" s="22"/>
      <c r="X381" s="40"/>
      <c r="Y381" s="14"/>
      <c r="Z381" s="15"/>
      <c r="AA381" s="13"/>
      <c r="AC381" s="3"/>
      <c r="AD381" s="17"/>
      <c r="AF381" s="7"/>
      <c r="AG381" s="18"/>
    </row>
    <row r="382" spans="21:33" ht="14" x14ac:dyDescent="0.2">
      <c r="U382" s="1"/>
      <c r="V382" s="22"/>
      <c r="X382" s="40"/>
      <c r="Y382" s="14"/>
      <c r="Z382" s="15"/>
      <c r="AA382" s="13"/>
      <c r="AC382" s="3"/>
      <c r="AD382" s="17"/>
      <c r="AF382" s="7"/>
      <c r="AG382" s="18"/>
    </row>
    <row r="383" spans="21:33" ht="14" x14ac:dyDescent="0.2">
      <c r="U383" s="1"/>
      <c r="V383" s="22"/>
      <c r="X383" s="40"/>
      <c r="Y383" s="14"/>
      <c r="Z383" s="15"/>
      <c r="AA383" s="13"/>
      <c r="AC383" s="3"/>
      <c r="AD383" s="17"/>
      <c r="AF383" s="7"/>
      <c r="AG383" s="18"/>
    </row>
    <row r="384" spans="21:33" ht="14" x14ac:dyDescent="0.2">
      <c r="U384" s="1"/>
      <c r="V384" s="22"/>
      <c r="X384" s="40"/>
      <c r="Y384" s="14"/>
      <c r="Z384" s="15"/>
      <c r="AA384" s="13"/>
      <c r="AC384" s="3"/>
      <c r="AD384" s="17"/>
      <c r="AF384" s="7"/>
      <c r="AG384" s="18"/>
    </row>
    <row r="385" spans="21:33" ht="14" x14ac:dyDescent="0.2">
      <c r="U385" s="1"/>
      <c r="V385" s="22"/>
      <c r="X385" s="40"/>
      <c r="Y385" s="14"/>
      <c r="Z385" s="15"/>
      <c r="AA385" s="13"/>
      <c r="AC385" s="3"/>
      <c r="AD385" s="17"/>
      <c r="AF385" s="7"/>
      <c r="AG385" s="18"/>
    </row>
    <row r="386" spans="21:33" ht="14" x14ac:dyDescent="0.2">
      <c r="U386" s="1"/>
      <c r="V386" s="22"/>
      <c r="X386" s="40"/>
      <c r="Y386" s="14"/>
      <c r="Z386" s="15"/>
      <c r="AA386" s="13"/>
      <c r="AC386" s="3"/>
      <c r="AD386" s="17"/>
      <c r="AF386" s="7"/>
      <c r="AG386" s="18"/>
    </row>
    <row r="387" spans="21:33" ht="14" x14ac:dyDescent="0.2">
      <c r="U387" s="1"/>
      <c r="V387" s="22"/>
      <c r="X387" s="40"/>
      <c r="Y387" s="14"/>
      <c r="Z387" s="15"/>
      <c r="AA387" s="13"/>
      <c r="AC387" s="3"/>
      <c r="AD387" s="17"/>
      <c r="AF387" s="7"/>
      <c r="AG387" s="18"/>
    </row>
    <row r="388" spans="21:33" ht="14" x14ac:dyDescent="0.2">
      <c r="U388" s="1"/>
      <c r="V388" s="22"/>
      <c r="X388" s="40"/>
      <c r="Y388" s="14"/>
      <c r="Z388" s="15"/>
      <c r="AA388" s="13"/>
      <c r="AC388" s="3"/>
      <c r="AD388" s="17"/>
      <c r="AF388" s="7"/>
      <c r="AG388" s="18"/>
    </row>
    <row r="389" spans="21:33" ht="14" x14ac:dyDescent="0.2">
      <c r="U389" s="1"/>
      <c r="V389" s="22"/>
      <c r="X389" s="40"/>
      <c r="Y389" s="14"/>
      <c r="Z389" s="15"/>
      <c r="AA389" s="13"/>
      <c r="AC389" s="3"/>
      <c r="AD389" s="17"/>
      <c r="AF389" s="7"/>
      <c r="AG389" s="18"/>
    </row>
    <row r="390" spans="21:33" ht="14" x14ac:dyDescent="0.2">
      <c r="U390" s="1"/>
      <c r="V390" s="22"/>
      <c r="X390" s="40"/>
      <c r="Y390" s="14"/>
      <c r="Z390" s="15"/>
      <c r="AA390" s="13"/>
      <c r="AC390" s="3"/>
      <c r="AD390" s="17"/>
      <c r="AF390" s="7"/>
      <c r="AG390" s="18"/>
    </row>
    <row r="391" spans="21:33" ht="14" x14ac:dyDescent="0.2">
      <c r="U391" s="1"/>
      <c r="V391" s="22"/>
      <c r="X391" s="40"/>
      <c r="Y391" s="14"/>
      <c r="Z391" s="15"/>
      <c r="AA391" s="13"/>
      <c r="AC391" s="3"/>
      <c r="AD391" s="17"/>
      <c r="AF391" s="7"/>
      <c r="AG391" s="18"/>
    </row>
    <row r="392" spans="21:33" ht="14" x14ac:dyDescent="0.2">
      <c r="U392" s="1"/>
      <c r="V392" s="22"/>
      <c r="X392" s="40"/>
      <c r="Y392" s="14"/>
      <c r="Z392" s="15"/>
      <c r="AA392" s="13"/>
      <c r="AC392" s="3"/>
      <c r="AD392" s="17"/>
      <c r="AF392" s="7"/>
      <c r="AG392" s="18"/>
    </row>
    <row r="393" spans="21:33" ht="14" x14ac:dyDescent="0.2">
      <c r="U393" s="1"/>
      <c r="V393" s="22"/>
      <c r="X393" s="40"/>
      <c r="Y393" s="14"/>
      <c r="Z393" s="15"/>
      <c r="AA393" s="13"/>
      <c r="AC393" s="3"/>
      <c r="AD393" s="17"/>
      <c r="AF393" s="7"/>
      <c r="AG393" s="18"/>
    </row>
    <row r="394" spans="21:33" ht="14" x14ac:dyDescent="0.2">
      <c r="U394" s="1"/>
      <c r="V394" s="22"/>
      <c r="X394" s="40"/>
      <c r="Y394" s="14"/>
      <c r="Z394" s="15"/>
      <c r="AA394" s="13"/>
      <c r="AC394" s="3"/>
      <c r="AD394" s="17"/>
      <c r="AF394" s="7"/>
      <c r="AG394" s="18"/>
    </row>
    <row r="395" spans="21:33" ht="14" x14ac:dyDescent="0.2">
      <c r="U395" s="1"/>
      <c r="V395" s="22"/>
      <c r="X395" s="40"/>
      <c r="Y395" s="14"/>
      <c r="Z395" s="15"/>
      <c r="AA395" s="13"/>
      <c r="AC395" s="3"/>
      <c r="AD395" s="17"/>
      <c r="AF395" s="7"/>
      <c r="AG395" s="18"/>
    </row>
    <row r="396" spans="21:33" ht="14" x14ac:dyDescent="0.2">
      <c r="U396" s="1"/>
      <c r="V396" s="22"/>
      <c r="X396" s="40"/>
      <c r="Y396" s="14"/>
      <c r="Z396" s="15"/>
      <c r="AA396" s="13"/>
      <c r="AC396" s="3"/>
      <c r="AD396" s="17"/>
      <c r="AF396" s="7"/>
      <c r="AG396" s="18"/>
    </row>
    <row r="397" spans="21:33" ht="14" x14ac:dyDescent="0.2">
      <c r="U397" s="1"/>
      <c r="V397" s="22"/>
      <c r="X397" s="40"/>
      <c r="Y397" s="14"/>
      <c r="Z397" s="15"/>
      <c r="AA397" s="13"/>
      <c r="AC397" s="3"/>
      <c r="AD397" s="17"/>
      <c r="AF397" s="7"/>
      <c r="AG397" s="18"/>
    </row>
    <row r="398" spans="21:33" ht="14" x14ac:dyDescent="0.2">
      <c r="U398" s="1"/>
      <c r="V398" s="22"/>
      <c r="X398" s="40"/>
      <c r="Y398" s="14"/>
      <c r="Z398" s="15"/>
      <c r="AA398" s="13"/>
      <c r="AC398" s="3"/>
      <c r="AD398" s="17"/>
      <c r="AF398" s="7"/>
      <c r="AG398" s="18"/>
    </row>
    <row r="399" spans="21:33" ht="14" x14ac:dyDescent="0.2">
      <c r="U399" s="1"/>
      <c r="V399" s="22"/>
      <c r="X399" s="40"/>
      <c r="Y399" s="14"/>
      <c r="Z399" s="15"/>
      <c r="AA399" s="13"/>
      <c r="AC399" s="3"/>
      <c r="AD399" s="17"/>
      <c r="AF399" s="7"/>
      <c r="AG399" s="18"/>
    </row>
    <row r="400" spans="21:33" ht="14" x14ac:dyDescent="0.2">
      <c r="U400" s="1"/>
      <c r="V400" s="22"/>
      <c r="X400" s="40"/>
      <c r="Y400" s="14"/>
      <c r="Z400" s="15"/>
      <c r="AA400" s="13"/>
      <c r="AC400" s="3"/>
      <c r="AD400" s="17"/>
      <c r="AF400" s="7"/>
      <c r="AG400" s="18"/>
    </row>
    <row r="401" spans="21:33" ht="14" x14ac:dyDescent="0.2">
      <c r="U401" s="1"/>
      <c r="V401" s="22"/>
      <c r="X401" s="40"/>
      <c r="Y401" s="14"/>
      <c r="Z401" s="15"/>
      <c r="AA401" s="13"/>
      <c r="AC401" s="3"/>
      <c r="AD401" s="17"/>
      <c r="AF401" s="7"/>
      <c r="AG401" s="18"/>
    </row>
    <row r="402" spans="21:33" ht="14" x14ac:dyDescent="0.2">
      <c r="U402" s="1"/>
      <c r="V402" s="22"/>
      <c r="X402" s="40"/>
      <c r="Y402" s="14"/>
      <c r="Z402" s="15"/>
      <c r="AA402" s="13"/>
      <c r="AC402" s="3"/>
      <c r="AD402" s="17"/>
      <c r="AF402" s="7"/>
      <c r="AG402" s="18"/>
    </row>
    <row r="403" spans="21:33" ht="14" x14ac:dyDescent="0.2">
      <c r="U403" s="1"/>
      <c r="V403" s="22"/>
      <c r="X403" s="40"/>
      <c r="Y403" s="14"/>
      <c r="Z403" s="15"/>
      <c r="AA403" s="13"/>
      <c r="AC403" s="3"/>
      <c r="AD403" s="17"/>
      <c r="AF403" s="7"/>
      <c r="AG403" s="18"/>
    </row>
    <row r="404" spans="21:33" ht="14" x14ac:dyDescent="0.2">
      <c r="U404" s="1"/>
      <c r="V404" s="22"/>
      <c r="X404" s="40"/>
      <c r="Y404" s="14"/>
      <c r="Z404" s="15"/>
      <c r="AA404" s="13"/>
      <c r="AC404" s="3"/>
      <c r="AD404" s="17"/>
      <c r="AF404" s="7"/>
      <c r="AG404" s="18"/>
    </row>
    <row r="405" spans="21:33" ht="14" x14ac:dyDescent="0.2">
      <c r="U405" s="1"/>
      <c r="V405" s="22"/>
      <c r="X405" s="40"/>
      <c r="Y405" s="14"/>
      <c r="Z405" s="15"/>
      <c r="AA405" s="13"/>
      <c r="AC405" s="3"/>
      <c r="AD405" s="17"/>
      <c r="AF405" s="7"/>
      <c r="AG405" s="18"/>
    </row>
    <row r="406" spans="21:33" ht="14" x14ac:dyDescent="0.2">
      <c r="U406" s="1"/>
      <c r="V406" s="22"/>
      <c r="X406" s="40"/>
      <c r="Y406" s="14"/>
      <c r="Z406" s="15"/>
      <c r="AA406" s="13"/>
      <c r="AC406" s="3"/>
      <c r="AD406" s="17"/>
      <c r="AF406" s="7"/>
      <c r="AG406" s="18"/>
    </row>
    <row r="407" spans="21:33" ht="14" x14ac:dyDescent="0.2">
      <c r="U407" s="1"/>
      <c r="V407" s="22"/>
      <c r="X407" s="40"/>
      <c r="Y407" s="14"/>
      <c r="Z407" s="15"/>
      <c r="AA407" s="13"/>
      <c r="AC407" s="3"/>
      <c r="AD407" s="17"/>
      <c r="AF407" s="7"/>
      <c r="AG407" s="18"/>
    </row>
    <row r="408" spans="21:33" ht="14" x14ac:dyDescent="0.2">
      <c r="U408" s="1"/>
      <c r="V408" s="22"/>
      <c r="X408" s="40"/>
      <c r="Y408" s="14"/>
      <c r="Z408" s="15"/>
      <c r="AA408" s="13"/>
      <c r="AC408" s="3"/>
      <c r="AD408" s="17"/>
      <c r="AF408" s="7"/>
      <c r="AG408" s="18"/>
    </row>
    <row r="409" spans="21:33" ht="14" x14ac:dyDescent="0.2">
      <c r="U409" s="1"/>
      <c r="V409" s="22"/>
      <c r="X409" s="40"/>
      <c r="Y409" s="14"/>
      <c r="Z409" s="15"/>
      <c r="AA409" s="13"/>
      <c r="AC409" s="3"/>
      <c r="AD409" s="17"/>
      <c r="AF409" s="7"/>
      <c r="AG409" s="18"/>
    </row>
    <row r="410" spans="21:33" ht="14" x14ac:dyDescent="0.2">
      <c r="U410" s="1"/>
      <c r="V410" s="22"/>
      <c r="X410" s="40"/>
      <c r="Y410" s="14"/>
      <c r="Z410" s="15"/>
      <c r="AA410" s="13"/>
      <c r="AC410" s="3"/>
      <c r="AD410" s="17"/>
      <c r="AF410" s="7"/>
      <c r="AG410" s="18"/>
    </row>
    <row r="411" spans="21:33" ht="14" x14ac:dyDescent="0.2">
      <c r="U411" s="1"/>
      <c r="V411" s="22"/>
      <c r="X411" s="40"/>
      <c r="Y411" s="14"/>
      <c r="Z411" s="15"/>
      <c r="AA411" s="13"/>
      <c r="AC411" s="3"/>
      <c r="AD411" s="17"/>
      <c r="AF411" s="7"/>
      <c r="AG411" s="18"/>
    </row>
    <row r="412" spans="21:33" ht="14" x14ac:dyDescent="0.2">
      <c r="U412" s="1"/>
      <c r="V412" s="22"/>
      <c r="X412" s="40"/>
      <c r="Y412" s="14"/>
      <c r="Z412" s="15"/>
      <c r="AA412" s="13"/>
      <c r="AC412" s="3"/>
      <c r="AD412" s="17"/>
      <c r="AF412" s="7"/>
      <c r="AG412" s="18"/>
    </row>
    <row r="413" spans="21:33" ht="14" x14ac:dyDescent="0.2">
      <c r="U413" s="1"/>
      <c r="V413" s="22"/>
      <c r="X413" s="40"/>
      <c r="Y413" s="14"/>
      <c r="Z413" s="15"/>
      <c r="AA413" s="13"/>
      <c r="AC413" s="3"/>
      <c r="AD413" s="17"/>
      <c r="AF413" s="7"/>
      <c r="AG413" s="18"/>
    </row>
    <row r="414" spans="21:33" ht="14" x14ac:dyDescent="0.2">
      <c r="U414" s="1"/>
      <c r="V414" s="22"/>
      <c r="X414" s="40"/>
      <c r="Y414" s="14"/>
      <c r="Z414" s="15"/>
      <c r="AA414" s="13"/>
      <c r="AC414" s="3"/>
      <c r="AD414" s="17"/>
      <c r="AF414" s="7"/>
      <c r="AG414" s="18"/>
    </row>
    <row r="415" spans="21:33" ht="14" x14ac:dyDescent="0.2">
      <c r="U415" s="1"/>
      <c r="V415" s="22"/>
      <c r="X415" s="40"/>
      <c r="Y415" s="14"/>
      <c r="Z415" s="15"/>
      <c r="AA415" s="13"/>
      <c r="AC415" s="3"/>
      <c r="AD415" s="17"/>
      <c r="AF415" s="7"/>
      <c r="AG415" s="18"/>
    </row>
    <row r="416" spans="21:33" ht="14" x14ac:dyDescent="0.2">
      <c r="U416" s="1"/>
      <c r="V416" s="22"/>
      <c r="X416" s="40"/>
      <c r="Y416" s="14"/>
      <c r="Z416" s="15"/>
      <c r="AA416" s="13"/>
      <c r="AC416" s="3"/>
      <c r="AD416" s="17"/>
      <c r="AF416" s="7"/>
      <c r="AG416" s="18"/>
    </row>
    <row r="417" spans="21:33" ht="14" x14ac:dyDescent="0.2">
      <c r="U417" s="1"/>
      <c r="V417" s="22"/>
      <c r="X417" s="40"/>
      <c r="Y417" s="14"/>
      <c r="Z417" s="15"/>
      <c r="AA417" s="13"/>
      <c r="AC417" s="3"/>
      <c r="AD417" s="17"/>
      <c r="AF417" s="7"/>
      <c r="AG417" s="18"/>
    </row>
    <row r="418" spans="21:33" ht="14" x14ac:dyDescent="0.2">
      <c r="U418" s="1"/>
      <c r="V418" s="22"/>
      <c r="X418" s="40"/>
      <c r="Y418" s="14"/>
      <c r="Z418" s="15"/>
      <c r="AA418" s="13"/>
      <c r="AC418" s="3"/>
      <c r="AD418" s="17"/>
      <c r="AF418" s="7"/>
      <c r="AG418" s="18"/>
    </row>
    <row r="419" spans="21:33" ht="14" x14ac:dyDescent="0.2">
      <c r="U419" s="1"/>
      <c r="V419" s="22"/>
      <c r="X419" s="40"/>
      <c r="Y419" s="14"/>
      <c r="Z419" s="15"/>
      <c r="AA419" s="13"/>
      <c r="AC419" s="3"/>
      <c r="AD419" s="17"/>
      <c r="AF419" s="7"/>
      <c r="AG419" s="18"/>
    </row>
    <row r="420" spans="21:33" ht="14" x14ac:dyDescent="0.2">
      <c r="U420" s="1"/>
      <c r="V420" s="22"/>
      <c r="X420" s="40"/>
      <c r="Y420" s="14"/>
      <c r="Z420" s="15"/>
      <c r="AA420" s="13"/>
      <c r="AC420" s="3"/>
      <c r="AD420" s="17"/>
      <c r="AF420" s="7"/>
      <c r="AG420" s="18"/>
    </row>
    <row r="421" spans="21:33" ht="14" x14ac:dyDescent="0.2">
      <c r="U421" s="1"/>
      <c r="V421" s="22"/>
      <c r="X421" s="40"/>
      <c r="Y421" s="14"/>
      <c r="Z421" s="15"/>
      <c r="AA421" s="13"/>
      <c r="AC421" s="3"/>
      <c r="AD421" s="17"/>
      <c r="AF421" s="7"/>
      <c r="AG421" s="18"/>
    </row>
    <row r="422" spans="21:33" ht="14" x14ac:dyDescent="0.2">
      <c r="U422" s="1"/>
      <c r="V422" s="22"/>
      <c r="X422" s="40"/>
      <c r="Y422" s="14"/>
      <c r="Z422" s="15"/>
      <c r="AA422" s="13"/>
      <c r="AC422" s="3"/>
      <c r="AD422" s="17"/>
      <c r="AF422" s="7"/>
      <c r="AG422" s="18"/>
    </row>
    <row r="423" spans="21:33" ht="14" x14ac:dyDescent="0.2">
      <c r="U423" s="1"/>
      <c r="V423" s="22"/>
      <c r="X423" s="40"/>
      <c r="Y423" s="14"/>
      <c r="Z423" s="15"/>
      <c r="AA423" s="13"/>
      <c r="AC423" s="3"/>
      <c r="AD423" s="17"/>
      <c r="AF423" s="7"/>
      <c r="AG423" s="18"/>
    </row>
    <row r="424" spans="21:33" ht="14" x14ac:dyDescent="0.2">
      <c r="U424" s="1"/>
      <c r="V424" s="22"/>
      <c r="X424" s="40"/>
      <c r="Y424" s="14"/>
      <c r="Z424" s="15"/>
      <c r="AA424" s="13"/>
      <c r="AC424" s="3"/>
      <c r="AD424" s="17"/>
      <c r="AF424" s="7"/>
      <c r="AG424" s="18"/>
    </row>
    <row r="425" spans="21:33" ht="14" x14ac:dyDescent="0.2">
      <c r="U425" s="1"/>
      <c r="V425" s="22"/>
      <c r="X425" s="40"/>
      <c r="Y425" s="14"/>
      <c r="Z425" s="15"/>
      <c r="AA425" s="13"/>
      <c r="AC425" s="3"/>
      <c r="AD425" s="17"/>
      <c r="AF425" s="7"/>
      <c r="AG425" s="18"/>
    </row>
    <row r="426" spans="21:33" ht="14" x14ac:dyDescent="0.2">
      <c r="U426" s="1"/>
      <c r="V426" s="22"/>
      <c r="X426" s="40"/>
      <c r="Y426" s="14"/>
      <c r="Z426" s="15"/>
      <c r="AA426" s="13"/>
      <c r="AC426" s="3"/>
      <c r="AD426" s="17"/>
      <c r="AF426" s="7"/>
      <c r="AG426" s="18"/>
    </row>
    <row r="427" spans="21:33" ht="14" x14ac:dyDescent="0.2">
      <c r="U427" s="1"/>
      <c r="V427" s="22"/>
      <c r="X427" s="40"/>
      <c r="Y427" s="14"/>
      <c r="Z427" s="15"/>
      <c r="AA427" s="13"/>
      <c r="AC427" s="3"/>
      <c r="AD427" s="17"/>
      <c r="AF427" s="7"/>
      <c r="AG427" s="18"/>
    </row>
    <row r="428" spans="21:33" ht="14" x14ac:dyDescent="0.2">
      <c r="U428" s="1"/>
      <c r="V428" s="22"/>
      <c r="X428" s="40"/>
      <c r="Y428" s="14"/>
      <c r="Z428" s="15"/>
      <c r="AA428" s="13"/>
      <c r="AC428" s="3"/>
      <c r="AD428" s="17"/>
      <c r="AF428" s="7"/>
      <c r="AG428" s="18"/>
    </row>
    <row r="429" spans="21:33" ht="14" x14ac:dyDescent="0.2">
      <c r="U429" s="1"/>
      <c r="V429" s="22"/>
      <c r="X429" s="40"/>
      <c r="Y429" s="14"/>
      <c r="Z429" s="15"/>
      <c r="AA429" s="13"/>
      <c r="AC429" s="3"/>
      <c r="AD429" s="17"/>
      <c r="AF429" s="7"/>
      <c r="AG429" s="18"/>
    </row>
    <row r="430" spans="21:33" ht="14" x14ac:dyDescent="0.2">
      <c r="U430" s="1"/>
      <c r="V430" s="22"/>
      <c r="X430" s="40"/>
      <c r="Y430" s="14"/>
      <c r="Z430" s="15"/>
      <c r="AA430" s="13"/>
      <c r="AC430" s="3"/>
      <c r="AD430" s="17"/>
      <c r="AF430" s="7"/>
      <c r="AG430" s="18"/>
    </row>
    <row r="431" spans="21:33" ht="14" x14ac:dyDescent="0.2">
      <c r="U431" s="1"/>
      <c r="V431" s="22"/>
      <c r="X431" s="40"/>
      <c r="Y431" s="14"/>
      <c r="Z431" s="15"/>
      <c r="AA431" s="13"/>
      <c r="AC431" s="3"/>
      <c r="AD431" s="17"/>
      <c r="AF431" s="7"/>
      <c r="AG431" s="18"/>
    </row>
    <row r="432" spans="21:33" ht="14" x14ac:dyDescent="0.2">
      <c r="U432" s="1"/>
      <c r="V432" s="22"/>
      <c r="X432" s="40"/>
      <c r="Y432" s="14"/>
      <c r="Z432" s="15"/>
      <c r="AA432" s="13"/>
      <c r="AC432" s="3"/>
      <c r="AD432" s="17"/>
      <c r="AF432" s="7"/>
      <c r="AG432" s="18"/>
    </row>
    <row r="433" spans="21:33" ht="14" x14ac:dyDescent="0.2">
      <c r="U433" s="1"/>
      <c r="V433" s="22"/>
      <c r="X433" s="40"/>
      <c r="Y433" s="14"/>
      <c r="Z433" s="15"/>
      <c r="AA433" s="13"/>
      <c r="AC433" s="3"/>
      <c r="AD433" s="17"/>
      <c r="AF433" s="7"/>
      <c r="AG433" s="18"/>
    </row>
    <row r="434" spans="21:33" ht="14" x14ac:dyDescent="0.2">
      <c r="U434" s="1"/>
      <c r="V434" s="22"/>
      <c r="X434" s="40"/>
      <c r="Y434" s="14"/>
      <c r="Z434" s="15"/>
      <c r="AA434" s="13"/>
      <c r="AC434" s="3"/>
      <c r="AD434" s="17"/>
      <c r="AF434" s="7"/>
      <c r="AG434" s="18"/>
    </row>
    <row r="435" spans="21:33" ht="14" x14ac:dyDescent="0.2">
      <c r="U435" s="1"/>
      <c r="V435" s="22"/>
      <c r="X435" s="40"/>
      <c r="Y435" s="14"/>
      <c r="Z435" s="15"/>
      <c r="AA435" s="13"/>
      <c r="AC435" s="3"/>
      <c r="AD435" s="17"/>
      <c r="AF435" s="7"/>
      <c r="AG435" s="18"/>
    </row>
    <row r="436" spans="21:33" ht="14" x14ac:dyDescent="0.2">
      <c r="U436" s="1"/>
      <c r="V436" s="22"/>
      <c r="X436" s="40"/>
      <c r="Y436" s="14"/>
      <c r="Z436" s="15"/>
      <c r="AA436" s="13"/>
      <c r="AC436" s="3"/>
      <c r="AD436" s="17"/>
      <c r="AF436" s="7"/>
      <c r="AG436" s="18"/>
    </row>
    <row r="437" spans="21:33" ht="14" x14ac:dyDescent="0.2">
      <c r="U437" s="1"/>
      <c r="V437" s="22"/>
      <c r="X437" s="40"/>
      <c r="Y437" s="14"/>
      <c r="Z437" s="15"/>
      <c r="AA437" s="13"/>
      <c r="AC437" s="3"/>
      <c r="AD437" s="17"/>
      <c r="AF437" s="7"/>
      <c r="AG437" s="18"/>
    </row>
    <row r="438" spans="21:33" ht="14" x14ac:dyDescent="0.2">
      <c r="U438" s="1"/>
      <c r="V438" s="22"/>
      <c r="X438" s="40"/>
      <c r="Y438" s="14"/>
      <c r="Z438" s="15"/>
      <c r="AA438" s="13"/>
      <c r="AC438" s="3"/>
      <c r="AD438" s="17"/>
      <c r="AF438" s="7"/>
      <c r="AG438" s="18"/>
    </row>
    <row r="439" spans="21:33" ht="14" x14ac:dyDescent="0.2">
      <c r="U439" s="1"/>
      <c r="V439" s="22"/>
      <c r="X439" s="40"/>
      <c r="Y439" s="14"/>
      <c r="Z439" s="15"/>
      <c r="AA439" s="13"/>
      <c r="AC439" s="3"/>
      <c r="AD439" s="17"/>
      <c r="AF439" s="7"/>
      <c r="AG439" s="18"/>
    </row>
    <row r="440" spans="21:33" ht="14" x14ac:dyDescent="0.2">
      <c r="U440" s="1"/>
      <c r="V440" s="22"/>
      <c r="X440" s="40"/>
      <c r="Y440" s="14"/>
      <c r="Z440" s="15"/>
      <c r="AA440" s="13"/>
      <c r="AC440" s="3"/>
      <c r="AD440" s="17"/>
      <c r="AF440" s="7"/>
      <c r="AG440" s="18"/>
    </row>
    <row r="441" spans="21:33" ht="14" x14ac:dyDescent="0.2">
      <c r="U441" s="1"/>
      <c r="V441" s="22"/>
      <c r="X441" s="40"/>
      <c r="Y441" s="14"/>
      <c r="Z441" s="15"/>
      <c r="AA441" s="13"/>
      <c r="AC441" s="3"/>
      <c r="AD441" s="17"/>
      <c r="AF441" s="7"/>
      <c r="AG441" s="18"/>
    </row>
    <row r="442" spans="21:33" ht="14" x14ac:dyDescent="0.2">
      <c r="U442" s="1"/>
      <c r="V442" s="22"/>
      <c r="X442" s="40"/>
      <c r="Y442" s="14"/>
      <c r="Z442" s="15"/>
      <c r="AA442" s="13"/>
      <c r="AC442" s="3"/>
      <c r="AD442" s="17"/>
      <c r="AF442" s="7"/>
      <c r="AG442" s="18"/>
    </row>
    <row r="443" spans="21:33" ht="14" x14ac:dyDescent="0.2">
      <c r="U443" s="1"/>
      <c r="V443" s="22"/>
      <c r="X443" s="40"/>
      <c r="Y443" s="14"/>
      <c r="Z443" s="15"/>
      <c r="AA443" s="13"/>
      <c r="AC443" s="3"/>
      <c r="AD443" s="17"/>
      <c r="AF443" s="7"/>
      <c r="AG443" s="18"/>
    </row>
    <row r="444" spans="21:33" ht="14" x14ac:dyDescent="0.2">
      <c r="U444" s="1"/>
      <c r="V444" s="22"/>
      <c r="X444" s="40"/>
      <c r="Y444" s="14"/>
      <c r="Z444" s="15"/>
      <c r="AA444" s="13"/>
      <c r="AC444" s="3"/>
      <c r="AD444" s="17"/>
      <c r="AF444" s="7"/>
      <c r="AG444" s="18"/>
    </row>
    <row r="445" spans="21:33" ht="14" x14ac:dyDescent="0.2">
      <c r="U445" s="1"/>
      <c r="V445" s="22"/>
      <c r="X445" s="40"/>
      <c r="Y445" s="14"/>
      <c r="Z445" s="15"/>
      <c r="AA445" s="13"/>
      <c r="AC445" s="3"/>
      <c r="AD445" s="17"/>
      <c r="AF445" s="7"/>
      <c r="AG445" s="18"/>
    </row>
    <row r="446" spans="21:33" ht="14" x14ac:dyDescent="0.2">
      <c r="U446" s="1"/>
      <c r="V446" s="22"/>
      <c r="X446" s="40"/>
      <c r="Y446" s="14"/>
      <c r="Z446" s="15"/>
      <c r="AA446" s="13"/>
      <c r="AC446" s="3"/>
      <c r="AD446" s="17"/>
      <c r="AF446" s="7"/>
      <c r="AG446" s="18"/>
    </row>
    <row r="447" spans="21:33" ht="14" x14ac:dyDescent="0.2">
      <c r="U447" s="1"/>
      <c r="V447" s="22"/>
      <c r="X447" s="40"/>
      <c r="Y447" s="14"/>
      <c r="Z447" s="15"/>
      <c r="AA447" s="13"/>
      <c r="AC447" s="3"/>
      <c r="AD447" s="17"/>
      <c r="AF447" s="7"/>
      <c r="AG447" s="18"/>
    </row>
    <row r="448" spans="21:33" ht="14" x14ac:dyDescent="0.2">
      <c r="U448" s="1"/>
      <c r="V448" s="22"/>
      <c r="X448" s="40"/>
      <c r="Y448" s="14"/>
      <c r="Z448" s="15"/>
      <c r="AA448" s="13"/>
      <c r="AC448" s="3"/>
      <c r="AD448" s="17"/>
      <c r="AF448" s="7"/>
      <c r="AG448" s="18"/>
    </row>
    <row r="449" spans="21:33" ht="14" x14ac:dyDescent="0.2">
      <c r="U449" s="1"/>
      <c r="V449" s="22"/>
      <c r="X449" s="40"/>
      <c r="Y449" s="14"/>
      <c r="Z449" s="15"/>
      <c r="AA449" s="13"/>
      <c r="AC449" s="3"/>
      <c r="AD449" s="17"/>
      <c r="AF449" s="7"/>
      <c r="AG449" s="18"/>
    </row>
    <row r="450" spans="21:33" ht="14" x14ac:dyDescent="0.2">
      <c r="U450" s="1"/>
      <c r="V450" s="22"/>
      <c r="X450" s="40"/>
      <c r="Y450" s="14"/>
      <c r="Z450" s="15"/>
      <c r="AA450" s="13"/>
      <c r="AC450" s="3"/>
      <c r="AD450" s="17"/>
      <c r="AF450" s="7"/>
      <c r="AG450" s="18"/>
    </row>
    <row r="451" spans="21:33" ht="14" x14ac:dyDescent="0.2">
      <c r="U451" s="1"/>
      <c r="V451" s="22"/>
      <c r="X451" s="40"/>
      <c r="Y451" s="14"/>
      <c r="Z451" s="15"/>
      <c r="AA451" s="13"/>
      <c r="AC451" s="3"/>
      <c r="AD451" s="17"/>
      <c r="AF451" s="7"/>
      <c r="AG451" s="18"/>
    </row>
    <row r="452" spans="21:33" ht="14" x14ac:dyDescent="0.2">
      <c r="U452" s="1"/>
      <c r="V452" s="22"/>
      <c r="X452" s="40"/>
      <c r="Y452" s="14"/>
      <c r="Z452" s="15"/>
      <c r="AA452" s="13"/>
      <c r="AC452" s="3"/>
      <c r="AD452" s="17"/>
      <c r="AF452" s="7"/>
      <c r="AG452" s="18"/>
    </row>
    <row r="453" spans="21:33" ht="14" x14ac:dyDescent="0.2">
      <c r="U453" s="1"/>
      <c r="V453" s="22"/>
      <c r="X453" s="40"/>
      <c r="Y453" s="14"/>
      <c r="Z453" s="15"/>
      <c r="AA453" s="13"/>
      <c r="AC453" s="3"/>
      <c r="AD453" s="17"/>
      <c r="AF453" s="7"/>
      <c r="AG453" s="18"/>
    </row>
    <row r="454" spans="21:33" ht="14" x14ac:dyDescent="0.2">
      <c r="U454" s="1"/>
      <c r="V454" s="22"/>
      <c r="X454" s="40"/>
      <c r="Y454" s="14"/>
      <c r="Z454" s="15"/>
      <c r="AA454" s="13"/>
      <c r="AC454" s="3"/>
      <c r="AD454" s="17"/>
      <c r="AF454" s="7"/>
      <c r="AG454" s="18"/>
    </row>
    <row r="455" spans="21:33" ht="14" x14ac:dyDescent="0.2">
      <c r="U455" s="1"/>
      <c r="V455" s="22"/>
      <c r="X455" s="40"/>
      <c r="Y455" s="14"/>
      <c r="Z455" s="15"/>
      <c r="AA455" s="13"/>
      <c r="AC455" s="3"/>
      <c r="AD455" s="17"/>
      <c r="AF455" s="7"/>
      <c r="AG455" s="18"/>
    </row>
    <row r="456" spans="21:33" ht="14" x14ac:dyDescent="0.2">
      <c r="U456" s="1"/>
      <c r="V456" s="22"/>
      <c r="X456" s="40"/>
      <c r="Y456" s="14"/>
      <c r="Z456" s="15"/>
      <c r="AA456" s="13"/>
      <c r="AC456" s="3"/>
      <c r="AD456" s="17"/>
      <c r="AF456" s="7"/>
      <c r="AG456" s="18"/>
    </row>
    <row r="457" spans="21:33" ht="14" x14ac:dyDescent="0.2">
      <c r="U457" s="1"/>
      <c r="V457" s="22"/>
      <c r="X457" s="40"/>
      <c r="Y457" s="14"/>
      <c r="Z457" s="15"/>
      <c r="AA457" s="13"/>
      <c r="AC457" s="3"/>
      <c r="AD457" s="17"/>
      <c r="AF457" s="7"/>
      <c r="AG457" s="18"/>
    </row>
    <row r="458" spans="21:33" ht="14" x14ac:dyDescent="0.2">
      <c r="U458" s="1"/>
      <c r="V458" s="22"/>
      <c r="X458" s="40"/>
      <c r="Y458" s="14"/>
      <c r="Z458" s="15"/>
      <c r="AA458" s="13"/>
      <c r="AC458" s="3"/>
      <c r="AD458" s="17"/>
      <c r="AF458" s="7"/>
      <c r="AG458" s="18"/>
    </row>
    <row r="459" spans="21:33" ht="14" x14ac:dyDescent="0.2">
      <c r="U459" s="1"/>
      <c r="V459" s="22"/>
      <c r="X459" s="40"/>
      <c r="Y459" s="14"/>
      <c r="Z459" s="15"/>
      <c r="AA459" s="13"/>
      <c r="AC459" s="3"/>
      <c r="AD459" s="17"/>
      <c r="AF459" s="7"/>
      <c r="AG459" s="18"/>
    </row>
    <row r="460" spans="21:33" ht="14" x14ac:dyDescent="0.2">
      <c r="U460" s="1"/>
      <c r="V460" s="22"/>
      <c r="X460" s="40"/>
      <c r="Y460" s="14"/>
      <c r="Z460" s="15"/>
      <c r="AA460" s="13"/>
      <c r="AC460" s="3"/>
      <c r="AD460" s="17"/>
      <c r="AF460" s="7"/>
      <c r="AG460" s="18"/>
    </row>
    <row r="461" spans="21:33" ht="14" x14ac:dyDescent="0.2">
      <c r="U461" s="1"/>
      <c r="V461" s="22"/>
      <c r="X461" s="40"/>
      <c r="Y461" s="14"/>
      <c r="Z461" s="15"/>
      <c r="AA461" s="13"/>
      <c r="AC461" s="3"/>
      <c r="AD461" s="17"/>
      <c r="AF461" s="7"/>
      <c r="AG461" s="18"/>
    </row>
    <row r="462" spans="21:33" ht="14" x14ac:dyDescent="0.2">
      <c r="U462" s="1"/>
      <c r="V462" s="22"/>
      <c r="X462" s="40"/>
      <c r="Y462" s="14"/>
      <c r="Z462" s="15"/>
      <c r="AA462" s="13"/>
      <c r="AC462" s="3"/>
      <c r="AD462" s="17"/>
      <c r="AF462" s="7"/>
      <c r="AG462" s="18"/>
    </row>
    <row r="463" spans="21:33" ht="14" x14ac:dyDescent="0.2">
      <c r="U463" s="1"/>
      <c r="V463" s="22"/>
      <c r="X463" s="40"/>
      <c r="Y463" s="14"/>
      <c r="Z463" s="15"/>
      <c r="AA463" s="13"/>
      <c r="AC463" s="3"/>
      <c r="AD463" s="17"/>
      <c r="AF463" s="7"/>
      <c r="AG463" s="18"/>
    </row>
    <row r="464" spans="21:33" ht="14" x14ac:dyDescent="0.2">
      <c r="U464" s="1"/>
      <c r="V464" s="22"/>
      <c r="X464" s="40"/>
      <c r="Y464" s="14"/>
      <c r="Z464" s="15"/>
      <c r="AA464" s="13"/>
      <c r="AC464" s="3"/>
      <c r="AD464" s="17"/>
      <c r="AF464" s="7"/>
      <c r="AG464" s="18"/>
    </row>
    <row r="465" spans="21:33" ht="14" x14ac:dyDescent="0.2">
      <c r="U465" s="1"/>
      <c r="V465" s="22"/>
      <c r="X465" s="40"/>
      <c r="Y465" s="14"/>
      <c r="Z465" s="15"/>
      <c r="AA465" s="13"/>
      <c r="AC465" s="3"/>
      <c r="AD465" s="17"/>
      <c r="AF465" s="7"/>
      <c r="AG465" s="18"/>
    </row>
    <row r="466" spans="21:33" ht="14" x14ac:dyDescent="0.2">
      <c r="U466" s="1"/>
      <c r="V466" s="22"/>
      <c r="X466" s="40"/>
      <c r="Y466" s="14"/>
      <c r="Z466" s="15"/>
      <c r="AA466" s="13"/>
      <c r="AC466" s="3"/>
      <c r="AD466" s="17"/>
      <c r="AF466" s="7"/>
      <c r="AG466" s="18"/>
    </row>
    <row r="467" spans="21:33" ht="14" x14ac:dyDescent="0.2">
      <c r="U467" s="1"/>
      <c r="V467" s="22"/>
      <c r="X467" s="40"/>
      <c r="Y467" s="14"/>
      <c r="Z467" s="15"/>
      <c r="AA467" s="13"/>
      <c r="AC467" s="3"/>
      <c r="AD467" s="17"/>
      <c r="AF467" s="7"/>
      <c r="AG467" s="18"/>
    </row>
    <row r="468" spans="21:33" ht="14" x14ac:dyDescent="0.2">
      <c r="U468" s="1"/>
      <c r="V468" s="22"/>
      <c r="X468" s="40"/>
      <c r="Y468" s="14"/>
      <c r="Z468" s="15"/>
      <c r="AA468" s="13"/>
      <c r="AC468" s="3"/>
      <c r="AD468" s="17"/>
      <c r="AF468" s="7"/>
      <c r="AG468" s="18"/>
    </row>
    <row r="469" spans="21:33" ht="14" x14ac:dyDescent="0.2">
      <c r="U469" s="1"/>
      <c r="V469" s="22"/>
      <c r="X469" s="40"/>
      <c r="Y469" s="14"/>
      <c r="Z469" s="15"/>
      <c r="AA469" s="13"/>
      <c r="AC469" s="3"/>
      <c r="AD469" s="17"/>
      <c r="AF469" s="7"/>
      <c r="AG469" s="18"/>
    </row>
    <row r="470" spans="21:33" ht="14" x14ac:dyDescent="0.2">
      <c r="U470" s="1"/>
      <c r="V470" s="22"/>
      <c r="X470" s="40"/>
      <c r="Y470" s="14"/>
      <c r="Z470" s="15"/>
      <c r="AA470" s="13"/>
      <c r="AC470" s="3"/>
      <c r="AD470" s="17"/>
      <c r="AF470" s="7"/>
      <c r="AG470" s="18"/>
    </row>
    <row r="471" spans="21:33" ht="14" x14ac:dyDescent="0.2">
      <c r="U471" s="1"/>
      <c r="V471" s="22"/>
      <c r="X471" s="40"/>
      <c r="Y471" s="14"/>
      <c r="Z471" s="15"/>
      <c r="AA471" s="13"/>
      <c r="AC471" s="3"/>
      <c r="AD471" s="17"/>
      <c r="AF471" s="7"/>
      <c r="AG471" s="18"/>
    </row>
    <row r="472" spans="21:33" ht="14" x14ac:dyDescent="0.2">
      <c r="U472" s="1"/>
      <c r="V472" s="22"/>
      <c r="X472" s="40"/>
      <c r="Y472" s="14"/>
      <c r="Z472" s="15"/>
      <c r="AA472" s="13"/>
      <c r="AC472" s="3"/>
      <c r="AD472" s="17"/>
      <c r="AF472" s="7"/>
      <c r="AG472" s="18"/>
    </row>
    <row r="473" spans="21:33" ht="14" x14ac:dyDescent="0.2">
      <c r="U473" s="1"/>
      <c r="V473" s="22"/>
      <c r="X473" s="40"/>
      <c r="Y473" s="14"/>
      <c r="Z473" s="15"/>
      <c r="AA473" s="13"/>
      <c r="AC473" s="3"/>
      <c r="AD473" s="17"/>
      <c r="AF473" s="7"/>
      <c r="AG473" s="18"/>
    </row>
    <row r="474" spans="21:33" ht="14" x14ac:dyDescent="0.2">
      <c r="U474" s="1"/>
      <c r="V474" s="22"/>
      <c r="X474" s="40"/>
      <c r="Y474" s="14"/>
      <c r="Z474" s="15"/>
      <c r="AA474" s="13"/>
      <c r="AC474" s="3"/>
      <c r="AD474" s="17"/>
      <c r="AF474" s="7"/>
      <c r="AG474" s="18"/>
    </row>
    <row r="475" spans="21:33" ht="14" x14ac:dyDescent="0.2">
      <c r="U475" s="1"/>
      <c r="V475" s="22"/>
      <c r="X475" s="40"/>
      <c r="Y475" s="14"/>
      <c r="Z475" s="15"/>
      <c r="AA475" s="13"/>
      <c r="AC475" s="3"/>
      <c r="AD475" s="17"/>
      <c r="AF475" s="7"/>
      <c r="AG475" s="18"/>
    </row>
    <row r="476" spans="21:33" ht="14" x14ac:dyDescent="0.2">
      <c r="U476" s="1"/>
      <c r="V476" s="22"/>
      <c r="X476" s="40"/>
      <c r="Y476" s="14"/>
      <c r="Z476" s="15"/>
      <c r="AA476" s="13"/>
      <c r="AC476" s="3"/>
      <c r="AD476" s="17"/>
      <c r="AF476" s="7"/>
      <c r="AG476" s="18"/>
    </row>
    <row r="477" spans="21:33" ht="14" x14ac:dyDescent="0.2">
      <c r="U477" s="1"/>
      <c r="V477" s="22"/>
      <c r="X477" s="40"/>
      <c r="Y477" s="14"/>
      <c r="Z477" s="15"/>
      <c r="AA477" s="13"/>
      <c r="AC477" s="3"/>
      <c r="AD477" s="17"/>
      <c r="AF477" s="7"/>
      <c r="AG477" s="18"/>
    </row>
    <row r="478" spans="21:33" ht="14" x14ac:dyDescent="0.2">
      <c r="U478" s="1"/>
      <c r="V478" s="22"/>
      <c r="X478" s="40"/>
      <c r="Y478" s="14"/>
      <c r="Z478" s="15"/>
      <c r="AA478" s="13"/>
      <c r="AC478" s="3"/>
      <c r="AD478" s="17"/>
      <c r="AF478" s="7"/>
      <c r="AG478" s="18"/>
    </row>
    <row r="479" spans="21:33" ht="14" x14ac:dyDescent="0.2">
      <c r="U479" s="1"/>
      <c r="V479" s="22"/>
      <c r="X479" s="40"/>
      <c r="Y479" s="14"/>
      <c r="Z479" s="15"/>
      <c r="AA479" s="13"/>
      <c r="AC479" s="3"/>
      <c r="AD479" s="17"/>
      <c r="AF479" s="7"/>
      <c r="AG479" s="18"/>
    </row>
    <row r="480" spans="21:33" ht="14" x14ac:dyDescent="0.2">
      <c r="U480" s="1"/>
      <c r="V480" s="22"/>
      <c r="X480" s="40"/>
      <c r="Y480" s="14"/>
      <c r="Z480" s="15"/>
      <c r="AA480" s="13"/>
      <c r="AC480" s="3"/>
      <c r="AD480" s="17"/>
      <c r="AF480" s="7"/>
      <c r="AG480" s="18"/>
    </row>
    <row r="481" spans="21:33" ht="14" x14ac:dyDescent="0.2">
      <c r="U481" s="1"/>
      <c r="V481" s="22"/>
      <c r="X481" s="40"/>
      <c r="Y481" s="14"/>
      <c r="Z481" s="15"/>
      <c r="AA481" s="13"/>
      <c r="AC481" s="3"/>
      <c r="AD481" s="17"/>
      <c r="AF481" s="7"/>
      <c r="AG481" s="18"/>
    </row>
    <row r="482" spans="21:33" ht="14" x14ac:dyDescent="0.2">
      <c r="U482" s="1"/>
      <c r="V482" s="22"/>
      <c r="X482" s="40"/>
      <c r="Y482" s="14"/>
      <c r="Z482" s="15"/>
      <c r="AA482" s="13"/>
      <c r="AC482" s="3"/>
      <c r="AD482" s="17"/>
      <c r="AF482" s="7"/>
      <c r="AG482" s="18"/>
    </row>
    <row r="483" spans="21:33" ht="14" x14ac:dyDescent="0.2">
      <c r="U483" s="1"/>
      <c r="V483" s="22"/>
      <c r="X483" s="40"/>
      <c r="Y483" s="14"/>
      <c r="Z483" s="15"/>
      <c r="AA483" s="13"/>
      <c r="AC483" s="3"/>
      <c r="AD483" s="17"/>
      <c r="AF483" s="7"/>
      <c r="AG483" s="18"/>
    </row>
    <row r="484" spans="21:33" ht="14" x14ac:dyDescent="0.2">
      <c r="U484" s="1"/>
      <c r="V484" s="22"/>
      <c r="X484" s="40"/>
      <c r="Y484" s="14"/>
      <c r="Z484" s="15"/>
      <c r="AA484" s="13"/>
      <c r="AC484" s="3"/>
      <c r="AD484" s="17"/>
      <c r="AF484" s="7"/>
      <c r="AG484" s="18"/>
    </row>
    <row r="485" spans="21:33" ht="14" x14ac:dyDescent="0.2">
      <c r="U485" s="1"/>
      <c r="V485" s="22"/>
      <c r="X485" s="40"/>
      <c r="Y485" s="14"/>
      <c r="Z485" s="15"/>
      <c r="AA485" s="13"/>
      <c r="AC485" s="3"/>
      <c r="AD485" s="17"/>
      <c r="AF485" s="7"/>
      <c r="AG485" s="18"/>
    </row>
    <row r="486" spans="21:33" ht="14" x14ac:dyDescent="0.2">
      <c r="U486" s="1"/>
      <c r="V486" s="22"/>
      <c r="X486" s="40"/>
      <c r="Y486" s="14"/>
      <c r="Z486" s="15"/>
      <c r="AA486" s="13"/>
      <c r="AC486" s="3"/>
      <c r="AD486" s="17"/>
      <c r="AF486" s="7"/>
      <c r="AG486" s="18"/>
    </row>
    <row r="487" spans="21:33" ht="14" x14ac:dyDescent="0.2">
      <c r="U487" s="1"/>
      <c r="V487" s="22"/>
      <c r="X487" s="40"/>
      <c r="Y487" s="14"/>
      <c r="Z487" s="15"/>
      <c r="AA487" s="13"/>
      <c r="AC487" s="3"/>
      <c r="AD487" s="17"/>
      <c r="AF487" s="7"/>
      <c r="AG487" s="18"/>
    </row>
    <row r="488" spans="21:33" ht="14" x14ac:dyDescent="0.2">
      <c r="U488" s="1"/>
      <c r="V488" s="22"/>
      <c r="X488" s="40"/>
      <c r="Y488" s="14"/>
      <c r="Z488" s="15"/>
      <c r="AA488" s="13"/>
      <c r="AC488" s="3"/>
      <c r="AD488" s="17"/>
      <c r="AF488" s="7"/>
      <c r="AG488" s="18"/>
    </row>
    <row r="489" spans="21:33" ht="14" x14ac:dyDescent="0.2">
      <c r="U489" s="1"/>
      <c r="V489" s="22"/>
      <c r="X489" s="40"/>
      <c r="Y489" s="14"/>
      <c r="Z489" s="15"/>
      <c r="AA489" s="13"/>
      <c r="AC489" s="3"/>
      <c r="AD489" s="17"/>
      <c r="AF489" s="7"/>
      <c r="AG489" s="18"/>
    </row>
    <row r="490" spans="21:33" ht="14" x14ac:dyDescent="0.2">
      <c r="U490" s="1"/>
      <c r="V490" s="22"/>
      <c r="X490" s="40"/>
      <c r="Y490" s="14"/>
      <c r="Z490" s="15"/>
      <c r="AA490" s="13"/>
      <c r="AC490" s="3"/>
      <c r="AD490" s="17"/>
      <c r="AF490" s="7"/>
      <c r="AG490" s="18"/>
    </row>
    <row r="491" spans="21:33" ht="14" x14ac:dyDescent="0.2">
      <c r="U491" s="1"/>
      <c r="V491" s="22"/>
      <c r="X491" s="40"/>
      <c r="Y491" s="14"/>
      <c r="Z491" s="15"/>
      <c r="AA491" s="13"/>
      <c r="AC491" s="3"/>
      <c r="AD491" s="17"/>
      <c r="AF491" s="7"/>
      <c r="AG491" s="18"/>
    </row>
    <row r="492" spans="21:33" ht="14" x14ac:dyDescent="0.2">
      <c r="U492" s="1"/>
      <c r="V492" s="22"/>
      <c r="X492" s="40"/>
      <c r="Y492" s="14"/>
      <c r="Z492" s="15"/>
      <c r="AA492" s="13"/>
      <c r="AC492" s="3"/>
      <c r="AD492" s="17"/>
      <c r="AF492" s="7"/>
      <c r="AG492" s="18"/>
    </row>
    <row r="493" spans="21:33" ht="14" x14ac:dyDescent="0.2">
      <c r="U493" s="1"/>
      <c r="V493" s="22"/>
      <c r="X493" s="40"/>
      <c r="Y493" s="14"/>
      <c r="Z493" s="15"/>
      <c r="AA493" s="13"/>
      <c r="AC493" s="3"/>
      <c r="AD493" s="17"/>
      <c r="AF493" s="7"/>
      <c r="AG493" s="18"/>
    </row>
    <row r="494" spans="21:33" ht="14" x14ac:dyDescent="0.2">
      <c r="U494" s="1"/>
      <c r="V494" s="22"/>
      <c r="X494" s="40"/>
      <c r="Y494" s="14"/>
      <c r="Z494" s="15"/>
      <c r="AA494" s="13"/>
      <c r="AC494" s="3"/>
      <c r="AD494" s="17"/>
      <c r="AF494" s="7"/>
      <c r="AG494" s="18"/>
    </row>
    <row r="495" spans="21:33" ht="14" x14ac:dyDescent="0.2">
      <c r="U495" s="1"/>
      <c r="V495" s="22"/>
      <c r="X495" s="40"/>
      <c r="Y495" s="14"/>
      <c r="Z495" s="15"/>
      <c r="AA495" s="13"/>
      <c r="AC495" s="3"/>
      <c r="AD495" s="17"/>
      <c r="AF495" s="7"/>
      <c r="AG495" s="18"/>
    </row>
    <row r="496" spans="21:33" ht="14" x14ac:dyDescent="0.2">
      <c r="U496" s="1"/>
      <c r="V496" s="22"/>
      <c r="X496" s="40"/>
      <c r="Y496" s="14"/>
      <c r="Z496" s="15"/>
      <c r="AA496" s="13"/>
      <c r="AC496" s="3"/>
      <c r="AD496" s="17"/>
      <c r="AF496" s="7"/>
      <c r="AG496" s="18"/>
    </row>
    <row r="497" spans="21:33" ht="14" x14ac:dyDescent="0.2">
      <c r="U497" s="1"/>
      <c r="V497" s="22"/>
      <c r="X497" s="40"/>
      <c r="Y497" s="14"/>
      <c r="Z497" s="15"/>
      <c r="AA497" s="13"/>
      <c r="AC497" s="3"/>
      <c r="AD497" s="17"/>
      <c r="AF497" s="7"/>
      <c r="AG497" s="18"/>
    </row>
    <row r="498" spans="21:33" ht="14" x14ac:dyDescent="0.2">
      <c r="U498" s="1"/>
      <c r="V498" s="22"/>
      <c r="X498" s="40"/>
      <c r="Y498" s="14"/>
      <c r="Z498" s="15"/>
      <c r="AA498" s="13"/>
      <c r="AC498" s="3"/>
      <c r="AD498" s="17"/>
      <c r="AF498" s="7"/>
      <c r="AG498" s="18"/>
    </row>
    <row r="499" spans="21:33" ht="14" x14ac:dyDescent="0.2">
      <c r="U499" s="1"/>
      <c r="V499" s="22"/>
      <c r="X499" s="40"/>
      <c r="Y499" s="14"/>
      <c r="Z499" s="15"/>
      <c r="AA499" s="13"/>
      <c r="AC499" s="3"/>
      <c r="AD499" s="17"/>
      <c r="AF499" s="7"/>
      <c r="AG499" s="18"/>
    </row>
    <row r="500" spans="21:33" ht="14" x14ac:dyDescent="0.2">
      <c r="U500" s="1"/>
      <c r="V500" s="22"/>
      <c r="X500" s="40"/>
      <c r="Y500" s="14"/>
      <c r="Z500" s="15"/>
      <c r="AA500" s="13"/>
      <c r="AC500" s="3"/>
      <c r="AD500" s="17"/>
      <c r="AF500" s="7"/>
      <c r="AG500" s="18"/>
    </row>
    <row r="501" spans="21:33" ht="14" x14ac:dyDescent="0.2">
      <c r="U501" s="1"/>
      <c r="V501" s="22"/>
      <c r="X501" s="40"/>
      <c r="Y501" s="14"/>
      <c r="Z501" s="15"/>
      <c r="AA501" s="13"/>
      <c r="AC501" s="3"/>
      <c r="AD501" s="17"/>
      <c r="AF501" s="7"/>
      <c r="AG501" s="18"/>
    </row>
    <row r="502" spans="21:33" ht="14" x14ac:dyDescent="0.2">
      <c r="U502" s="1"/>
      <c r="V502" s="22"/>
      <c r="X502" s="40"/>
      <c r="Y502" s="14"/>
      <c r="Z502" s="15"/>
      <c r="AA502" s="13"/>
      <c r="AC502" s="3"/>
      <c r="AD502" s="17"/>
      <c r="AF502" s="7"/>
      <c r="AG502" s="18"/>
    </row>
    <row r="503" spans="21:33" ht="14" x14ac:dyDescent="0.2">
      <c r="U503" s="1"/>
      <c r="V503" s="22"/>
      <c r="X503" s="40"/>
      <c r="Y503" s="14"/>
      <c r="Z503" s="15"/>
      <c r="AA503" s="13"/>
      <c r="AC503" s="3"/>
      <c r="AD503" s="17"/>
      <c r="AF503" s="7"/>
      <c r="AG503" s="18"/>
    </row>
    <row r="504" spans="21:33" ht="14" x14ac:dyDescent="0.2">
      <c r="U504" s="1"/>
      <c r="V504" s="22"/>
      <c r="X504" s="40"/>
      <c r="Y504" s="14"/>
      <c r="Z504" s="15"/>
      <c r="AA504" s="13"/>
      <c r="AC504" s="3"/>
      <c r="AD504" s="17"/>
      <c r="AF504" s="7"/>
      <c r="AG504" s="18"/>
    </row>
    <row r="505" spans="21:33" ht="14" x14ac:dyDescent="0.2">
      <c r="U505" s="1"/>
      <c r="V505" s="22"/>
      <c r="X505" s="40"/>
      <c r="Y505" s="14"/>
      <c r="Z505" s="15"/>
      <c r="AA505" s="13"/>
      <c r="AC505" s="3"/>
      <c r="AD505" s="17"/>
      <c r="AF505" s="7"/>
      <c r="AG505" s="18"/>
    </row>
    <row r="506" spans="21:33" ht="14" x14ac:dyDescent="0.2">
      <c r="U506" s="1"/>
      <c r="V506" s="22"/>
      <c r="X506" s="40"/>
      <c r="Y506" s="14"/>
      <c r="Z506" s="15"/>
      <c r="AA506" s="13"/>
      <c r="AC506" s="3"/>
      <c r="AD506" s="17"/>
      <c r="AF506" s="7"/>
      <c r="AG506" s="18"/>
    </row>
    <row r="507" spans="21:33" ht="14" x14ac:dyDescent="0.2">
      <c r="U507" s="1"/>
      <c r="V507" s="22"/>
      <c r="X507" s="40"/>
      <c r="Y507" s="14"/>
      <c r="Z507" s="15"/>
      <c r="AA507" s="13"/>
      <c r="AC507" s="3"/>
      <c r="AD507" s="17"/>
      <c r="AF507" s="7"/>
      <c r="AG507" s="18"/>
    </row>
    <row r="508" spans="21:33" ht="14" x14ac:dyDescent="0.2">
      <c r="U508" s="1"/>
      <c r="V508" s="22"/>
      <c r="X508" s="40"/>
      <c r="Y508" s="14"/>
      <c r="Z508" s="15"/>
      <c r="AA508" s="13"/>
      <c r="AC508" s="3"/>
      <c r="AD508" s="17"/>
      <c r="AF508" s="7"/>
      <c r="AG508" s="18"/>
    </row>
    <row r="509" spans="21:33" ht="14" x14ac:dyDescent="0.2">
      <c r="U509" s="1"/>
      <c r="V509" s="22"/>
      <c r="X509" s="40"/>
      <c r="Y509" s="14"/>
      <c r="Z509" s="15"/>
      <c r="AA509" s="13"/>
      <c r="AC509" s="3"/>
      <c r="AD509" s="17"/>
      <c r="AF509" s="7"/>
      <c r="AG509" s="18"/>
    </row>
    <row r="510" spans="21:33" ht="14" x14ac:dyDescent="0.2">
      <c r="U510" s="1"/>
      <c r="V510" s="22"/>
      <c r="X510" s="40"/>
      <c r="Y510" s="14"/>
      <c r="Z510" s="15"/>
      <c r="AA510" s="13"/>
      <c r="AC510" s="3"/>
      <c r="AD510" s="17"/>
      <c r="AF510" s="7"/>
      <c r="AG510" s="18"/>
    </row>
    <row r="511" spans="21:33" ht="14" x14ac:dyDescent="0.2">
      <c r="U511" s="1"/>
      <c r="V511" s="22"/>
      <c r="X511" s="40"/>
      <c r="Y511" s="14"/>
      <c r="Z511" s="15"/>
      <c r="AA511" s="13"/>
      <c r="AC511" s="3"/>
      <c r="AD511" s="17"/>
      <c r="AF511" s="7"/>
      <c r="AG511" s="18"/>
    </row>
    <row r="512" spans="21:33" ht="14" x14ac:dyDescent="0.2">
      <c r="U512" s="1"/>
      <c r="V512" s="22"/>
      <c r="X512" s="40"/>
      <c r="Y512" s="14"/>
      <c r="Z512" s="15"/>
      <c r="AA512" s="13"/>
      <c r="AC512" s="3"/>
      <c r="AD512" s="17"/>
      <c r="AF512" s="7"/>
      <c r="AG512" s="18"/>
    </row>
    <row r="513" spans="21:33" ht="14" x14ac:dyDescent="0.2">
      <c r="U513" s="1"/>
      <c r="V513" s="22"/>
      <c r="X513" s="40"/>
      <c r="Y513" s="14"/>
      <c r="Z513" s="15"/>
      <c r="AA513" s="13"/>
      <c r="AC513" s="3"/>
      <c r="AD513" s="17"/>
      <c r="AF513" s="7"/>
      <c r="AG513" s="18"/>
    </row>
    <row r="514" spans="21:33" ht="14" x14ac:dyDescent="0.2">
      <c r="U514" s="1"/>
      <c r="V514" s="22"/>
      <c r="X514" s="40"/>
      <c r="Y514" s="14"/>
      <c r="Z514" s="15"/>
      <c r="AA514" s="13"/>
      <c r="AC514" s="3"/>
      <c r="AD514" s="17"/>
      <c r="AF514" s="7"/>
      <c r="AG514" s="18"/>
    </row>
    <row r="515" spans="21:33" ht="14" x14ac:dyDescent="0.2">
      <c r="U515" s="1"/>
      <c r="V515" s="22"/>
      <c r="X515" s="40"/>
      <c r="Y515" s="14"/>
      <c r="Z515" s="15"/>
      <c r="AA515" s="13"/>
      <c r="AC515" s="3"/>
      <c r="AD515" s="17"/>
      <c r="AF515" s="7"/>
      <c r="AG515" s="18"/>
    </row>
    <row r="516" spans="21:33" ht="14" x14ac:dyDescent="0.2">
      <c r="U516" s="1"/>
      <c r="V516" s="22"/>
      <c r="X516" s="40"/>
      <c r="Y516" s="14"/>
      <c r="Z516" s="15"/>
      <c r="AA516" s="13"/>
      <c r="AC516" s="3"/>
      <c r="AD516" s="17"/>
      <c r="AF516" s="7"/>
      <c r="AG516" s="18"/>
    </row>
    <row r="517" spans="21:33" ht="14" x14ac:dyDescent="0.2">
      <c r="U517" s="1"/>
      <c r="V517" s="22"/>
      <c r="X517" s="40"/>
      <c r="Y517" s="14"/>
      <c r="Z517" s="15"/>
      <c r="AA517" s="13"/>
      <c r="AC517" s="3"/>
      <c r="AD517" s="17"/>
      <c r="AF517" s="7"/>
      <c r="AG517" s="18"/>
    </row>
    <row r="518" spans="21:33" ht="14" x14ac:dyDescent="0.2">
      <c r="U518" s="1"/>
      <c r="V518" s="22"/>
      <c r="X518" s="40"/>
      <c r="Y518" s="14"/>
      <c r="Z518" s="15"/>
      <c r="AA518" s="13"/>
      <c r="AC518" s="3"/>
      <c r="AD518" s="17"/>
      <c r="AF518" s="7"/>
      <c r="AG518" s="18"/>
    </row>
    <row r="519" spans="21:33" ht="14" x14ac:dyDescent="0.2">
      <c r="U519" s="1"/>
      <c r="V519" s="22"/>
      <c r="X519" s="40"/>
      <c r="Y519" s="14"/>
      <c r="Z519" s="15"/>
      <c r="AA519" s="13"/>
      <c r="AC519" s="3"/>
      <c r="AD519" s="17"/>
      <c r="AF519" s="7"/>
      <c r="AG519" s="18"/>
    </row>
    <row r="520" spans="21:33" ht="14" x14ac:dyDescent="0.2">
      <c r="U520" s="1"/>
      <c r="V520" s="22"/>
      <c r="X520" s="40"/>
      <c r="Y520" s="14"/>
      <c r="Z520" s="15"/>
      <c r="AA520" s="13"/>
      <c r="AC520" s="3"/>
      <c r="AD520" s="17"/>
      <c r="AF520" s="7"/>
      <c r="AG520" s="18"/>
    </row>
    <row r="521" spans="21:33" ht="14" x14ac:dyDescent="0.2">
      <c r="U521" s="1"/>
      <c r="V521" s="22"/>
      <c r="X521" s="40"/>
      <c r="Y521" s="14"/>
      <c r="Z521" s="15"/>
      <c r="AA521" s="13"/>
      <c r="AC521" s="3"/>
      <c r="AD521" s="17"/>
      <c r="AF521" s="7"/>
      <c r="AG521" s="18"/>
    </row>
    <row r="522" spans="21:33" ht="14" x14ac:dyDescent="0.2">
      <c r="U522" s="1"/>
      <c r="V522" s="22"/>
      <c r="X522" s="40"/>
      <c r="Y522" s="14"/>
      <c r="Z522" s="15"/>
      <c r="AA522" s="13"/>
      <c r="AC522" s="3"/>
      <c r="AD522" s="17"/>
      <c r="AF522" s="7"/>
      <c r="AG522" s="18"/>
    </row>
    <row r="523" spans="21:33" ht="14" x14ac:dyDescent="0.2">
      <c r="U523" s="1"/>
      <c r="V523" s="22"/>
      <c r="X523" s="40"/>
      <c r="Y523" s="14"/>
      <c r="Z523" s="15"/>
      <c r="AA523" s="13"/>
      <c r="AC523" s="3"/>
      <c r="AD523" s="17"/>
      <c r="AF523" s="7"/>
      <c r="AG523" s="18"/>
    </row>
    <row r="524" spans="21:33" ht="14" x14ac:dyDescent="0.2">
      <c r="U524" s="1"/>
      <c r="V524" s="22"/>
      <c r="X524" s="40"/>
      <c r="Y524" s="14"/>
      <c r="Z524" s="15"/>
      <c r="AA524" s="13"/>
      <c r="AC524" s="3"/>
      <c r="AD524" s="17"/>
      <c r="AF524" s="7"/>
      <c r="AG524" s="18"/>
    </row>
    <row r="525" spans="21:33" ht="14" x14ac:dyDescent="0.2">
      <c r="U525" s="1"/>
      <c r="V525" s="22"/>
      <c r="X525" s="40"/>
      <c r="Y525" s="14"/>
      <c r="Z525" s="15"/>
      <c r="AA525" s="13"/>
      <c r="AC525" s="3"/>
      <c r="AD525" s="17"/>
      <c r="AF525" s="7"/>
      <c r="AG525" s="18"/>
    </row>
    <row r="526" spans="21:33" ht="14" x14ac:dyDescent="0.2">
      <c r="U526" s="1"/>
      <c r="V526" s="22"/>
      <c r="X526" s="40"/>
      <c r="Y526" s="14"/>
      <c r="Z526" s="15"/>
      <c r="AA526" s="13"/>
      <c r="AC526" s="3"/>
      <c r="AD526" s="17"/>
      <c r="AF526" s="7"/>
      <c r="AG526" s="18"/>
    </row>
    <row r="527" spans="21:33" ht="14" x14ac:dyDescent="0.2">
      <c r="U527" s="1"/>
      <c r="V527" s="22"/>
      <c r="X527" s="40"/>
      <c r="Y527" s="14"/>
      <c r="Z527" s="15"/>
      <c r="AA527" s="13"/>
      <c r="AC527" s="3"/>
      <c r="AD527" s="17"/>
      <c r="AF527" s="7"/>
      <c r="AG527" s="18"/>
    </row>
    <row r="528" spans="21:33" ht="14" x14ac:dyDescent="0.2">
      <c r="U528" s="1"/>
      <c r="V528" s="22"/>
      <c r="X528" s="40"/>
      <c r="Y528" s="14"/>
      <c r="Z528" s="15"/>
      <c r="AA528" s="13"/>
      <c r="AC528" s="3"/>
      <c r="AD528" s="17"/>
      <c r="AF528" s="7"/>
      <c r="AG528" s="18"/>
    </row>
    <row r="529" spans="21:33" ht="14" x14ac:dyDescent="0.2">
      <c r="U529" s="1"/>
      <c r="V529" s="22"/>
      <c r="X529" s="40"/>
      <c r="Y529" s="14"/>
      <c r="Z529" s="15"/>
      <c r="AA529" s="13"/>
      <c r="AC529" s="3"/>
      <c r="AD529" s="17"/>
      <c r="AF529" s="7"/>
      <c r="AG529" s="18"/>
    </row>
    <row r="530" spans="21:33" ht="14" x14ac:dyDescent="0.2">
      <c r="U530" s="1"/>
      <c r="V530" s="22"/>
      <c r="X530" s="40"/>
      <c r="Y530" s="14"/>
      <c r="Z530" s="15"/>
      <c r="AA530" s="13"/>
      <c r="AC530" s="3"/>
      <c r="AD530" s="17"/>
      <c r="AF530" s="7"/>
      <c r="AG530" s="18"/>
    </row>
    <row r="531" spans="21:33" ht="14" x14ac:dyDescent="0.2">
      <c r="U531" s="1"/>
      <c r="V531" s="22"/>
      <c r="X531" s="40"/>
      <c r="Y531" s="14"/>
      <c r="Z531" s="15"/>
      <c r="AA531" s="13"/>
      <c r="AC531" s="3"/>
      <c r="AD531" s="17"/>
      <c r="AF531" s="7"/>
      <c r="AG531" s="18"/>
    </row>
    <row r="532" spans="21:33" ht="14" x14ac:dyDescent="0.2">
      <c r="U532" s="1"/>
      <c r="V532" s="22"/>
      <c r="X532" s="40"/>
      <c r="Y532" s="14"/>
      <c r="Z532" s="15"/>
      <c r="AA532" s="13"/>
      <c r="AC532" s="3"/>
      <c r="AD532" s="17"/>
      <c r="AF532" s="7"/>
      <c r="AG532" s="18"/>
    </row>
    <row r="533" spans="21:33" ht="14" x14ac:dyDescent="0.2">
      <c r="U533" s="1"/>
      <c r="V533" s="22"/>
      <c r="X533" s="40"/>
      <c r="Y533" s="14"/>
      <c r="Z533" s="15"/>
      <c r="AA533" s="13"/>
      <c r="AC533" s="3"/>
      <c r="AD533" s="17"/>
      <c r="AF533" s="7"/>
      <c r="AG533" s="18"/>
    </row>
    <row r="534" spans="21:33" ht="14" x14ac:dyDescent="0.2">
      <c r="U534" s="1"/>
      <c r="V534" s="22"/>
      <c r="X534" s="40"/>
      <c r="Y534" s="14"/>
      <c r="Z534" s="15"/>
      <c r="AA534" s="13"/>
      <c r="AC534" s="3"/>
      <c r="AD534" s="17"/>
      <c r="AF534" s="7"/>
      <c r="AG534" s="18"/>
    </row>
    <row r="535" spans="21:33" ht="14" x14ac:dyDescent="0.2">
      <c r="U535" s="1"/>
      <c r="V535" s="22"/>
      <c r="X535" s="40"/>
      <c r="Y535" s="14"/>
      <c r="Z535" s="15"/>
      <c r="AA535" s="13"/>
      <c r="AC535" s="3"/>
      <c r="AD535" s="17"/>
      <c r="AF535" s="7"/>
      <c r="AG535" s="18"/>
    </row>
    <row r="536" spans="21:33" ht="14" x14ac:dyDescent="0.2">
      <c r="U536" s="1"/>
      <c r="V536" s="22"/>
      <c r="X536" s="40"/>
      <c r="Y536" s="14"/>
      <c r="Z536" s="15"/>
      <c r="AA536" s="13"/>
      <c r="AC536" s="3"/>
      <c r="AD536" s="17"/>
      <c r="AF536" s="7"/>
      <c r="AG536" s="18"/>
    </row>
    <row r="537" spans="21:33" ht="14" x14ac:dyDescent="0.2">
      <c r="U537" s="1"/>
      <c r="V537" s="22"/>
      <c r="X537" s="40"/>
      <c r="Y537" s="14"/>
      <c r="Z537" s="15"/>
      <c r="AA537" s="13"/>
      <c r="AC537" s="3"/>
      <c r="AD537" s="17"/>
      <c r="AF537" s="7"/>
      <c r="AG537" s="18"/>
    </row>
    <row r="538" spans="21:33" ht="14" x14ac:dyDescent="0.2">
      <c r="U538" s="1"/>
      <c r="V538" s="22"/>
      <c r="X538" s="40"/>
      <c r="Y538" s="14"/>
      <c r="Z538" s="15"/>
      <c r="AA538" s="13"/>
      <c r="AC538" s="3"/>
      <c r="AD538" s="17"/>
      <c r="AF538" s="7"/>
      <c r="AG538" s="18"/>
    </row>
    <row r="539" spans="21:33" ht="14" x14ac:dyDescent="0.2">
      <c r="U539" s="1"/>
      <c r="V539" s="22"/>
      <c r="X539" s="40"/>
      <c r="Y539" s="14"/>
      <c r="Z539" s="15"/>
      <c r="AA539" s="13"/>
      <c r="AC539" s="3"/>
      <c r="AD539" s="17"/>
      <c r="AF539" s="7"/>
      <c r="AG539" s="18"/>
    </row>
    <row r="540" spans="21:33" ht="14" x14ac:dyDescent="0.2">
      <c r="U540" s="1"/>
      <c r="V540" s="22"/>
      <c r="X540" s="40"/>
      <c r="Y540" s="14"/>
      <c r="Z540" s="15"/>
      <c r="AA540" s="13"/>
      <c r="AC540" s="3"/>
      <c r="AD540" s="17"/>
      <c r="AF540" s="7"/>
      <c r="AG540" s="18"/>
    </row>
    <row r="541" spans="21:33" ht="14" x14ac:dyDescent="0.2">
      <c r="U541" s="1"/>
      <c r="V541" s="22"/>
      <c r="X541" s="40"/>
      <c r="Y541" s="14"/>
      <c r="Z541" s="15"/>
      <c r="AA541" s="13"/>
      <c r="AC541" s="3"/>
      <c r="AD541" s="17"/>
      <c r="AF541" s="7"/>
      <c r="AG541" s="18"/>
    </row>
    <row r="542" spans="21:33" ht="14" x14ac:dyDescent="0.2">
      <c r="U542" s="1"/>
      <c r="V542" s="22"/>
      <c r="X542" s="40"/>
      <c r="Y542" s="14"/>
      <c r="Z542" s="15"/>
      <c r="AA542" s="13"/>
      <c r="AC542" s="3"/>
      <c r="AD542" s="17"/>
      <c r="AF542" s="7"/>
      <c r="AG542" s="18"/>
    </row>
    <row r="543" spans="21:33" ht="14" x14ac:dyDescent="0.2">
      <c r="U543" s="1"/>
      <c r="V543" s="22"/>
      <c r="X543" s="40"/>
      <c r="Y543" s="14"/>
      <c r="Z543" s="15"/>
      <c r="AA543" s="13"/>
      <c r="AC543" s="3"/>
      <c r="AD543" s="17"/>
      <c r="AF543" s="7"/>
      <c r="AG543" s="18"/>
    </row>
    <row r="544" spans="21:33" ht="14" x14ac:dyDescent="0.2">
      <c r="U544" s="1"/>
      <c r="V544" s="22"/>
      <c r="X544" s="40"/>
      <c r="Y544" s="14"/>
      <c r="Z544" s="15"/>
      <c r="AA544" s="13"/>
      <c r="AC544" s="3"/>
      <c r="AD544" s="17"/>
      <c r="AF544" s="7"/>
      <c r="AG544" s="18"/>
    </row>
    <row r="545" spans="21:33" ht="14" x14ac:dyDescent="0.2">
      <c r="U545" s="1"/>
      <c r="V545" s="22"/>
      <c r="X545" s="40"/>
      <c r="Y545" s="14"/>
      <c r="Z545" s="15"/>
      <c r="AA545" s="13"/>
      <c r="AC545" s="3"/>
      <c r="AD545" s="17"/>
      <c r="AF545" s="7"/>
      <c r="AG545" s="18"/>
    </row>
    <row r="546" spans="21:33" ht="14" x14ac:dyDescent="0.2">
      <c r="U546" s="1"/>
      <c r="V546" s="22"/>
      <c r="X546" s="40"/>
      <c r="Y546" s="14"/>
      <c r="Z546" s="15"/>
      <c r="AA546" s="13"/>
      <c r="AC546" s="3"/>
      <c r="AD546" s="17"/>
      <c r="AF546" s="7"/>
      <c r="AG546" s="18"/>
    </row>
    <row r="547" spans="21:33" ht="14" x14ac:dyDescent="0.2">
      <c r="U547" s="1"/>
      <c r="V547" s="22"/>
      <c r="X547" s="40"/>
      <c r="Y547" s="14"/>
      <c r="Z547" s="15"/>
      <c r="AA547" s="13"/>
      <c r="AC547" s="3"/>
      <c r="AD547" s="17"/>
      <c r="AF547" s="7"/>
      <c r="AG547" s="18"/>
    </row>
    <row r="548" spans="21:33" ht="14" x14ac:dyDescent="0.2">
      <c r="U548" s="1"/>
      <c r="V548" s="22"/>
      <c r="X548" s="40"/>
      <c r="Y548" s="14"/>
      <c r="Z548" s="15"/>
      <c r="AA548" s="13"/>
      <c r="AC548" s="3"/>
      <c r="AD548" s="17"/>
      <c r="AF548" s="7"/>
      <c r="AG548" s="18"/>
    </row>
    <row r="549" spans="21:33" ht="14" x14ac:dyDescent="0.2">
      <c r="U549" s="1"/>
      <c r="V549" s="22"/>
      <c r="X549" s="40"/>
      <c r="Y549" s="14"/>
      <c r="Z549" s="15"/>
      <c r="AA549" s="13"/>
      <c r="AC549" s="3"/>
      <c r="AD549" s="17"/>
      <c r="AF549" s="7"/>
      <c r="AG549" s="18"/>
    </row>
    <row r="550" spans="21:33" ht="14" x14ac:dyDescent="0.2">
      <c r="U550" s="1"/>
      <c r="V550" s="22"/>
      <c r="X550" s="40"/>
      <c r="Y550" s="14"/>
      <c r="Z550" s="15"/>
      <c r="AA550" s="13"/>
      <c r="AC550" s="3"/>
      <c r="AD550" s="17"/>
      <c r="AF550" s="7"/>
      <c r="AG550" s="18"/>
    </row>
    <row r="551" spans="21:33" ht="14" x14ac:dyDescent="0.2">
      <c r="U551" s="1"/>
      <c r="V551" s="22"/>
      <c r="X551" s="40"/>
      <c r="Y551" s="14"/>
      <c r="Z551" s="15"/>
      <c r="AA551" s="13"/>
      <c r="AC551" s="3"/>
      <c r="AD551" s="17"/>
      <c r="AF551" s="7"/>
      <c r="AG551" s="18"/>
    </row>
    <row r="552" spans="21:33" ht="14" x14ac:dyDescent="0.2">
      <c r="U552" s="1"/>
      <c r="V552" s="22"/>
      <c r="X552" s="40"/>
      <c r="Y552" s="14"/>
      <c r="Z552" s="15"/>
      <c r="AA552" s="13"/>
      <c r="AC552" s="3"/>
      <c r="AD552" s="17"/>
      <c r="AF552" s="7"/>
      <c r="AG552" s="18"/>
    </row>
    <row r="553" spans="21:33" ht="14" x14ac:dyDescent="0.2">
      <c r="U553" s="1"/>
      <c r="V553" s="22"/>
      <c r="X553" s="40"/>
      <c r="Y553" s="14"/>
      <c r="Z553" s="15"/>
      <c r="AA553" s="13"/>
      <c r="AC553" s="3"/>
      <c r="AD553" s="17"/>
      <c r="AF553" s="7"/>
      <c r="AG553" s="18"/>
    </row>
    <row r="554" spans="21:33" ht="14" x14ac:dyDescent="0.2">
      <c r="U554" s="1"/>
      <c r="V554" s="22"/>
      <c r="X554" s="40"/>
      <c r="Y554" s="14"/>
      <c r="Z554" s="15"/>
      <c r="AA554" s="13"/>
      <c r="AC554" s="3"/>
      <c r="AD554" s="17"/>
      <c r="AF554" s="7"/>
      <c r="AG554" s="18"/>
    </row>
    <row r="555" spans="21:33" ht="14" x14ac:dyDescent="0.2">
      <c r="U555" s="1"/>
      <c r="V555" s="22"/>
      <c r="X555" s="40"/>
      <c r="Y555" s="14"/>
      <c r="Z555" s="15"/>
      <c r="AA555" s="13"/>
      <c r="AC555" s="3"/>
      <c r="AD555" s="17"/>
      <c r="AF555" s="7"/>
      <c r="AG555" s="18"/>
    </row>
    <row r="556" spans="21:33" ht="14" x14ac:dyDescent="0.2">
      <c r="U556" s="1"/>
      <c r="V556" s="22"/>
      <c r="X556" s="40"/>
      <c r="Y556" s="14"/>
      <c r="Z556" s="15"/>
      <c r="AA556" s="13"/>
      <c r="AC556" s="3"/>
      <c r="AD556" s="17"/>
      <c r="AF556" s="7"/>
      <c r="AG556" s="18"/>
    </row>
    <row r="557" spans="21:33" ht="14" x14ac:dyDescent="0.2">
      <c r="U557" s="1"/>
      <c r="V557" s="22"/>
      <c r="X557" s="40"/>
      <c r="Y557" s="14"/>
      <c r="Z557" s="15"/>
      <c r="AA557" s="13"/>
      <c r="AC557" s="3"/>
      <c r="AD557" s="17"/>
      <c r="AF557" s="7"/>
      <c r="AG557" s="18"/>
    </row>
    <row r="558" spans="21:33" ht="14" x14ac:dyDescent="0.2">
      <c r="U558" s="1"/>
      <c r="V558" s="22"/>
      <c r="X558" s="40"/>
      <c r="Y558" s="14"/>
      <c r="Z558" s="15"/>
      <c r="AA558" s="13"/>
      <c r="AC558" s="3"/>
      <c r="AD558" s="17"/>
      <c r="AF558" s="7"/>
      <c r="AG558" s="18"/>
    </row>
    <row r="559" spans="21:33" ht="14" x14ac:dyDescent="0.2">
      <c r="U559" s="1"/>
      <c r="V559" s="22"/>
      <c r="X559" s="40"/>
      <c r="Y559" s="14"/>
      <c r="Z559" s="15"/>
      <c r="AA559" s="13"/>
      <c r="AC559" s="3"/>
      <c r="AD559" s="17"/>
      <c r="AF559" s="7"/>
      <c r="AG559" s="18"/>
    </row>
    <row r="560" spans="21:33" ht="14" x14ac:dyDescent="0.2">
      <c r="U560" s="1"/>
      <c r="V560" s="22"/>
      <c r="X560" s="40"/>
      <c r="Y560" s="14"/>
      <c r="Z560" s="15"/>
      <c r="AA560" s="13"/>
      <c r="AC560" s="3"/>
      <c r="AD560" s="17"/>
      <c r="AF560" s="7"/>
      <c r="AG560" s="18"/>
    </row>
    <row r="561" spans="21:33" ht="14" x14ac:dyDescent="0.2">
      <c r="U561" s="1"/>
      <c r="V561" s="22"/>
      <c r="X561" s="40"/>
      <c r="Y561" s="14"/>
      <c r="Z561" s="15"/>
      <c r="AA561" s="13"/>
      <c r="AC561" s="3"/>
      <c r="AD561" s="17"/>
      <c r="AF561" s="7"/>
      <c r="AG561" s="18"/>
    </row>
    <row r="562" spans="21:33" ht="14" x14ac:dyDescent="0.2">
      <c r="U562" s="1"/>
      <c r="V562" s="22"/>
      <c r="X562" s="40"/>
      <c r="Y562" s="14"/>
      <c r="Z562" s="15"/>
      <c r="AA562" s="13"/>
      <c r="AC562" s="3"/>
      <c r="AD562" s="17"/>
      <c r="AF562" s="7"/>
      <c r="AG562" s="18"/>
    </row>
    <row r="563" spans="21:33" ht="14" x14ac:dyDescent="0.2">
      <c r="U563" s="1"/>
      <c r="V563" s="22"/>
      <c r="X563" s="40"/>
      <c r="Y563" s="14"/>
      <c r="Z563" s="15"/>
      <c r="AA563" s="13"/>
      <c r="AC563" s="3"/>
      <c r="AD563" s="17"/>
      <c r="AF563" s="7"/>
      <c r="AG563" s="18"/>
    </row>
    <row r="564" spans="21:33" ht="14" x14ac:dyDescent="0.2">
      <c r="U564" s="1"/>
      <c r="V564" s="22"/>
      <c r="X564" s="40"/>
      <c r="Y564" s="14"/>
      <c r="Z564" s="15"/>
      <c r="AA564" s="13"/>
      <c r="AC564" s="3"/>
      <c r="AD564" s="17"/>
      <c r="AF564" s="7"/>
      <c r="AG564" s="18"/>
    </row>
    <row r="565" spans="21:33" ht="14" x14ac:dyDescent="0.2">
      <c r="U565" s="1"/>
      <c r="V565" s="22"/>
      <c r="X565" s="40"/>
      <c r="Y565" s="14"/>
      <c r="Z565" s="15"/>
      <c r="AA565" s="13"/>
      <c r="AC565" s="3"/>
      <c r="AD565" s="17"/>
      <c r="AF565" s="7"/>
      <c r="AG565" s="18"/>
    </row>
    <row r="566" spans="21:33" ht="14" x14ac:dyDescent="0.2">
      <c r="U566" s="1"/>
      <c r="V566" s="22"/>
      <c r="X566" s="40"/>
      <c r="Y566" s="14"/>
      <c r="Z566" s="15"/>
      <c r="AA566" s="13"/>
      <c r="AC566" s="3"/>
      <c r="AD566" s="17"/>
      <c r="AF566" s="7"/>
      <c r="AG566" s="18"/>
    </row>
    <row r="567" spans="21:33" ht="14" x14ac:dyDescent="0.2">
      <c r="U567" s="1"/>
      <c r="V567" s="22"/>
      <c r="X567" s="40"/>
      <c r="Y567" s="14"/>
      <c r="Z567" s="15"/>
      <c r="AA567" s="13"/>
      <c r="AC567" s="3"/>
      <c r="AD567" s="17"/>
      <c r="AF567" s="7"/>
      <c r="AG567" s="18"/>
    </row>
    <row r="568" spans="21:33" ht="14" x14ac:dyDescent="0.2">
      <c r="U568" s="1"/>
      <c r="V568" s="22"/>
      <c r="X568" s="40"/>
      <c r="Y568" s="14"/>
      <c r="Z568" s="15"/>
      <c r="AA568" s="13"/>
      <c r="AC568" s="3"/>
      <c r="AD568" s="17"/>
      <c r="AF568" s="7"/>
      <c r="AG568" s="18"/>
    </row>
    <row r="569" spans="21:33" ht="14" x14ac:dyDescent="0.2">
      <c r="U569" s="1"/>
      <c r="V569" s="22"/>
      <c r="X569" s="40"/>
      <c r="Y569" s="14"/>
      <c r="Z569" s="15"/>
      <c r="AA569" s="13"/>
      <c r="AC569" s="3"/>
      <c r="AD569" s="17"/>
      <c r="AF569" s="7"/>
      <c r="AG569" s="18"/>
    </row>
    <row r="570" spans="21:33" ht="14" x14ac:dyDescent="0.2">
      <c r="U570" s="1"/>
      <c r="V570" s="22"/>
      <c r="X570" s="40"/>
      <c r="Y570" s="14"/>
      <c r="Z570" s="15"/>
      <c r="AA570" s="13"/>
      <c r="AC570" s="3"/>
      <c r="AD570" s="17"/>
      <c r="AF570" s="7"/>
      <c r="AG570" s="18"/>
    </row>
    <row r="571" spans="21:33" ht="14" x14ac:dyDescent="0.2">
      <c r="U571" s="1"/>
      <c r="V571" s="22"/>
      <c r="X571" s="40"/>
      <c r="Y571" s="14"/>
      <c r="Z571" s="15"/>
      <c r="AA571" s="13"/>
      <c r="AC571" s="3"/>
      <c r="AD571" s="17"/>
      <c r="AF571" s="7"/>
      <c r="AG571" s="18"/>
    </row>
    <row r="572" spans="21:33" ht="14" x14ac:dyDescent="0.2">
      <c r="U572" s="1"/>
      <c r="V572" s="22"/>
      <c r="X572" s="40"/>
      <c r="Y572" s="14"/>
      <c r="Z572" s="15"/>
      <c r="AA572" s="13"/>
      <c r="AC572" s="3"/>
      <c r="AD572" s="17"/>
      <c r="AF572" s="7"/>
      <c r="AG572" s="18"/>
    </row>
    <row r="573" spans="21:33" ht="14" x14ac:dyDescent="0.2">
      <c r="U573" s="1"/>
      <c r="V573" s="22"/>
      <c r="X573" s="40"/>
      <c r="Y573" s="14"/>
      <c r="Z573" s="15"/>
      <c r="AA573" s="13"/>
      <c r="AC573" s="3"/>
      <c r="AD573" s="17"/>
      <c r="AF573" s="7"/>
      <c r="AG573" s="18"/>
    </row>
    <row r="574" spans="21:33" ht="14" x14ac:dyDescent="0.2">
      <c r="U574" s="1"/>
      <c r="V574" s="22"/>
      <c r="X574" s="40"/>
      <c r="Y574" s="14"/>
      <c r="Z574" s="15"/>
      <c r="AA574" s="13"/>
      <c r="AC574" s="3"/>
      <c r="AD574" s="17"/>
      <c r="AF574" s="7"/>
      <c r="AG574" s="18"/>
    </row>
    <row r="575" spans="21:33" ht="14" x14ac:dyDescent="0.2">
      <c r="U575" s="1"/>
      <c r="V575" s="22"/>
      <c r="X575" s="40"/>
      <c r="Y575" s="14"/>
      <c r="Z575" s="15"/>
      <c r="AA575" s="13"/>
      <c r="AC575" s="3"/>
      <c r="AD575" s="17"/>
      <c r="AF575" s="7"/>
      <c r="AG575" s="18"/>
    </row>
    <row r="576" spans="21:33" ht="14" x14ac:dyDescent="0.2">
      <c r="U576" s="1"/>
      <c r="V576" s="22"/>
      <c r="X576" s="40"/>
      <c r="Y576" s="14"/>
      <c r="Z576" s="15"/>
      <c r="AA576" s="13"/>
      <c r="AC576" s="3"/>
      <c r="AD576" s="17"/>
      <c r="AF576" s="7"/>
      <c r="AG576" s="18"/>
    </row>
    <row r="577" spans="21:33" ht="14" x14ac:dyDescent="0.2">
      <c r="U577" s="1"/>
      <c r="V577" s="22"/>
      <c r="X577" s="40"/>
      <c r="Y577" s="14"/>
      <c r="Z577" s="15"/>
      <c r="AA577" s="13"/>
      <c r="AC577" s="3"/>
      <c r="AD577" s="17"/>
      <c r="AF577" s="7"/>
      <c r="AG577" s="18"/>
    </row>
    <row r="578" spans="21:33" ht="14" x14ac:dyDescent="0.2">
      <c r="U578" s="1"/>
      <c r="V578" s="22"/>
      <c r="X578" s="40"/>
      <c r="Y578" s="14"/>
      <c r="Z578" s="15"/>
      <c r="AA578" s="13"/>
      <c r="AC578" s="3"/>
      <c r="AD578" s="17"/>
      <c r="AF578" s="7"/>
      <c r="AG578" s="18"/>
    </row>
    <row r="579" spans="21:33" ht="14" x14ac:dyDescent="0.2">
      <c r="U579" s="1"/>
      <c r="V579" s="22"/>
      <c r="X579" s="40"/>
      <c r="Y579" s="14"/>
      <c r="Z579" s="15"/>
      <c r="AA579" s="13"/>
      <c r="AC579" s="3"/>
      <c r="AD579" s="17"/>
      <c r="AF579" s="7"/>
      <c r="AG579" s="18"/>
    </row>
    <row r="580" spans="21:33" ht="14" x14ac:dyDescent="0.2">
      <c r="U580" s="1"/>
      <c r="V580" s="22"/>
      <c r="X580" s="40"/>
      <c r="Y580" s="14"/>
      <c r="Z580" s="15"/>
      <c r="AA580" s="13"/>
      <c r="AC580" s="3"/>
      <c r="AD580" s="17"/>
      <c r="AF580" s="7"/>
      <c r="AG580" s="18"/>
    </row>
    <row r="581" spans="21:33" ht="14" x14ac:dyDescent="0.2">
      <c r="U581" s="1"/>
      <c r="V581" s="22"/>
      <c r="X581" s="40"/>
      <c r="Y581" s="14"/>
      <c r="Z581" s="15"/>
      <c r="AA581" s="13"/>
      <c r="AC581" s="3"/>
      <c r="AD581" s="17"/>
      <c r="AF581" s="7"/>
      <c r="AG581" s="18"/>
    </row>
    <row r="582" spans="21:33" ht="14" x14ac:dyDescent="0.2">
      <c r="U582" s="1"/>
      <c r="V582" s="22"/>
      <c r="X582" s="40"/>
      <c r="Y582" s="14"/>
      <c r="Z582" s="15"/>
      <c r="AA582" s="13"/>
      <c r="AC582" s="3"/>
      <c r="AD582" s="17"/>
      <c r="AF582" s="7"/>
      <c r="AG582" s="18"/>
    </row>
    <row r="583" spans="21:33" ht="14" x14ac:dyDescent="0.2">
      <c r="U583" s="1"/>
      <c r="V583" s="22"/>
      <c r="X583" s="40"/>
      <c r="Y583" s="14"/>
      <c r="Z583" s="15"/>
      <c r="AA583" s="13"/>
      <c r="AC583" s="3"/>
      <c r="AD583" s="17"/>
      <c r="AF583" s="7"/>
      <c r="AG583" s="18"/>
    </row>
    <row r="584" spans="21:33" ht="14" x14ac:dyDescent="0.2">
      <c r="U584" s="1"/>
      <c r="V584" s="22"/>
      <c r="X584" s="40"/>
      <c r="Y584" s="14"/>
      <c r="Z584" s="15"/>
      <c r="AA584" s="13"/>
      <c r="AC584" s="3"/>
      <c r="AD584" s="17"/>
      <c r="AF584" s="7"/>
      <c r="AG584" s="18"/>
    </row>
    <row r="585" spans="21:33" ht="14" x14ac:dyDescent="0.2">
      <c r="U585" s="1"/>
      <c r="V585" s="22"/>
      <c r="X585" s="40"/>
      <c r="Y585" s="14"/>
      <c r="Z585" s="15"/>
      <c r="AA585" s="13"/>
      <c r="AC585" s="3"/>
      <c r="AD585" s="17"/>
      <c r="AF585" s="7"/>
      <c r="AG585" s="18"/>
    </row>
    <row r="586" spans="21:33" ht="14" x14ac:dyDescent="0.2">
      <c r="U586" s="1"/>
      <c r="V586" s="22"/>
      <c r="X586" s="40"/>
      <c r="Y586" s="14"/>
      <c r="Z586" s="15"/>
      <c r="AA586" s="13"/>
      <c r="AC586" s="3"/>
      <c r="AD586" s="17"/>
      <c r="AF586" s="7"/>
      <c r="AG586" s="18"/>
    </row>
    <row r="587" spans="21:33" ht="14" x14ac:dyDescent="0.2">
      <c r="U587" s="1"/>
      <c r="V587" s="22"/>
      <c r="X587" s="40"/>
      <c r="Y587" s="14"/>
      <c r="Z587" s="15"/>
      <c r="AA587" s="13"/>
      <c r="AC587" s="3"/>
      <c r="AD587" s="17"/>
      <c r="AF587" s="7"/>
      <c r="AG587" s="18"/>
    </row>
    <row r="588" spans="21:33" ht="14" x14ac:dyDescent="0.2">
      <c r="U588" s="1"/>
      <c r="V588" s="22"/>
      <c r="X588" s="40"/>
      <c r="Y588" s="14"/>
      <c r="Z588" s="15"/>
      <c r="AA588" s="13"/>
      <c r="AC588" s="3"/>
      <c r="AD588" s="17"/>
      <c r="AF588" s="7"/>
      <c r="AG588" s="18"/>
    </row>
    <row r="589" spans="21:33" ht="14" x14ac:dyDescent="0.2">
      <c r="U589" s="1"/>
      <c r="V589" s="22"/>
      <c r="X589" s="40"/>
      <c r="Y589" s="14"/>
      <c r="Z589" s="15"/>
      <c r="AA589" s="13"/>
      <c r="AC589" s="3"/>
      <c r="AD589" s="17"/>
      <c r="AF589" s="7"/>
      <c r="AG589" s="18"/>
    </row>
    <row r="590" spans="21:33" ht="14" x14ac:dyDescent="0.2">
      <c r="U590" s="1"/>
      <c r="V590" s="22"/>
      <c r="X590" s="40"/>
      <c r="Y590" s="14"/>
      <c r="Z590" s="15"/>
      <c r="AA590" s="13"/>
      <c r="AC590" s="3"/>
      <c r="AD590" s="17"/>
      <c r="AF590" s="7"/>
      <c r="AG590" s="18"/>
    </row>
    <row r="591" spans="21:33" ht="14" x14ac:dyDescent="0.2">
      <c r="U591" s="1"/>
      <c r="V591" s="22"/>
      <c r="X591" s="40"/>
      <c r="Y591" s="14"/>
      <c r="Z591" s="15"/>
      <c r="AA591" s="13"/>
      <c r="AC591" s="3"/>
      <c r="AD591" s="17"/>
      <c r="AF591" s="7"/>
      <c r="AG591" s="18"/>
    </row>
    <row r="592" spans="21:33" ht="14" x14ac:dyDescent="0.2">
      <c r="U592" s="1"/>
      <c r="V592" s="22"/>
      <c r="X592" s="40"/>
      <c r="Y592" s="14"/>
      <c r="Z592" s="15"/>
      <c r="AA592" s="13"/>
      <c r="AC592" s="3"/>
      <c r="AD592" s="17"/>
      <c r="AF592" s="7"/>
      <c r="AG592" s="18"/>
    </row>
    <row r="593" spans="21:33" ht="14" x14ac:dyDescent="0.2">
      <c r="U593" s="1"/>
      <c r="V593" s="22"/>
      <c r="X593" s="40"/>
      <c r="Y593" s="14"/>
      <c r="Z593" s="15"/>
      <c r="AA593" s="13"/>
      <c r="AC593" s="3"/>
      <c r="AD593" s="17"/>
      <c r="AF593" s="7"/>
      <c r="AG593" s="18"/>
    </row>
    <row r="594" spans="21:33" ht="14" x14ac:dyDescent="0.2">
      <c r="U594" s="1"/>
      <c r="V594" s="22"/>
      <c r="X594" s="40"/>
      <c r="Y594" s="14"/>
      <c r="Z594" s="15"/>
      <c r="AA594" s="13"/>
      <c r="AC594" s="3"/>
      <c r="AD594" s="17"/>
      <c r="AF594" s="7"/>
      <c r="AG594" s="18"/>
    </row>
    <row r="595" spans="21:33" ht="14" x14ac:dyDescent="0.2">
      <c r="U595" s="1"/>
      <c r="V595" s="22"/>
      <c r="X595" s="40"/>
      <c r="Y595" s="14"/>
      <c r="Z595" s="15"/>
      <c r="AA595" s="13"/>
      <c r="AC595" s="3"/>
      <c r="AD595" s="17"/>
      <c r="AF595" s="7"/>
      <c r="AG595" s="18"/>
    </row>
    <row r="596" spans="21:33" ht="14" x14ac:dyDescent="0.2">
      <c r="U596" s="1"/>
      <c r="V596" s="22"/>
      <c r="X596" s="40"/>
      <c r="Y596" s="14"/>
      <c r="Z596" s="15"/>
      <c r="AA596" s="13"/>
      <c r="AC596" s="3"/>
      <c r="AD596" s="17"/>
      <c r="AF596" s="7"/>
      <c r="AG596" s="18"/>
    </row>
    <row r="597" spans="21:33" ht="14" x14ac:dyDescent="0.2">
      <c r="U597" s="1"/>
      <c r="V597" s="22"/>
      <c r="X597" s="40"/>
      <c r="Y597" s="14"/>
      <c r="Z597" s="15"/>
      <c r="AA597" s="13"/>
      <c r="AC597" s="3"/>
      <c r="AD597" s="17"/>
      <c r="AF597" s="7"/>
      <c r="AG597" s="18"/>
    </row>
    <row r="598" spans="21:33" ht="14" x14ac:dyDescent="0.2">
      <c r="U598" s="1"/>
      <c r="V598" s="22"/>
      <c r="X598" s="40"/>
      <c r="Y598" s="14"/>
      <c r="Z598" s="15"/>
      <c r="AA598" s="13"/>
      <c r="AC598" s="3"/>
      <c r="AD598" s="17"/>
      <c r="AF598" s="7"/>
      <c r="AG598" s="18"/>
    </row>
    <row r="599" spans="21:33" ht="14" x14ac:dyDescent="0.2">
      <c r="U599" s="1"/>
      <c r="V599" s="22"/>
      <c r="X599" s="40"/>
      <c r="Y599" s="14"/>
      <c r="Z599" s="15"/>
      <c r="AA599" s="13"/>
      <c r="AC599" s="3"/>
      <c r="AD599" s="17"/>
      <c r="AF599" s="7"/>
      <c r="AG599" s="18"/>
    </row>
    <row r="600" spans="21:33" ht="14" x14ac:dyDescent="0.2">
      <c r="U600" s="1"/>
      <c r="V600" s="22"/>
      <c r="X600" s="40"/>
      <c r="Y600" s="14"/>
      <c r="Z600" s="15"/>
      <c r="AA600" s="13"/>
      <c r="AC600" s="3"/>
      <c r="AD600" s="17"/>
      <c r="AF600" s="7"/>
      <c r="AG600" s="18"/>
    </row>
    <row r="601" spans="21:33" ht="14" x14ac:dyDescent="0.2">
      <c r="U601" s="1"/>
      <c r="V601" s="22"/>
      <c r="X601" s="40"/>
      <c r="Y601" s="14"/>
      <c r="Z601" s="15"/>
      <c r="AA601" s="13"/>
      <c r="AC601" s="3"/>
      <c r="AD601" s="17"/>
      <c r="AF601" s="7"/>
      <c r="AG601" s="18"/>
    </row>
    <row r="602" spans="21:33" ht="14" x14ac:dyDescent="0.2">
      <c r="U602" s="1"/>
      <c r="V602" s="22"/>
      <c r="X602" s="40"/>
      <c r="Y602" s="14"/>
      <c r="Z602" s="15"/>
      <c r="AA602" s="13"/>
      <c r="AC602" s="3"/>
      <c r="AD602" s="17"/>
      <c r="AF602" s="7"/>
      <c r="AG602" s="18"/>
    </row>
    <row r="603" spans="21:33" ht="14" x14ac:dyDescent="0.2">
      <c r="U603" s="1"/>
      <c r="V603" s="22"/>
      <c r="X603" s="40"/>
      <c r="Y603" s="14"/>
      <c r="Z603" s="15"/>
      <c r="AA603" s="13"/>
      <c r="AC603" s="3"/>
      <c r="AD603" s="17"/>
      <c r="AF603" s="7"/>
      <c r="AG603" s="18"/>
    </row>
    <row r="604" spans="21:33" ht="14" x14ac:dyDescent="0.2">
      <c r="U604" s="1"/>
      <c r="V604" s="22"/>
      <c r="X604" s="40"/>
      <c r="Y604" s="14"/>
      <c r="Z604" s="15"/>
      <c r="AA604" s="13"/>
      <c r="AC604" s="3"/>
      <c r="AD604" s="17"/>
      <c r="AF604" s="7"/>
      <c r="AG604" s="18"/>
    </row>
    <row r="605" spans="21:33" ht="14" x14ac:dyDescent="0.2">
      <c r="U605" s="1"/>
      <c r="V605" s="22"/>
      <c r="X605" s="40"/>
      <c r="Y605" s="14"/>
      <c r="Z605" s="15"/>
      <c r="AA605" s="13"/>
      <c r="AC605" s="3"/>
      <c r="AD605" s="17"/>
      <c r="AF605" s="7"/>
      <c r="AG605" s="18"/>
    </row>
    <row r="606" spans="21:33" ht="14" x14ac:dyDescent="0.2">
      <c r="U606" s="1"/>
      <c r="V606" s="22"/>
      <c r="X606" s="40"/>
      <c r="Y606" s="14"/>
      <c r="Z606" s="15"/>
      <c r="AA606" s="13"/>
      <c r="AC606" s="3"/>
      <c r="AD606" s="17"/>
      <c r="AF606" s="7"/>
      <c r="AG606" s="18"/>
    </row>
    <row r="607" spans="21:33" ht="14" x14ac:dyDescent="0.2">
      <c r="U607" s="1"/>
      <c r="V607" s="22"/>
      <c r="X607" s="40"/>
      <c r="Y607" s="14"/>
      <c r="Z607" s="15"/>
      <c r="AA607" s="13"/>
      <c r="AC607" s="3"/>
      <c r="AD607" s="17"/>
      <c r="AF607" s="7"/>
      <c r="AG607" s="18"/>
    </row>
    <row r="608" spans="21:33" ht="14" x14ac:dyDescent="0.2">
      <c r="U608" s="1"/>
      <c r="V608" s="22"/>
      <c r="X608" s="40"/>
      <c r="Y608" s="14"/>
      <c r="Z608" s="15"/>
      <c r="AA608" s="13"/>
      <c r="AC608" s="3"/>
      <c r="AD608" s="17"/>
      <c r="AF608" s="7"/>
      <c r="AG608" s="18"/>
    </row>
    <row r="609" spans="21:33" ht="14" x14ac:dyDescent="0.2">
      <c r="U609" s="1"/>
      <c r="V609" s="22"/>
      <c r="X609" s="40"/>
      <c r="Y609" s="14"/>
      <c r="Z609" s="15"/>
      <c r="AA609" s="13"/>
      <c r="AC609" s="3"/>
      <c r="AD609" s="17"/>
      <c r="AF609" s="7"/>
      <c r="AG609" s="18"/>
    </row>
    <row r="610" spans="21:33" ht="14" x14ac:dyDescent="0.2">
      <c r="U610" s="1"/>
      <c r="V610" s="22"/>
      <c r="X610" s="40"/>
      <c r="Y610" s="14"/>
      <c r="Z610" s="15"/>
      <c r="AA610" s="13"/>
      <c r="AC610" s="3"/>
      <c r="AD610" s="17"/>
      <c r="AF610" s="7"/>
      <c r="AG610" s="18"/>
    </row>
    <row r="611" spans="21:33" ht="14" x14ac:dyDescent="0.2">
      <c r="U611" s="1"/>
      <c r="V611" s="22"/>
      <c r="X611" s="40"/>
      <c r="Y611" s="14"/>
      <c r="Z611" s="15"/>
      <c r="AA611" s="13"/>
      <c r="AC611" s="3"/>
      <c r="AD611" s="17"/>
      <c r="AF611" s="7"/>
      <c r="AG611" s="18"/>
    </row>
    <row r="612" spans="21:33" ht="14" x14ac:dyDescent="0.2">
      <c r="U612" s="1"/>
      <c r="V612" s="22"/>
      <c r="X612" s="40"/>
      <c r="Y612" s="14"/>
      <c r="Z612" s="15"/>
      <c r="AA612" s="13"/>
      <c r="AC612" s="3"/>
      <c r="AD612" s="17"/>
      <c r="AF612" s="7"/>
      <c r="AG612" s="18"/>
    </row>
    <row r="613" spans="21:33" ht="14" x14ac:dyDescent="0.2">
      <c r="U613" s="1"/>
      <c r="V613" s="22"/>
      <c r="X613" s="40"/>
      <c r="Y613" s="14"/>
      <c r="Z613" s="15"/>
      <c r="AA613" s="13"/>
      <c r="AC613" s="3"/>
      <c r="AD613" s="17"/>
      <c r="AF613" s="7"/>
      <c r="AG613" s="18"/>
    </row>
    <row r="614" spans="21:33" ht="14" x14ac:dyDescent="0.2">
      <c r="U614" s="1"/>
      <c r="V614" s="22"/>
      <c r="X614" s="40"/>
      <c r="Y614" s="14"/>
      <c r="Z614" s="15"/>
      <c r="AA614" s="13"/>
      <c r="AC614" s="3"/>
      <c r="AD614" s="17"/>
      <c r="AF614" s="7"/>
      <c r="AG614" s="18"/>
    </row>
    <row r="615" spans="21:33" ht="14" x14ac:dyDescent="0.2">
      <c r="U615" s="1"/>
      <c r="V615" s="22"/>
      <c r="X615" s="40"/>
      <c r="Y615" s="14"/>
      <c r="Z615" s="15"/>
      <c r="AA615" s="13"/>
      <c r="AC615" s="3"/>
      <c r="AD615" s="17"/>
      <c r="AF615" s="7"/>
      <c r="AG615" s="18"/>
    </row>
    <row r="616" spans="21:33" ht="14" x14ac:dyDescent="0.2">
      <c r="U616" s="1"/>
      <c r="V616" s="22"/>
      <c r="X616" s="40"/>
      <c r="Y616" s="14"/>
      <c r="Z616" s="15"/>
      <c r="AA616" s="13"/>
      <c r="AC616" s="3"/>
      <c r="AD616" s="17"/>
      <c r="AF616" s="7"/>
      <c r="AG616" s="18"/>
    </row>
    <row r="617" spans="21:33" ht="14" x14ac:dyDescent="0.2">
      <c r="U617" s="1"/>
      <c r="V617" s="22"/>
      <c r="X617" s="40"/>
      <c r="Y617" s="14"/>
      <c r="Z617" s="15"/>
      <c r="AA617" s="13"/>
      <c r="AC617" s="3"/>
      <c r="AD617" s="17"/>
      <c r="AF617" s="7"/>
      <c r="AG617" s="18"/>
    </row>
    <row r="618" spans="21:33" ht="14" x14ac:dyDescent="0.2">
      <c r="U618" s="1"/>
      <c r="V618" s="22"/>
      <c r="X618" s="40"/>
      <c r="Y618" s="14"/>
      <c r="Z618" s="15"/>
      <c r="AA618" s="13"/>
      <c r="AC618" s="3"/>
      <c r="AD618" s="17"/>
      <c r="AF618" s="7"/>
      <c r="AG618" s="18"/>
    </row>
    <row r="619" spans="21:33" ht="14" x14ac:dyDescent="0.2">
      <c r="U619" s="1"/>
      <c r="V619" s="22"/>
      <c r="X619" s="40"/>
      <c r="Y619" s="14"/>
      <c r="Z619" s="15"/>
      <c r="AA619" s="13"/>
      <c r="AC619" s="3"/>
      <c r="AD619" s="17"/>
      <c r="AF619" s="7"/>
      <c r="AG619" s="18"/>
    </row>
    <row r="620" spans="21:33" ht="14" x14ac:dyDescent="0.2">
      <c r="U620" s="1"/>
      <c r="V620" s="22"/>
      <c r="X620" s="40"/>
      <c r="Y620" s="14"/>
      <c r="Z620" s="15"/>
      <c r="AA620" s="13"/>
      <c r="AC620" s="3"/>
      <c r="AD620" s="17"/>
      <c r="AF620" s="7"/>
      <c r="AG620" s="18"/>
    </row>
    <row r="621" spans="21:33" ht="14" x14ac:dyDescent="0.2">
      <c r="U621" s="1"/>
      <c r="V621" s="22"/>
      <c r="X621" s="40"/>
      <c r="Y621" s="14"/>
      <c r="Z621" s="15"/>
      <c r="AA621" s="13"/>
      <c r="AC621" s="3"/>
      <c r="AD621" s="17"/>
      <c r="AF621" s="7"/>
      <c r="AG621" s="18"/>
    </row>
    <row r="622" spans="21:33" ht="14" x14ac:dyDescent="0.2">
      <c r="U622" s="1"/>
      <c r="V622" s="22"/>
      <c r="X622" s="40"/>
      <c r="Y622" s="14"/>
      <c r="Z622" s="15"/>
      <c r="AA622" s="13"/>
      <c r="AC622" s="3"/>
      <c r="AD622" s="17"/>
      <c r="AF622" s="7"/>
      <c r="AG622" s="18"/>
    </row>
    <row r="623" spans="21:33" ht="14" x14ac:dyDescent="0.2">
      <c r="U623" s="1"/>
      <c r="V623" s="22"/>
      <c r="X623" s="40"/>
      <c r="Y623" s="14"/>
      <c r="Z623" s="15"/>
      <c r="AA623" s="13"/>
      <c r="AC623" s="3"/>
      <c r="AD623" s="17"/>
      <c r="AF623" s="7"/>
      <c r="AG623" s="18"/>
    </row>
    <row r="624" spans="21:33" ht="14" x14ac:dyDescent="0.2">
      <c r="U624" s="1"/>
      <c r="V624" s="22"/>
      <c r="X624" s="40"/>
      <c r="Y624" s="14"/>
      <c r="Z624" s="15"/>
      <c r="AA624" s="13"/>
      <c r="AC624" s="3"/>
      <c r="AD624" s="17"/>
      <c r="AF624" s="7"/>
      <c r="AG624" s="18"/>
    </row>
    <row r="625" spans="21:33" ht="14" x14ac:dyDescent="0.2">
      <c r="U625" s="1"/>
      <c r="V625" s="22"/>
      <c r="X625" s="40"/>
      <c r="Y625" s="14"/>
      <c r="Z625" s="15"/>
      <c r="AA625" s="13"/>
      <c r="AC625" s="3"/>
      <c r="AD625" s="17"/>
      <c r="AF625" s="7"/>
      <c r="AG625" s="18"/>
    </row>
    <row r="626" spans="21:33" ht="14" x14ac:dyDescent="0.2">
      <c r="U626" s="1"/>
      <c r="V626" s="22"/>
      <c r="X626" s="40"/>
      <c r="Y626" s="14"/>
      <c r="Z626" s="15"/>
      <c r="AA626" s="13"/>
      <c r="AC626" s="3"/>
      <c r="AD626" s="17"/>
      <c r="AF626" s="7"/>
      <c r="AG626" s="18"/>
    </row>
    <row r="627" spans="21:33" ht="14" x14ac:dyDescent="0.2">
      <c r="U627" s="1"/>
      <c r="V627" s="22"/>
      <c r="X627" s="40"/>
      <c r="Y627" s="14"/>
      <c r="Z627" s="15"/>
      <c r="AA627" s="13"/>
      <c r="AC627" s="3"/>
      <c r="AD627" s="17"/>
      <c r="AF627" s="7"/>
      <c r="AG627" s="18"/>
    </row>
    <row r="628" spans="21:33" ht="14" x14ac:dyDescent="0.2">
      <c r="U628" s="1"/>
      <c r="V628" s="22"/>
      <c r="X628" s="40"/>
      <c r="Y628" s="14"/>
      <c r="Z628" s="15"/>
      <c r="AA628" s="13"/>
      <c r="AC628" s="3"/>
      <c r="AD628" s="17"/>
      <c r="AF628" s="7"/>
      <c r="AG628" s="18"/>
    </row>
    <row r="629" spans="21:33" ht="14" x14ac:dyDescent="0.2">
      <c r="U629" s="1"/>
      <c r="V629" s="22"/>
      <c r="X629" s="40"/>
      <c r="Y629" s="14"/>
      <c r="Z629" s="15"/>
      <c r="AA629" s="13"/>
      <c r="AC629" s="3"/>
      <c r="AD629" s="17"/>
      <c r="AF629" s="7"/>
      <c r="AG629" s="18"/>
    </row>
    <row r="630" spans="21:33" ht="14" x14ac:dyDescent="0.2">
      <c r="U630" s="1"/>
      <c r="V630" s="22"/>
      <c r="X630" s="40"/>
      <c r="Y630" s="14"/>
      <c r="Z630" s="15"/>
      <c r="AA630" s="13"/>
      <c r="AC630" s="3"/>
      <c r="AD630" s="17"/>
      <c r="AF630" s="7"/>
      <c r="AG630" s="18"/>
    </row>
    <row r="631" spans="21:33" ht="14" x14ac:dyDescent="0.2">
      <c r="U631" s="1"/>
      <c r="V631" s="22"/>
      <c r="X631" s="40"/>
      <c r="Y631" s="14"/>
      <c r="Z631" s="15"/>
      <c r="AA631" s="13"/>
      <c r="AC631" s="3"/>
      <c r="AD631" s="17"/>
      <c r="AF631" s="7"/>
      <c r="AG631" s="18"/>
    </row>
    <row r="632" spans="21:33" ht="14" x14ac:dyDescent="0.2">
      <c r="U632" s="1"/>
      <c r="V632" s="22"/>
      <c r="X632" s="40"/>
      <c r="Y632" s="14"/>
      <c r="Z632" s="15"/>
      <c r="AA632" s="13"/>
      <c r="AC632" s="3"/>
      <c r="AD632" s="17"/>
      <c r="AF632" s="7"/>
      <c r="AG632" s="18"/>
    </row>
    <row r="633" spans="21:33" ht="14" x14ac:dyDescent="0.2">
      <c r="U633" s="1"/>
      <c r="V633" s="22"/>
      <c r="X633" s="40"/>
      <c r="Y633" s="14"/>
      <c r="Z633" s="15"/>
      <c r="AA633" s="13"/>
      <c r="AC633" s="3"/>
      <c r="AD633" s="17"/>
      <c r="AF633" s="7"/>
      <c r="AG633" s="18"/>
    </row>
    <row r="634" spans="21:33" ht="14" x14ac:dyDescent="0.2">
      <c r="U634" s="1"/>
      <c r="V634" s="22"/>
      <c r="X634" s="40"/>
      <c r="Y634" s="14"/>
      <c r="Z634" s="15"/>
      <c r="AA634" s="13"/>
      <c r="AC634" s="3"/>
      <c r="AD634" s="17"/>
      <c r="AF634" s="7"/>
      <c r="AG634" s="18"/>
    </row>
    <row r="635" spans="21:33" ht="14" x14ac:dyDescent="0.2">
      <c r="U635" s="1"/>
      <c r="V635" s="22"/>
      <c r="X635" s="40"/>
      <c r="Y635" s="14"/>
      <c r="Z635" s="15"/>
      <c r="AA635" s="13"/>
      <c r="AC635" s="3"/>
      <c r="AD635" s="17"/>
      <c r="AF635" s="7"/>
      <c r="AG635" s="18"/>
    </row>
    <row r="636" spans="21:33" ht="14" x14ac:dyDescent="0.2">
      <c r="U636" s="1"/>
      <c r="V636" s="22"/>
      <c r="X636" s="40"/>
      <c r="Y636" s="14"/>
      <c r="Z636" s="15"/>
      <c r="AA636" s="13"/>
      <c r="AC636" s="3"/>
      <c r="AD636" s="17"/>
      <c r="AF636" s="7"/>
      <c r="AG636" s="18"/>
    </row>
    <row r="637" spans="21:33" ht="14" x14ac:dyDescent="0.2">
      <c r="U637" s="1"/>
      <c r="V637" s="22"/>
      <c r="X637" s="40"/>
      <c r="Y637" s="14"/>
      <c r="Z637" s="15"/>
      <c r="AA637" s="13"/>
      <c r="AC637" s="3"/>
      <c r="AD637" s="17"/>
      <c r="AF637" s="7"/>
      <c r="AG637" s="18"/>
    </row>
    <row r="638" spans="21:33" ht="14" x14ac:dyDescent="0.2">
      <c r="U638" s="1"/>
      <c r="V638" s="22"/>
      <c r="X638" s="40"/>
      <c r="Y638" s="14"/>
      <c r="Z638" s="15"/>
      <c r="AA638" s="13"/>
      <c r="AC638" s="3"/>
      <c r="AD638" s="17"/>
      <c r="AF638" s="7"/>
      <c r="AG638" s="18"/>
    </row>
    <row r="639" spans="21:33" ht="14" x14ac:dyDescent="0.2">
      <c r="U639" s="1"/>
      <c r="V639" s="22"/>
      <c r="X639" s="40"/>
      <c r="Y639" s="14"/>
      <c r="Z639" s="15"/>
      <c r="AA639" s="13"/>
      <c r="AC639" s="3"/>
      <c r="AD639" s="17"/>
      <c r="AF639" s="7"/>
      <c r="AG639" s="18"/>
    </row>
    <row r="640" spans="21:33" ht="14" x14ac:dyDescent="0.2">
      <c r="U640" s="1"/>
      <c r="V640" s="22"/>
      <c r="X640" s="40"/>
      <c r="Y640" s="14"/>
      <c r="Z640" s="15"/>
      <c r="AA640" s="13"/>
      <c r="AC640" s="3"/>
      <c r="AD640" s="17"/>
      <c r="AF640" s="7"/>
      <c r="AG640" s="18"/>
    </row>
    <row r="641" spans="21:33" ht="14" x14ac:dyDescent="0.2">
      <c r="U641" s="1"/>
      <c r="V641" s="22"/>
      <c r="X641" s="40"/>
      <c r="Y641" s="14"/>
      <c r="Z641" s="15"/>
      <c r="AA641" s="13"/>
      <c r="AC641" s="3"/>
      <c r="AD641" s="17"/>
      <c r="AF641" s="7"/>
      <c r="AG641" s="18"/>
    </row>
    <row r="642" spans="21:33" ht="14" x14ac:dyDescent="0.2">
      <c r="U642" s="1"/>
      <c r="V642" s="22"/>
      <c r="X642" s="40"/>
      <c r="Y642" s="14"/>
      <c r="Z642" s="15"/>
      <c r="AA642" s="13"/>
      <c r="AC642" s="3"/>
      <c r="AD642" s="17"/>
      <c r="AF642" s="7"/>
      <c r="AG642" s="18"/>
    </row>
    <row r="643" spans="21:33" ht="14" x14ac:dyDescent="0.2">
      <c r="U643" s="1"/>
      <c r="V643" s="22"/>
      <c r="X643" s="40"/>
      <c r="Y643" s="14"/>
      <c r="Z643" s="15"/>
      <c r="AA643" s="13"/>
      <c r="AC643" s="3"/>
      <c r="AD643" s="17"/>
      <c r="AF643" s="7"/>
      <c r="AG643" s="18"/>
    </row>
    <row r="644" spans="21:33" ht="14" x14ac:dyDescent="0.2">
      <c r="U644" s="1"/>
      <c r="V644" s="22"/>
      <c r="X644" s="40"/>
      <c r="Y644" s="14"/>
      <c r="Z644" s="15"/>
      <c r="AA644" s="13"/>
      <c r="AC644" s="3"/>
      <c r="AD644" s="17"/>
      <c r="AF644" s="7"/>
      <c r="AG644" s="18"/>
    </row>
    <row r="645" spans="21:33" ht="14" x14ac:dyDescent="0.2">
      <c r="U645" s="1"/>
      <c r="V645" s="22"/>
      <c r="X645" s="40"/>
      <c r="Y645" s="14"/>
      <c r="Z645" s="15"/>
      <c r="AA645" s="13"/>
      <c r="AC645" s="3"/>
      <c r="AD645" s="17"/>
      <c r="AF645" s="7"/>
      <c r="AG645" s="18"/>
    </row>
    <row r="646" spans="21:33" ht="14" x14ac:dyDescent="0.2">
      <c r="U646" s="1"/>
      <c r="V646" s="22"/>
      <c r="X646" s="40"/>
      <c r="Y646" s="14"/>
      <c r="Z646" s="15"/>
      <c r="AA646" s="13"/>
      <c r="AC646" s="3"/>
      <c r="AD646" s="17"/>
      <c r="AF646" s="7"/>
      <c r="AG646" s="18"/>
    </row>
    <row r="647" spans="21:33" ht="14" x14ac:dyDescent="0.2">
      <c r="U647" s="1"/>
      <c r="V647" s="22"/>
      <c r="X647" s="40"/>
      <c r="Y647" s="14"/>
      <c r="Z647" s="15"/>
      <c r="AA647" s="13"/>
      <c r="AC647" s="3"/>
      <c r="AD647" s="17"/>
      <c r="AF647" s="7"/>
      <c r="AG647" s="18"/>
    </row>
    <row r="648" spans="21:33" ht="14" x14ac:dyDescent="0.2">
      <c r="U648" s="1"/>
      <c r="V648" s="22"/>
      <c r="X648" s="40"/>
      <c r="Y648" s="14"/>
      <c r="Z648" s="15"/>
      <c r="AA648" s="13"/>
      <c r="AC648" s="3"/>
      <c r="AD648" s="17"/>
      <c r="AF648" s="7"/>
      <c r="AG648" s="18"/>
    </row>
    <row r="649" spans="21:33" ht="14" x14ac:dyDescent="0.2">
      <c r="U649" s="1"/>
      <c r="V649" s="22"/>
      <c r="X649" s="40"/>
      <c r="Y649" s="14"/>
      <c r="Z649" s="15"/>
      <c r="AA649" s="13"/>
      <c r="AC649" s="3"/>
      <c r="AD649" s="17"/>
      <c r="AF649" s="7"/>
      <c r="AG649" s="18"/>
    </row>
    <row r="650" spans="21:33" ht="14" x14ac:dyDescent="0.2">
      <c r="U650" s="1"/>
      <c r="V650" s="22"/>
      <c r="X650" s="40"/>
      <c r="Y650" s="14"/>
      <c r="Z650" s="15"/>
      <c r="AA650" s="13"/>
      <c r="AC650" s="3"/>
      <c r="AD650" s="17"/>
      <c r="AF650" s="7"/>
      <c r="AG650" s="18"/>
    </row>
    <row r="651" spans="21:33" ht="14" x14ac:dyDescent="0.2">
      <c r="U651" s="1"/>
      <c r="V651" s="22"/>
      <c r="X651" s="40"/>
      <c r="Y651" s="14"/>
      <c r="Z651" s="15"/>
      <c r="AA651" s="13"/>
      <c r="AC651" s="3"/>
      <c r="AD651" s="17"/>
      <c r="AF651" s="7"/>
      <c r="AG651" s="18"/>
    </row>
    <row r="652" spans="21:33" ht="14" x14ac:dyDescent="0.2">
      <c r="U652" s="1"/>
      <c r="V652" s="22"/>
      <c r="X652" s="40"/>
      <c r="Y652" s="14"/>
      <c r="Z652" s="15"/>
      <c r="AA652" s="13"/>
      <c r="AC652" s="3"/>
      <c r="AD652" s="17"/>
      <c r="AF652" s="7"/>
      <c r="AG652" s="18"/>
    </row>
    <row r="653" spans="21:33" ht="14" x14ac:dyDescent="0.2">
      <c r="U653" s="1"/>
      <c r="V653" s="22"/>
      <c r="X653" s="40"/>
      <c r="Y653" s="14"/>
      <c r="Z653" s="15"/>
      <c r="AA653" s="13"/>
      <c r="AC653" s="3"/>
      <c r="AD653" s="17"/>
      <c r="AF653" s="7"/>
      <c r="AG653" s="18"/>
    </row>
    <row r="654" spans="21:33" ht="14" x14ac:dyDescent="0.2">
      <c r="U654" s="1"/>
      <c r="V654" s="22"/>
      <c r="X654" s="40"/>
      <c r="Y654" s="14"/>
      <c r="Z654" s="15"/>
      <c r="AA654" s="13"/>
      <c r="AC654" s="3"/>
      <c r="AD654" s="17"/>
      <c r="AF654" s="7"/>
      <c r="AG654" s="18"/>
    </row>
    <row r="655" spans="21:33" ht="14" x14ac:dyDescent="0.2">
      <c r="U655" s="1"/>
      <c r="V655" s="22"/>
      <c r="X655" s="40"/>
      <c r="Y655" s="14"/>
      <c r="Z655" s="15"/>
      <c r="AA655" s="13"/>
      <c r="AC655" s="3"/>
      <c r="AD655" s="17"/>
      <c r="AF655" s="7"/>
      <c r="AG655" s="18"/>
    </row>
    <row r="656" spans="21:33" ht="14" x14ac:dyDescent="0.2">
      <c r="U656" s="1"/>
      <c r="V656" s="22"/>
      <c r="X656" s="40"/>
      <c r="Y656" s="14"/>
      <c r="Z656" s="15"/>
      <c r="AA656" s="13"/>
      <c r="AC656" s="3"/>
      <c r="AD656" s="17"/>
      <c r="AF656" s="7"/>
      <c r="AG656" s="18"/>
    </row>
    <row r="657" spans="21:33" ht="14" x14ac:dyDescent="0.2">
      <c r="U657" s="1"/>
      <c r="V657" s="22"/>
      <c r="X657" s="40"/>
      <c r="Y657" s="14"/>
      <c r="Z657" s="15"/>
      <c r="AA657" s="13"/>
      <c r="AC657" s="3"/>
      <c r="AD657" s="17"/>
      <c r="AF657" s="7"/>
      <c r="AG657" s="18"/>
    </row>
    <row r="658" spans="21:33" ht="14" x14ac:dyDescent="0.2">
      <c r="U658" s="1"/>
      <c r="V658" s="22"/>
      <c r="X658" s="40"/>
      <c r="Y658" s="14"/>
      <c r="Z658" s="15"/>
      <c r="AA658" s="13"/>
      <c r="AC658" s="3"/>
      <c r="AD658" s="17"/>
      <c r="AF658" s="7"/>
      <c r="AG658" s="18"/>
    </row>
    <row r="659" spans="21:33" ht="14" x14ac:dyDescent="0.2">
      <c r="U659" s="1"/>
      <c r="V659" s="22"/>
      <c r="X659" s="40"/>
      <c r="Y659" s="14"/>
      <c r="Z659" s="15"/>
      <c r="AA659" s="13"/>
      <c r="AC659" s="3"/>
      <c r="AD659" s="17"/>
      <c r="AF659" s="7"/>
      <c r="AG659" s="18"/>
    </row>
    <row r="660" spans="21:33" ht="14" x14ac:dyDescent="0.2">
      <c r="U660" s="1"/>
      <c r="V660" s="22"/>
      <c r="X660" s="40"/>
      <c r="Y660" s="14"/>
      <c r="Z660" s="15"/>
      <c r="AA660" s="13"/>
      <c r="AC660" s="3"/>
      <c r="AD660" s="17"/>
      <c r="AF660" s="7"/>
      <c r="AG660" s="18"/>
    </row>
    <row r="661" spans="21:33" ht="14" x14ac:dyDescent="0.2">
      <c r="U661" s="1"/>
      <c r="V661" s="22"/>
      <c r="X661" s="40"/>
      <c r="Y661" s="14"/>
      <c r="Z661" s="15"/>
      <c r="AA661" s="13"/>
      <c r="AC661" s="3"/>
      <c r="AD661" s="17"/>
      <c r="AF661" s="7"/>
      <c r="AG661" s="18"/>
    </row>
    <row r="662" spans="21:33" ht="14" x14ac:dyDescent="0.2">
      <c r="U662" s="1"/>
      <c r="V662" s="22"/>
      <c r="X662" s="40"/>
      <c r="Y662" s="14"/>
      <c r="Z662" s="15"/>
      <c r="AA662" s="13"/>
      <c r="AC662" s="3"/>
      <c r="AD662" s="17"/>
      <c r="AF662" s="7"/>
      <c r="AG662" s="18"/>
    </row>
    <row r="663" spans="21:33" ht="14" x14ac:dyDescent="0.2">
      <c r="U663" s="1"/>
      <c r="V663" s="22"/>
      <c r="X663" s="40"/>
      <c r="Y663" s="14"/>
      <c r="Z663" s="15"/>
      <c r="AA663" s="13"/>
      <c r="AC663" s="3"/>
      <c r="AD663" s="17"/>
      <c r="AF663" s="7"/>
      <c r="AG663" s="18"/>
    </row>
    <row r="664" spans="21:33" ht="14" x14ac:dyDescent="0.2">
      <c r="U664" s="1"/>
      <c r="V664" s="22"/>
      <c r="X664" s="40"/>
      <c r="Y664" s="14"/>
      <c r="Z664" s="15"/>
      <c r="AA664" s="13"/>
      <c r="AC664" s="3"/>
      <c r="AD664" s="17"/>
      <c r="AF664" s="7"/>
      <c r="AG664" s="18"/>
    </row>
    <row r="665" spans="21:33" ht="14" x14ac:dyDescent="0.2">
      <c r="U665" s="1"/>
      <c r="V665" s="22"/>
      <c r="X665" s="40"/>
      <c r="Y665" s="14"/>
      <c r="Z665" s="15"/>
      <c r="AA665" s="13"/>
      <c r="AC665" s="3"/>
      <c r="AD665" s="17"/>
      <c r="AF665" s="7"/>
      <c r="AG665" s="18"/>
    </row>
    <row r="666" spans="21:33" ht="14" x14ac:dyDescent="0.2">
      <c r="U666" s="1"/>
      <c r="V666" s="22"/>
      <c r="X666" s="40"/>
      <c r="Y666" s="14"/>
      <c r="Z666" s="15"/>
      <c r="AA666" s="13"/>
      <c r="AC666" s="3"/>
      <c r="AD666" s="17"/>
      <c r="AF666" s="7"/>
      <c r="AG666" s="18"/>
    </row>
    <row r="667" spans="21:33" ht="14" x14ac:dyDescent="0.2">
      <c r="U667" s="1"/>
      <c r="V667" s="22"/>
      <c r="X667" s="40"/>
      <c r="Y667" s="14"/>
      <c r="Z667" s="15"/>
      <c r="AA667" s="13"/>
      <c r="AC667" s="3"/>
      <c r="AD667" s="17"/>
      <c r="AF667" s="7"/>
      <c r="AG667" s="18"/>
    </row>
    <row r="668" spans="21:33" ht="14" x14ac:dyDescent="0.2">
      <c r="U668" s="1"/>
      <c r="V668" s="22"/>
      <c r="X668" s="40"/>
      <c r="Y668" s="14"/>
      <c r="Z668" s="15"/>
      <c r="AA668" s="13"/>
      <c r="AC668" s="3"/>
      <c r="AD668" s="17"/>
      <c r="AF668" s="7"/>
      <c r="AG668" s="18"/>
    </row>
    <row r="669" spans="21:33" ht="14" x14ac:dyDescent="0.2">
      <c r="U669" s="1"/>
      <c r="V669" s="22"/>
      <c r="X669" s="40"/>
      <c r="Y669" s="14"/>
      <c r="Z669" s="15"/>
      <c r="AA669" s="13"/>
      <c r="AC669" s="3"/>
      <c r="AD669" s="17"/>
      <c r="AF669" s="7"/>
      <c r="AG669" s="18"/>
    </row>
    <row r="670" spans="21:33" ht="14" x14ac:dyDescent="0.2">
      <c r="U670" s="1"/>
      <c r="V670" s="22"/>
      <c r="X670" s="40"/>
      <c r="Y670" s="14"/>
      <c r="Z670" s="15"/>
      <c r="AA670" s="13"/>
      <c r="AC670" s="3"/>
      <c r="AD670" s="17"/>
      <c r="AF670" s="7"/>
      <c r="AG670" s="18"/>
    </row>
    <row r="671" spans="21:33" ht="14" x14ac:dyDescent="0.2">
      <c r="U671" s="1"/>
      <c r="V671" s="22"/>
      <c r="X671" s="40"/>
      <c r="Y671" s="14"/>
      <c r="Z671" s="15"/>
      <c r="AA671" s="13"/>
      <c r="AC671" s="3"/>
      <c r="AD671" s="17"/>
      <c r="AF671" s="7"/>
      <c r="AG671" s="18"/>
    </row>
    <row r="672" spans="21:33" ht="14" x14ac:dyDescent="0.2">
      <c r="U672" s="1"/>
      <c r="V672" s="22"/>
      <c r="X672" s="40"/>
      <c r="Y672" s="14"/>
      <c r="Z672" s="15"/>
      <c r="AA672" s="13"/>
      <c r="AC672" s="3"/>
      <c r="AD672" s="17"/>
      <c r="AF672" s="7"/>
      <c r="AG672" s="18"/>
    </row>
    <row r="673" spans="21:33" ht="14" x14ac:dyDescent="0.2">
      <c r="U673" s="1"/>
      <c r="V673" s="22"/>
      <c r="X673" s="40"/>
      <c r="Y673" s="14"/>
      <c r="Z673" s="15"/>
      <c r="AA673" s="13"/>
      <c r="AC673" s="3"/>
      <c r="AD673" s="17"/>
      <c r="AF673" s="7"/>
      <c r="AG673" s="18"/>
    </row>
    <row r="674" spans="21:33" ht="14" x14ac:dyDescent="0.2">
      <c r="U674" s="1"/>
      <c r="V674" s="22"/>
      <c r="X674" s="40"/>
      <c r="Y674" s="14"/>
      <c r="Z674" s="15"/>
      <c r="AA674" s="13"/>
      <c r="AC674" s="3"/>
      <c r="AD674" s="17"/>
      <c r="AF674" s="7"/>
      <c r="AG674" s="18"/>
    </row>
    <row r="675" spans="21:33" ht="14" x14ac:dyDescent="0.2">
      <c r="U675" s="1"/>
      <c r="V675" s="22"/>
      <c r="X675" s="40"/>
      <c r="Y675" s="14"/>
      <c r="Z675" s="15"/>
      <c r="AA675" s="13"/>
      <c r="AC675" s="3"/>
      <c r="AD675" s="17"/>
      <c r="AF675" s="7"/>
      <c r="AG675" s="18"/>
    </row>
    <row r="676" spans="21:33" ht="14" x14ac:dyDescent="0.2">
      <c r="U676" s="1"/>
      <c r="V676" s="22"/>
      <c r="X676" s="40"/>
      <c r="Y676" s="14"/>
      <c r="Z676" s="15"/>
      <c r="AA676" s="13"/>
      <c r="AC676" s="3"/>
      <c r="AD676" s="17"/>
      <c r="AF676" s="7"/>
      <c r="AG676" s="18"/>
    </row>
    <row r="677" spans="21:33" ht="14" x14ac:dyDescent="0.2">
      <c r="U677" s="1"/>
      <c r="V677" s="22"/>
      <c r="X677" s="40"/>
      <c r="Y677" s="14"/>
      <c r="Z677" s="15"/>
      <c r="AA677" s="13"/>
      <c r="AC677" s="3"/>
      <c r="AD677" s="17"/>
      <c r="AF677" s="7"/>
      <c r="AG677" s="18"/>
    </row>
    <row r="678" spans="21:33" ht="14" x14ac:dyDescent="0.2">
      <c r="U678" s="1"/>
      <c r="V678" s="22"/>
      <c r="X678" s="40"/>
      <c r="Y678" s="14"/>
      <c r="Z678" s="15"/>
      <c r="AA678" s="13"/>
      <c r="AC678" s="3"/>
      <c r="AD678" s="17"/>
      <c r="AF678" s="7"/>
      <c r="AG678" s="18"/>
    </row>
    <row r="679" spans="21:33" ht="14" x14ac:dyDescent="0.2">
      <c r="U679" s="1"/>
      <c r="V679" s="22"/>
      <c r="X679" s="40"/>
      <c r="Y679" s="14"/>
      <c r="Z679" s="15"/>
      <c r="AA679" s="13"/>
      <c r="AC679" s="3"/>
      <c r="AD679" s="17"/>
      <c r="AF679" s="7"/>
      <c r="AG679" s="18"/>
    </row>
    <row r="680" spans="21:33" ht="14" x14ac:dyDescent="0.2">
      <c r="U680" s="1"/>
      <c r="V680" s="22"/>
      <c r="X680" s="40"/>
      <c r="Y680" s="14"/>
      <c r="Z680" s="15"/>
      <c r="AA680" s="13"/>
      <c r="AC680" s="3"/>
      <c r="AD680" s="17"/>
      <c r="AF680" s="7"/>
      <c r="AG680" s="18"/>
    </row>
    <row r="681" spans="21:33" ht="14" x14ac:dyDescent="0.2">
      <c r="U681" s="1"/>
      <c r="V681" s="22"/>
      <c r="X681" s="40"/>
      <c r="Y681" s="14"/>
      <c r="Z681" s="15"/>
      <c r="AA681" s="13"/>
      <c r="AC681" s="3"/>
      <c r="AD681" s="17"/>
      <c r="AF681" s="7"/>
      <c r="AG681" s="18"/>
    </row>
    <row r="682" spans="21:33" ht="14" x14ac:dyDescent="0.2">
      <c r="U682" s="1"/>
      <c r="V682" s="22"/>
      <c r="X682" s="40"/>
      <c r="Y682" s="14"/>
      <c r="Z682" s="15"/>
      <c r="AA682" s="13"/>
      <c r="AC682" s="3"/>
      <c r="AD682" s="17"/>
      <c r="AF682" s="7"/>
      <c r="AG682" s="18"/>
    </row>
    <row r="683" spans="21:33" ht="14" x14ac:dyDescent="0.2">
      <c r="U683" s="1"/>
      <c r="V683" s="22"/>
      <c r="X683" s="40"/>
      <c r="Y683" s="14"/>
      <c r="Z683" s="15"/>
      <c r="AA683" s="13"/>
      <c r="AC683" s="3"/>
      <c r="AD683" s="17"/>
      <c r="AF683" s="7"/>
      <c r="AG683" s="18"/>
    </row>
    <row r="684" spans="21:33" ht="14" x14ac:dyDescent="0.2">
      <c r="U684" s="1"/>
      <c r="V684" s="22"/>
      <c r="X684" s="40"/>
      <c r="Y684" s="14"/>
      <c r="Z684" s="15"/>
      <c r="AA684" s="13"/>
      <c r="AC684" s="3"/>
      <c r="AD684" s="17"/>
      <c r="AF684" s="7"/>
      <c r="AG684" s="18"/>
    </row>
    <row r="685" spans="21:33" ht="14" x14ac:dyDescent="0.2">
      <c r="U685" s="1"/>
      <c r="V685" s="22"/>
      <c r="X685" s="40"/>
      <c r="Y685" s="14"/>
      <c r="Z685" s="15"/>
      <c r="AA685" s="13"/>
      <c r="AC685" s="3"/>
      <c r="AD685" s="17"/>
      <c r="AF685" s="7"/>
      <c r="AG685" s="18"/>
    </row>
    <row r="686" spans="21:33" ht="14" x14ac:dyDescent="0.2">
      <c r="U686" s="1"/>
      <c r="V686" s="22"/>
      <c r="X686" s="40"/>
      <c r="Y686" s="14"/>
      <c r="Z686" s="15"/>
      <c r="AA686" s="13"/>
      <c r="AC686" s="3"/>
      <c r="AD686" s="17"/>
      <c r="AF686" s="7"/>
      <c r="AG686" s="18"/>
    </row>
    <row r="687" spans="21:33" ht="14" x14ac:dyDescent="0.2">
      <c r="U687" s="1"/>
      <c r="V687" s="22"/>
      <c r="X687" s="40"/>
      <c r="Y687" s="14"/>
      <c r="Z687" s="15"/>
      <c r="AA687" s="13"/>
      <c r="AC687" s="3"/>
      <c r="AD687" s="17"/>
      <c r="AF687" s="7"/>
      <c r="AG687" s="18"/>
    </row>
    <row r="688" spans="21:33" ht="14" x14ac:dyDescent="0.2">
      <c r="U688" s="1"/>
      <c r="V688" s="22"/>
      <c r="X688" s="40"/>
      <c r="Y688" s="14"/>
      <c r="Z688" s="15"/>
      <c r="AA688" s="13"/>
      <c r="AC688" s="3"/>
      <c r="AD688" s="17"/>
      <c r="AF688" s="7"/>
      <c r="AG688" s="18"/>
    </row>
    <row r="689" spans="21:33" ht="14" x14ac:dyDescent="0.2">
      <c r="U689" s="1"/>
      <c r="V689" s="22"/>
      <c r="X689" s="40"/>
      <c r="Y689" s="14"/>
      <c r="Z689" s="15"/>
      <c r="AA689" s="13"/>
      <c r="AC689" s="3"/>
      <c r="AD689" s="17"/>
      <c r="AF689" s="7"/>
      <c r="AG689" s="18"/>
    </row>
    <row r="690" spans="21:33" ht="14" x14ac:dyDescent="0.2">
      <c r="U690" s="1"/>
      <c r="V690" s="22"/>
      <c r="X690" s="40"/>
      <c r="Y690" s="14"/>
      <c r="Z690" s="15"/>
      <c r="AA690" s="13"/>
      <c r="AC690" s="3"/>
      <c r="AD690" s="17"/>
      <c r="AF690" s="7"/>
      <c r="AG690" s="18"/>
    </row>
    <row r="691" spans="21:33" ht="14" x14ac:dyDescent="0.2">
      <c r="U691" s="1"/>
      <c r="V691" s="22"/>
      <c r="X691" s="40"/>
      <c r="Y691" s="14"/>
      <c r="Z691" s="15"/>
      <c r="AA691" s="13"/>
      <c r="AC691" s="3"/>
      <c r="AD691" s="17"/>
      <c r="AF691" s="7"/>
      <c r="AG691" s="18"/>
    </row>
    <row r="692" spans="21:33" ht="14" x14ac:dyDescent="0.2">
      <c r="U692" s="1"/>
      <c r="V692" s="22"/>
      <c r="X692" s="40"/>
      <c r="Y692" s="14"/>
      <c r="Z692" s="15"/>
      <c r="AA692" s="13"/>
      <c r="AC692" s="3"/>
      <c r="AD692" s="17"/>
      <c r="AF692" s="7"/>
      <c r="AG692" s="18"/>
    </row>
    <row r="693" spans="21:33" ht="14" x14ac:dyDescent="0.2">
      <c r="U693" s="1"/>
      <c r="V693" s="22"/>
      <c r="X693" s="40"/>
      <c r="Y693" s="14"/>
      <c r="Z693" s="15"/>
      <c r="AA693" s="13"/>
      <c r="AC693" s="3"/>
      <c r="AD693" s="17"/>
      <c r="AF693" s="7"/>
      <c r="AG693" s="18"/>
    </row>
    <row r="694" spans="21:33" ht="14" x14ac:dyDescent="0.2">
      <c r="U694" s="1"/>
      <c r="V694" s="22"/>
      <c r="X694" s="40"/>
      <c r="Y694" s="14"/>
      <c r="Z694" s="15"/>
      <c r="AA694" s="13"/>
      <c r="AC694" s="3"/>
      <c r="AD694" s="17"/>
      <c r="AF694" s="7"/>
      <c r="AG694" s="18"/>
    </row>
    <row r="695" spans="21:33" ht="14" x14ac:dyDescent="0.2">
      <c r="U695" s="1"/>
      <c r="V695" s="22"/>
      <c r="X695" s="40"/>
      <c r="Y695" s="14"/>
      <c r="Z695" s="15"/>
      <c r="AA695" s="13"/>
      <c r="AC695" s="3"/>
      <c r="AD695" s="17"/>
      <c r="AF695" s="7"/>
      <c r="AG695" s="18"/>
    </row>
    <row r="696" spans="21:33" ht="14" x14ac:dyDescent="0.2">
      <c r="U696" s="1"/>
      <c r="V696" s="22"/>
      <c r="X696" s="40"/>
      <c r="Y696" s="14"/>
      <c r="Z696" s="15"/>
      <c r="AA696" s="13"/>
      <c r="AC696" s="3"/>
      <c r="AD696" s="17"/>
      <c r="AF696" s="7"/>
      <c r="AG696" s="18"/>
    </row>
    <row r="697" spans="21:33" ht="14" x14ac:dyDescent="0.2">
      <c r="U697" s="1"/>
      <c r="V697" s="22"/>
      <c r="X697" s="40"/>
      <c r="Y697" s="14"/>
      <c r="Z697" s="15"/>
      <c r="AA697" s="13"/>
      <c r="AC697" s="3"/>
      <c r="AD697" s="17"/>
      <c r="AF697" s="7"/>
      <c r="AG697" s="18"/>
    </row>
    <row r="698" spans="21:33" ht="14" x14ac:dyDescent="0.2">
      <c r="U698" s="1"/>
      <c r="V698" s="22"/>
      <c r="X698" s="40"/>
      <c r="Y698" s="14"/>
      <c r="Z698" s="15"/>
      <c r="AA698" s="13"/>
      <c r="AC698" s="3"/>
      <c r="AD698" s="17"/>
      <c r="AF698" s="7"/>
      <c r="AG698" s="18"/>
    </row>
    <row r="699" spans="21:33" ht="14" x14ac:dyDescent="0.2">
      <c r="U699" s="1"/>
      <c r="V699" s="22"/>
      <c r="X699" s="40"/>
      <c r="Y699" s="14"/>
      <c r="Z699" s="15"/>
      <c r="AA699" s="13"/>
      <c r="AC699" s="3"/>
      <c r="AD699" s="17"/>
      <c r="AF699" s="7"/>
      <c r="AG699" s="18"/>
    </row>
    <row r="700" spans="21:33" ht="14" x14ac:dyDescent="0.2">
      <c r="U700" s="1"/>
      <c r="V700" s="22"/>
      <c r="X700" s="40"/>
      <c r="Y700" s="14"/>
      <c r="Z700" s="15"/>
      <c r="AA700" s="13"/>
      <c r="AC700" s="3"/>
      <c r="AD700" s="17"/>
      <c r="AF700" s="7"/>
      <c r="AG700" s="18"/>
    </row>
    <row r="701" spans="21:33" ht="14" x14ac:dyDescent="0.2">
      <c r="U701" s="1"/>
      <c r="V701" s="22"/>
      <c r="X701" s="40"/>
      <c r="Y701" s="14"/>
      <c r="Z701" s="15"/>
      <c r="AA701" s="13"/>
      <c r="AC701" s="3"/>
      <c r="AD701" s="17"/>
      <c r="AF701" s="7"/>
      <c r="AG701" s="18"/>
    </row>
    <row r="702" spans="21:33" ht="14" x14ac:dyDescent="0.2">
      <c r="U702" s="1"/>
      <c r="V702" s="22"/>
      <c r="X702" s="40"/>
      <c r="Y702" s="14"/>
      <c r="Z702" s="15"/>
      <c r="AA702" s="13"/>
      <c r="AC702" s="3"/>
      <c r="AD702" s="17"/>
      <c r="AF702" s="7"/>
      <c r="AG702" s="18"/>
    </row>
    <row r="703" spans="21:33" ht="14" x14ac:dyDescent="0.2">
      <c r="U703" s="1"/>
      <c r="V703" s="22"/>
      <c r="X703" s="40"/>
      <c r="Y703" s="14"/>
      <c r="Z703" s="15"/>
      <c r="AA703" s="13"/>
      <c r="AC703" s="3"/>
      <c r="AD703" s="17"/>
      <c r="AF703" s="7"/>
      <c r="AG703" s="18"/>
    </row>
    <row r="704" spans="21:33" ht="14" x14ac:dyDescent="0.2">
      <c r="U704" s="1"/>
      <c r="V704" s="22"/>
      <c r="X704" s="40"/>
      <c r="Y704" s="14"/>
      <c r="Z704" s="15"/>
      <c r="AA704" s="13"/>
      <c r="AC704" s="3"/>
      <c r="AD704" s="17"/>
      <c r="AF704" s="7"/>
      <c r="AG704" s="18"/>
    </row>
    <row r="705" spans="21:33" ht="14" x14ac:dyDescent="0.2">
      <c r="U705" s="1"/>
      <c r="V705" s="22"/>
      <c r="X705" s="40"/>
      <c r="Y705" s="14"/>
      <c r="Z705" s="15"/>
      <c r="AA705" s="13"/>
      <c r="AC705" s="3"/>
      <c r="AD705" s="17"/>
      <c r="AF705" s="7"/>
      <c r="AG705" s="18"/>
    </row>
    <row r="706" spans="21:33" ht="14" x14ac:dyDescent="0.2">
      <c r="U706" s="1"/>
      <c r="V706" s="22"/>
      <c r="X706" s="40"/>
      <c r="Y706" s="14"/>
      <c r="Z706" s="15"/>
      <c r="AA706" s="13"/>
      <c r="AC706" s="3"/>
      <c r="AD706" s="17"/>
      <c r="AF706" s="7"/>
      <c r="AG706" s="18"/>
    </row>
    <row r="707" spans="21:33" ht="14" x14ac:dyDescent="0.2">
      <c r="U707" s="1"/>
      <c r="V707" s="22"/>
      <c r="X707" s="40"/>
      <c r="Y707" s="14"/>
      <c r="Z707" s="15"/>
      <c r="AA707" s="13"/>
      <c r="AC707" s="3"/>
      <c r="AD707" s="17"/>
      <c r="AF707" s="7"/>
      <c r="AG707" s="18"/>
    </row>
    <row r="708" spans="21:33" ht="14" x14ac:dyDescent="0.2">
      <c r="U708" s="1"/>
      <c r="V708" s="22"/>
      <c r="X708" s="40"/>
      <c r="Y708" s="14"/>
      <c r="Z708" s="15"/>
      <c r="AA708" s="13"/>
      <c r="AC708" s="3"/>
      <c r="AD708" s="17"/>
      <c r="AF708" s="7"/>
      <c r="AG708" s="18"/>
    </row>
    <row r="709" spans="21:33" ht="14" x14ac:dyDescent="0.2">
      <c r="U709" s="1"/>
      <c r="V709" s="22"/>
      <c r="X709" s="40"/>
      <c r="Y709" s="14"/>
      <c r="Z709" s="15"/>
      <c r="AA709" s="13"/>
      <c r="AC709" s="3"/>
      <c r="AD709" s="17"/>
      <c r="AF709" s="7"/>
      <c r="AG709" s="18"/>
    </row>
    <row r="710" spans="21:33" ht="14" x14ac:dyDescent="0.2">
      <c r="U710" s="1"/>
      <c r="V710" s="22"/>
      <c r="X710" s="40"/>
      <c r="Y710" s="14"/>
      <c r="Z710" s="15"/>
      <c r="AA710" s="13"/>
      <c r="AC710" s="3"/>
      <c r="AD710" s="17"/>
      <c r="AF710" s="7"/>
      <c r="AG710" s="18"/>
    </row>
    <row r="711" spans="21:33" ht="14" x14ac:dyDescent="0.2">
      <c r="U711" s="1"/>
      <c r="V711" s="22"/>
      <c r="X711" s="40"/>
      <c r="Y711" s="14"/>
      <c r="Z711" s="15"/>
      <c r="AA711" s="13"/>
      <c r="AC711" s="3"/>
      <c r="AD711" s="17"/>
      <c r="AF711" s="7"/>
      <c r="AG711" s="18"/>
    </row>
    <row r="712" spans="21:33" ht="14" x14ac:dyDescent="0.2">
      <c r="U712" s="1"/>
      <c r="V712" s="22"/>
      <c r="X712" s="40"/>
      <c r="Y712" s="14"/>
      <c r="Z712" s="15"/>
      <c r="AA712" s="13"/>
      <c r="AC712" s="3"/>
      <c r="AD712" s="17"/>
      <c r="AF712" s="7"/>
      <c r="AG712" s="18"/>
    </row>
    <row r="713" spans="21:33" ht="14" x14ac:dyDescent="0.2">
      <c r="U713" s="1"/>
      <c r="V713" s="22"/>
      <c r="X713" s="40"/>
      <c r="Y713" s="14"/>
      <c r="Z713" s="15"/>
      <c r="AA713" s="13"/>
      <c r="AC713" s="3"/>
      <c r="AD713" s="17"/>
      <c r="AF713" s="7"/>
      <c r="AG713" s="18"/>
    </row>
    <row r="714" spans="21:33" ht="14" x14ac:dyDescent="0.2">
      <c r="U714" s="1"/>
      <c r="V714" s="22"/>
      <c r="X714" s="40"/>
      <c r="Y714" s="14"/>
      <c r="Z714" s="15"/>
      <c r="AA714" s="13"/>
      <c r="AC714" s="3"/>
      <c r="AD714" s="17"/>
      <c r="AF714" s="7"/>
      <c r="AG714" s="18"/>
    </row>
    <row r="715" spans="21:33" ht="14" x14ac:dyDescent="0.2">
      <c r="U715" s="1"/>
      <c r="V715" s="22"/>
      <c r="X715" s="40"/>
      <c r="Y715" s="14"/>
      <c r="Z715" s="15"/>
      <c r="AA715" s="13"/>
      <c r="AC715" s="3"/>
      <c r="AD715" s="17"/>
      <c r="AF715" s="7"/>
      <c r="AG715" s="18"/>
    </row>
    <row r="716" spans="21:33" ht="14" x14ac:dyDescent="0.2">
      <c r="U716" s="1"/>
      <c r="V716" s="22"/>
      <c r="X716" s="40"/>
      <c r="Y716" s="14"/>
      <c r="Z716" s="15"/>
      <c r="AA716" s="13"/>
      <c r="AC716" s="3"/>
      <c r="AD716" s="17"/>
      <c r="AF716" s="7"/>
      <c r="AG716" s="18"/>
    </row>
    <row r="717" spans="21:33" ht="14" x14ac:dyDescent="0.2">
      <c r="U717" s="1"/>
      <c r="V717" s="22"/>
      <c r="X717" s="40"/>
      <c r="Y717" s="14"/>
      <c r="Z717" s="15"/>
      <c r="AA717" s="13"/>
      <c r="AC717" s="3"/>
      <c r="AD717" s="17"/>
      <c r="AF717" s="7"/>
      <c r="AG717" s="18"/>
    </row>
    <row r="718" spans="21:33" ht="14" x14ac:dyDescent="0.2">
      <c r="U718" s="1"/>
      <c r="V718" s="22"/>
      <c r="X718" s="40"/>
      <c r="Y718" s="14"/>
      <c r="Z718" s="15"/>
      <c r="AA718" s="13"/>
      <c r="AC718" s="3"/>
      <c r="AD718" s="17"/>
      <c r="AF718" s="7"/>
      <c r="AG718" s="18"/>
    </row>
    <row r="719" spans="21:33" ht="14" x14ac:dyDescent="0.2">
      <c r="U719" s="1"/>
      <c r="V719" s="22"/>
      <c r="X719" s="40"/>
      <c r="Y719" s="14"/>
      <c r="Z719" s="15"/>
      <c r="AA719" s="13"/>
      <c r="AC719" s="3"/>
      <c r="AD719" s="17"/>
      <c r="AF719" s="7"/>
      <c r="AG719" s="18"/>
    </row>
    <row r="720" spans="21:33" ht="14" x14ac:dyDescent="0.2">
      <c r="U720" s="1"/>
      <c r="V720" s="22"/>
      <c r="X720" s="40"/>
      <c r="Y720" s="14"/>
      <c r="Z720" s="15"/>
      <c r="AA720" s="13"/>
      <c r="AC720" s="3"/>
      <c r="AD720" s="17"/>
      <c r="AF720" s="7"/>
      <c r="AG720" s="18"/>
    </row>
    <row r="721" spans="21:33" ht="14" x14ac:dyDescent="0.2">
      <c r="U721" s="1"/>
      <c r="V721" s="22"/>
      <c r="X721" s="40"/>
      <c r="Y721" s="14"/>
      <c r="Z721" s="15"/>
      <c r="AA721" s="13"/>
      <c r="AC721" s="3"/>
      <c r="AD721" s="17"/>
      <c r="AF721" s="7"/>
      <c r="AG721" s="18"/>
    </row>
    <row r="722" spans="21:33" ht="14" x14ac:dyDescent="0.2">
      <c r="U722" s="1"/>
      <c r="V722" s="22"/>
      <c r="X722" s="40"/>
      <c r="Y722" s="14"/>
      <c r="Z722" s="15"/>
      <c r="AA722" s="13"/>
      <c r="AC722" s="3"/>
      <c r="AD722" s="17"/>
      <c r="AF722" s="7"/>
      <c r="AG722" s="18"/>
    </row>
    <row r="723" spans="21:33" ht="14" x14ac:dyDescent="0.2">
      <c r="U723" s="1"/>
      <c r="V723" s="22"/>
      <c r="X723" s="40"/>
      <c r="Y723" s="14"/>
      <c r="Z723" s="15"/>
      <c r="AA723" s="13"/>
      <c r="AC723" s="3"/>
      <c r="AD723" s="17"/>
      <c r="AF723" s="7"/>
      <c r="AG723" s="18"/>
    </row>
    <row r="724" spans="21:33" ht="14" x14ac:dyDescent="0.2">
      <c r="U724" s="1"/>
      <c r="V724" s="22"/>
      <c r="X724" s="40"/>
      <c r="Y724" s="14"/>
      <c r="Z724" s="15"/>
      <c r="AA724" s="13"/>
      <c r="AC724" s="3"/>
      <c r="AD724" s="17"/>
      <c r="AF724" s="7"/>
      <c r="AG724" s="18"/>
    </row>
    <row r="725" spans="21:33" ht="14" x14ac:dyDescent="0.2">
      <c r="U725" s="1"/>
      <c r="V725" s="22"/>
      <c r="X725" s="40"/>
      <c r="Y725" s="14"/>
      <c r="Z725" s="15"/>
      <c r="AA725" s="13"/>
      <c r="AC725" s="3"/>
      <c r="AD725" s="17"/>
      <c r="AF725" s="7"/>
      <c r="AG725" s="18"/>
    </row>
    <row r="726" spans="21:33" ht="14" x14ac:dyDescent="0.2">
      <c r="U726" s="1"/>
      <c r="V726" s="22"/>
      <c r="X726" s="40"/>
      <c r="Y726" s="14"/>
      <c r="Z726" s="15"/>
      <c r="AA726" s="13"/>
      <c r="AC726" s="3"/>
      <c r="AD726" s="17"/>
      <c r="AF726" s="7"/>
      <c r="AG726" s="18"/>
    </row>
    <row r="727" spans="21:33" ht="14" x14ac:dyDescent="0.2">
      <c r="U727" s="1"/>
      <c r="V727" s="22"/>
      <c r="X727" s="40"/>
      <c r="Y727" s="14"/>
      <c r="Z727" s="15"/>
      <c r="AA727" s="13"/>
      <c r="AC727" s="3"/>
      <c r="AD727" s="17"/>
      <c r="AF727" s="7"/>
      <c r="AG727" s="18"/>
    </row>
    <row r="728" spans="21:33" ht="14" x14ac:dyDescent="0.2">
      <c r="U728" s="1"/>
      <c r="V728" s="22"/>
      <c r="X728" s="40"/>
      <c r="Y728" s="14"/>
      <c r="Z728" s="15"/>
      <c r="AA728" s="13"/>
      <c r="AC728" s="3"/>
      <c r="AD728" s="17"/>
      <c r="AF728" s="7"/>
      <c r="AG728" s="18"/>
    </row>
    <row r="729" spans="21:33" ht="14" x14ac:dyDescent="0.2">
      <c r="U729" s="1"/>
      <c r="V729" s="22"/>
      <c r="X729" s="40"/>
      <c r="Y729" s="14"/>
      <c r="Z729" s="15"/>
      <c r="AA729" s="13"/>
      <c r="AC729" s="3"/>
      <c r="AD729" s="17"/>
      <c r="AF729" s="7"/>
      <c r="AG729" s="18"/>
    </row>
    <row r="730" spans="21:33" ht="14" x14ac:dyDescent="0.2">
      <c r="U730" s="1"/>
      <c r="V730" s="22"/>
      <c r="X730" s="40"/>
      <c r="Y730" s="14"/>
      <c r="Z730" s="15"/>
      <c r="AA730" s="13"/>
      <c r="AC730" s="3"/>
      <c r="AD730" s="17"/>
      <c r="AF730" s="7"/>
      <c r="AG730" s="18"/>
    </row>
    <row r="731" spans="21:33" ht="14" x14ac:dyDescent="0.2">
      <c r="U731" s="1"/>
      <c r="V731" s="22"/>
      <c r="X731" s="40"/>
      <c r="Y731" s="14"/>
      <c r="Z731" s="15"/>
      <c r="AA731" s="13"/>
      <c r="AC731" s="3"/>
      <c r="AD731" s="17"/>
      <c r="AF731" s="7"/>
      <c r="AG731" s="18"/>
    </row>
    <row r="732" spans="21:33" ht="14" x14ac:dyDescent="0.2">
      <c r="U732" s="1"/>
      <c r="V732" s="22"/>
      <c r="X732" s="40"/>
      <c r="Y732" s="14"/>
      <c r="Z732" s="15"/>
      <c r="AA732" s="13"/>
      <c r="AC732" s="3"/>
      <c r="AD732" s="17"/>
      <c r="AF732" s="7"/>
      <c r="AG732" s="18"/>
    </row>
    <row r="733" spans="21:33" ht="14" x14ac:dyDescent="0.2">
      <c r="U733" s="1"/>
      <c r="V733" s="22"/>
      <c r="X733" s="40"/>
      <c r="Y733" s="14"/>
      <c r="Z733" s="15"/>
      <c r="AA733" s="13"/>
      <c r="AC733" s="3"/>
      <c r="AD733" s="17"/>
      <c r="AF733" s="7"/>
      <c r="AG733" s="18"/>
    </row>
    <row r="734" spans="21:33" ht="14" x14ac:dyDescent="0.2">
      <c r="U734" s="1"/>
      <c r="V734" s="22"/>
      <c r="X734" s="40"/>
      <c r="Y734" s="14"/>
      <c r="Z734" s="15"/>
      <c r="AA734" s="13"/>
      <c r="AC734" s="3"/>
      <c r="AD734" s="17"/>
      <c r="AF734" s="7"/>
      <c r="AG734" s="18"/>
    </row>
    <row r="735" spans="21:33" ht="14" x14ac:dyDescent="0.2">
      <c r="U735" s="1"/>
      <c r="V735" s="22"/>
      <c r="X735" s="40"/>
      <c r="Y735" s="14"/>
      <c r="Z735" s="15"/>
      <c r="AA735" s="13"/>
      <c r="AC735" s="3"/>
      <c r="AD735" s="17"/>
      <c r="AF735" s="7"/>
      <c r="AG735" s="18"/>
    </row>
    <row r="736" spans="21:33" ht="14" x14ac:dyDescent="0.2">
      <c r="U736" s="1"/>
      <c r="V736" s="22"/>
      <c r="X736" s="40"/>
      <c r="Y736" s="14"/>
      <c r="Z736" s="15"/>
      <c r="AA736" s="13"/>
      <c r="AC736" s="3"/>
      <c r="AD736" s="17"/>
      <c r="AF736" s="7"/>
      <c r="AG736" s="18"/>
    </row>
    <row r="737" spans="21:33" ht="14" x14ac:dyDescent="0.2">
      <c r="U737" s="1"/>
      <c r="V737" s="22"/>
      <c r="X737" s="40"/>
      <c r="Y737" s="14"/>
      <c r="Z737" s="15"/>
      <c r="AA737" s="13"/>
      <c r="AC737" s="3"/>
      <c r="AD737" s="17"/>
      <c r="AF737" s="7"/>
      <c r="AG737" s="18"/>
    </row>
    <row r="738" spans="21:33" ht="14" x14ac:dyDescent="0.2">
      <c r="U738" s="1"/>
      <c r="V738" s="22"/>
      <c r="X738" s="40"/>
      <c r="Y738" s="14"/>
      <c r="Z738" s="15"/>
      <c r="AA738" s="13"/>
      <c r="AC738" s="3"/>
      <c r="AD738" s="17"/>
      <c r="AF738" s="7"/>
      <c r="AG738" s="18"/>
    </row>
    <row r="739" spans="21:33" ht="14" x14ac:dyDescent="0.2">
      <c r="U739" s="1"/>
      <c r="V739" s="22"/>
      <c r="X739" s="40"/>
      <c r="Y739" s="14"/>
      <c r="Z739" s="15"/>
      <c r="AA739" s="13"/>
      <c r="AC739" s="3"/>
      <c r="AD739" s="17"/>
      <c r="AF739" s="7"/>
      <c r="AG739" s="18"/>
    </row>
    <row r="740" spans="21:33" ht="14" x14ac:dyDescent="0.2">
      <c r="U740" s="1"/>
      <c r="V740" s="22"/>
      <c r="X740" s="40"/>
      <c r="Y740" s="14"/>
      <c r="Z740" s="15"/>
      <c r="AA740" s="13"/>
      <c r="AC740" s="3"/>
      <c r="AD740" s="17"/>
      <c r="AF740" s="7"/>
      <c r="AG740" s="18"/>
    </row>
    <row r="741" spans="21:33" ht="14" x14ac:dyDescent="0.2">
      <c r="U741" s="1"/>
      <c r="V741" s="22"/>
      <c r="X741" s="40"/>
      <c r="Y741" s="14"/>
      <c r="Z741" s="15"/>
      <c r="AA741" s="13"/>
      <c r="AC741" s="3"/>
      <c r="AD741" s="17"/>
      <c r="AF741" s="7"/>
      <c r="AG741" s="18"/>
    </row>
    <row r="742" spans="21:33" ht="14" x14ac:dyDescent="0.2">
      <c r="U742" s="1"/>
      <c r="V742" s="22"/>
      <c r="X742" s="40"/>
      <c r="Y742" s="14"/>
      <c r="Z742" s="15"/>
      <c r="AA742" s="13"/>
      <c r="AC742" s="3"/>
      <c r="AD742" s="17"/>
      <c r="AF742" s="7"/>
      <c r="AG742" s="18"/>
    </row>
    <row r="743" spans="21:33" ht="14" x14ac:dyDescent="0.2">
      <c r="U743" s="1"/>
      <c r="V743" s="22"/>
      <c r="X743" s="40"/>
      <c r="Y743" s="14"/>
      <c r="Z743" s="15"/>
      <c r="AA743" s="13"/>
      <c r="AC743" s="3"/>
      <c r="AD743" s="17"/>
      <c r="AF743" s="7"/>
      <c r="AG743" s="18"/>
    </row>
    <row r="744" spans="21:33" ht="14" x14ac:dyDescent="0.2">
      <c r="U744" s="1"/>
      <c r="V744" s="22"/>
      <c r="X744" s="40"/>
      <c r="Y744" s="14"/>
      <c r="Z744" s="15"/>
      <c r="AA744" s="13"/>
      <c r="AC744" s="3"/>
      <c r="AD744" s="17"/>
      <c r="AF744" s="7"/>
      <c r="AG744" s="18"/>
    </row>
    <row r="745" spans="21:33" ht="14" x14ac:dyDescent="0.2">
      <c r="U745" s="1"/>
      <c r="V745" s="22"/>
      <c r="X745" s="40"/>
      <c r="Y745" s="14"/>
      <c r="Z745" s="15"/>
      <c r="AA745" s="13"/>
      <c r="AC745" s="3"/>
      <c r="AD745" s="17"/>
      <c r="AF745" s="7"/>
      <c r="AG745" s="18"/>
    </row>
    <row r="746" spans="21:33" ht="14" x14ac:dyDescent="0.2">
      <c r="U746" s="1"/>
      <c r="V746" s="22"/>
      <c r="X746" s="40"/>
      <c r="Y746" s="14"/>
      <c r="Z746" s="15"/>
      <c r="AA746" s="13"/>
      <c r="AC746" s="3"/>
      <c r="AD746" s="17"/>
      <c r="AF746" s="7"/>
      <c r="AG746" s="18"/>
    </row>
    <row r="747" spans="21:33" ht="14" x14ac:dyDescent="0.2">
      <c r="U747" s="1"/>
      <c r="V747" s="22"/>
      <c r="X747" s="40"/>
      <c r="Y747" s="14"/>
      <c r="Z747" s="15"/>
      <c r="AA747" s="13"/>
      <c r="AC747" s="3"/>
      <c r="AD747" s="17"/>
      <c r="AF747" s="7"/>
      <c r="AG747" s="18"/>
    </row>
    <row r="748" spans="21:33" ht="14" x14ac:dyDescent="0.2">
      <c r="U748" s="1"/>
      <c r="V748" s="22"/>
      <c r="X748" s="40"/>
      <c r="Y748" s="14"/>
      <c r="Z748" s="15"/>
      <c r="AA748" s="13"/>
      <c r="AC748" s="3"/>
      <c r="AD748" s="17"/>
      <c r="AF748" s="7"/>
      <c r="AG748" s="18"/>
    </row>
    <row r="749" spans="21:33" ht="14" x14ac:dyDescent="0.2">
      <c r="U749" s="1"/>
      <c r="V749" s="22"/>
      <c r="X749" s="40"/>
      <c r="Y749" s="14"/>
      <c r="Z749" s="15"/>
      <c r="AA749" s="13"/>
      <c r="AC749" s="3"/>
      <c r="AD749" s="17"/>
      <c r="AF749" s="7"/>
      <c r="AG749" s="18"/>
    </row>
    <row r="750" spans="21:33" ht="14" x14ac:dyDescent="0.2">
      <c r="U750" s="1"/>
      <c r="V750" s="22"/>
      <c r="X750" s="40"/>
      <c r="Y750" s="14"/>
      <c r="Z750" s="15"/>
      <c r="AA750" s="13"/>
      <c r="AC750" s="3"/>
      <c r="AD750" s="17"/>
      <c r="AF750" s="7"/>
      <c r="AG750" s="18"/>
    </row>
    <row r="751" spans="21:33" ht="14" x14ac:dyDescent="0.2">
      <c r="U751" s="1"/>
      <c r="V751" s="22"/>
      <c r="X751" s="40"/>
      <c r="Y751" s="14"/>
      <c r="Z751" s="15"/>
      <c r="AA751" s="13"/>
      <c r="AC751" s="3"/>
      <c r="AD751" s="17"/>
      <c r="AF751" s="7"/>
      <c r="AG751" s="18"/>
    </row>
    <row r="752" spans="21:33" ht="14" x14ac:dyDescent="0.2">
      <c r="U752" s="1"/>
      <c r="V752" s="22"/>
      <c r="X752" s="40"/>
      <c r="Y752" s="14"/>
      <c r="Z752" s="15"/>
      <c r="AA752" s="13"/>
      <c r="AC752" s="3"/>
      <c r="AD752" s="17"/>
      <c r="AF752" s="7"/>
      <c r="AG752" s="18"/>
    </row>
    <row r="753" spans="21:33" ht="14" x14ac:dyDescent="0.2">
      <c r="U753" s="1"/>
      <c r="V753" s="22"/>
      <c r="X753" s="40"/>
      <c r="Y753" s="14"/>
      <c r="Z753" s="15"/>
      <c r="AA753" s="13"/>
      <c r="AC753" s="3"/>
      <c r="AD753" s="17"/>
      <c r="AF753" s="7"/>
      <c r="AG753" s="18"/>
    </row>
    <row r="754" spans="21:33" ht="14" x14ac:dyDescent="0.2">
      <c r="U754" s="1"/>
      <c r="V754" s="22"/>
      <c r="X754" s="40"/>
      <c r="Y754" s="14"/>
      <c r="Z754" s="15"/>
      <c r="AA754" s="13"/>
      <c r="AC754" s="3"/>
      <c r="AD754" s="17"/>
      <c r="AF754" s="7"/>
      <c r="AG754" s="18"/>
    </row>
    <row r="755" spans="21:33" ht="14" x14ac:dyDescent="0.2">
      <c r="U755" s="1"/>
      <c r="V755" s="22"/>
      <c r="X755" s="40"/>
      <c r="Y755" s="14"/>
      <c r="Z755" s="15"/>
      <c r="AA755" s="13"/>
      <c r="AC755" s="3"/>
      <c r="AD755" s="17"/>
      <c r="AF755" s="7"/>
      <c r="AG755" s="18"/>
    </row>
    <row r="756" spans="21:33" ht="14" x14ac:dyDescent="0.2">
      <c r="U756" s="1"/>
      <c r="V756" s="22"/>
      <c r="X756" s="40"/>
      <c r="Y756" s="14"/>
      <c r="Z756" s="15"/>
      <c r="AA756" s="13"/>
      <c r="AC756" s="3"/>
      <c r="AD756" s="17"/>
      <c r="AF756" s="7"/>
      <c r="AG756" s="18"/>
    </row>
    <row r="757" spans="21:33" ht="14" x14ac:dyDescent="0.2">
      <c r="U757" s="1"/>
      <c r="V757" s="22"/>
      <c r="X757" s="40"/>
      <c r="Y757" s="14"/>
      <c r="Z757" s="15"/>
      <c r="AA757" s="13"/>
      <c r="AC757" s="3"/>
      <c r="AD757" s="17"/>
      <c r="AF757" s="7"/>
      <c r="AG757" s="18"/>
    </row>
    <row r="758" spans="21:33" ht="14" x14ac:dyDescent="0.2">
      <c r="U758" s="1"/>
      <c r="V758" s="22"/>
      <c r="X758" s="40"/>
      <c r="Y758" s="14"/>
      <c r="Z758" s="15"/>
      <c r="AA758" s="13"/>
      <c r="AC758" s="3"/>
      <c r="AD758" s="17"/>
      <c r="AF758" s="7"/>
      <c r="AG758" s="18"/>
    </row>
    <row r="759" spans="21:33" ht="14" x14ac:dyDescent="0.2">
      <c r="U759" s="1"/>
      <c r="V759" s="22"/>
      <c r="X759" s="40"/>
      <c r="Y759" s="14"/>
      <c r="Z759" s="15"/>
      <c r="AA759" s="13"/>
      <c r="AC759" s="3"/>
      <c r="AD759" s="17"/>
      <c r="AF759" s="7"/>
      <c r="AG759" s="18"/>
    </row>
    <row r="760" spans="21:33" ht="14" x14ac:dyDescent="0.2">
      <c r="U760" s="1"/>
      <c r="V760" s="22"/>
      <c r="X760" s="40"/>
      <c r="Y760" s="14"/>
      <c r="Z760" s="15"/>
      <c r="AA760" s="13"/>
      <c r="AC760" s="3"/>
      <c r="AD760" s="17"/>
      <c r="AF760" s="7"/>
      <c r="AG760" s="18"/>
    </row>
    <row r="761" spans="21:33" ht="14" x14ac:dyDescent="0.2">
      <c r="U761" s="1"/>
      <c r="V761" s="22"/>
      <c r="X761" s="40"/>
      <c r="Y761" s="14"/>
      <c r="Z761" s="15"/>
      <c r="AA761" s="13"/>
      <c r="AC761" s="3"/>
      <c r="AD761" s="17"/>
      <c r="AF761" s="7"/>
      <c r="AG761" s="18"/>
    </row>
    <row r="762" spans="21:33" ht="14" x14ac:dyDescent="0.2">
      <c r="U762" s="1"/>
      <c r="V762" s="22"/>
      <c r="X762" s="40"/>
      <c r="Y762" s="14"/>
      <c r="Z762" s="15"/>
      <c r="AA762" s="13"/>
      <c r="AC762" s="3"/>
      <c r="AD762" s="17"/>
      <c r="AF762" s="7"/>
      <c r="AG762" s="18"/>
    </row>
    <row r="763" spans="21:33" ht="14" x14ac:dyDescent="0.2">
      <c r="U763" s="1"/>
      <c r="V763" s="22"/>
      <c r="X763" s="40"/>
      <c r="Y763" s="14"/>
      <c r="Z763" s="15"/>
      <c r="AA763" s="13"/>
      <c r="AC763" s="3"/>
      <c r="AD763" s="17"/>
      <c r="AF763" s="7"/>
      <c r="AG763" s="18"/>
    </row>
    <row r="764" spans="21:33" ht="14" x14ac:dyDescent="0.2">
      <c r="U764" s="1"/>
      <c r="V764" s="22"/>
      <c r="X764" s="40"/>
      <c r="Y764" s="14"/>
      <c r="Z764" s="15"/>
      <c r="AA764" s="13"/>
      <c r="AC764" s="3"/>
      <c r="AD764" s="17"/>
      <c r="AF764" s="7"/>
      <c r="AG764" s="18"/>
    </row>
    <row r="765" spans="21:33" ht="14" x14ac:dyDescent="0.2">
      <c r="U765" s="1"/>
      <c r="V765" s="22"/>
      <c r="X765" s="40"/>
      <c r="Y765" s="14"/>
      <c r="Z765" s="15"/>
      <c r="AA765" s="13"/>
      <c r="AC765" s="3"/>
      <c r="AD765" s="17"/>
      <c r="AF765" s="7"/>
      <c r="AG765" s="18"/>
    </row>
    <row r="766" spans="21:33" ht="14" x14ac:dyDescent="0.2">
      <c r="U766" s="1"/>
      <c r="V766" s="22"/>
      <c r="X766" s="40"/>
      <c r="Y766" s="14"/>
      <c r="Z766" s="15"/>
      <c r="AA766" s="13"/>
      <c r="AC766" s="3"/>
      <c r="AD766" s="17"/>
      <c r="AF766" s="7"/>
      <c r="AG766" s="18"/>
    </row>
    <row r="767" spans="21:33" ht="14" x14ac:dyDescent="0.2">
      <c r="U767" s="1"/>
      <c r="V767" s="22"/>
      <c r="X767" s="40"/>
      <c r="Y767" s="14"/>
      <c r="Z767" s="15"/>
      <c r="AA767" s="13"/>
      <c r="AC767" s="3"/>
      <c r="AD767" s="17"/>
      <c r="AF767" s="7"/>
      <c r="AG767" s="18"/>
    </row>
    <row r="768" spans="21:33" ht="14" x14ac:dyDescent="0.2">
      <c r="U768" s="1"/>
      <c r="V768" s="22"/>
      <c r="X768" s="40"/>
      <c r="Y768" s="14"/>
      <c r="Z768" s="15"/>
      <c r="AA768" s="13"/>
      <c r="AC768" s="3"/>
      <c r="AD768" s="17"/>
      <c r="AF768" s="7"/>
      <c r="AG768" s="18"/>
    </row>
    <row r="769" spans="21:33" ht="14" x14ac:dyDescent="0.2">
      <c r="U769" s="1"/>
      <c r="V769" s="22"/>
      <c r="X769" s="40"/>
      <c r="Y769" s="14"/>
      <c r="Z769" s="15"/>
      <c r="AA769" s="13"/>
      <c r="AC769" s="3"/>
      <c r="AD769" s="17"/>
      <c r="AF769" s="7"/>
      <c r="AG769" s="18"/>
    </row>
    <row r="770" spans="21:33" ht="14" x14ac:dyDescent="0.2">
      <c r="U770" s="1"/>
      <c r="V770" s="22"/>
      <c r="X770" s="40"/>
      <c r="Y770" s="14"/>
      <c r="Z770" s="15"/>
      <c r="AA770" s="13"/>
      <c r="AC770" s="3"/>
      <c r="AD770" s="17"/>
      <c r="AF770" s="7"/>
      <c r="AG770" s="18"/>
    </row>
    <row r="771" spans="21:33" ht="14" x14ac:dyDescent="0.2">
      <c r="U771" s="1"/>
      <c r="V771" s="22"/>
      <c r="X771" s="40"/>
      <c r="Y771" s="14"/>
      <c r="Z771" s="15"/>
      <c r="AA771" s="13"/>
      <c r="AC771" s="3"/>
      <c r="AD771" s="17"/>
      <c r="AF771" s="7"/>
      <c r="AG771" s="18"/>
    </row>
    <row r="772" spans="21:33" ht="14" x14ac:dyDescent="0.2">
      <c r="U772" s="1"/>
      <c r="V772" s="22"/>
      <c r="X772" s="40"/>
      <c r="Y772" s="14"/>
      <c r="Z772" s="15"/>
      <c r="AA772" s="13"/>
      <c r="AC772" s="3"/>
      <c r="AD772" s="17"/>
      <c r="AF772" s="7"/>
      <c r="AG772" s="18"/>
    </row>
    <row r="773" spans="21:33" ht="14" x14ac:dyDescent="0.2">
      <c r="U773" s="1"/>
      <c r="V773" s="22"/>
      <c r="X773" s="40"/>
      <c r="Y773" s="14"/>
      <c r="Z773" s="15"/>
      <c r="AA773" s="13"/>
      <c r="AC773" s="3"/>
      <c r="AD773" s="17"/>
      <c r="AF773" s="7"/>
      <c r="AG773" s="18"/>
    </row>
    <row r="774" spans="21:33" ht="14" x14ac:dyDescent="0.2">
      <c r="U774" s="1"/>
      <c r="V774" s="22"/>
      <c r="X774" s="40"/>
      <c r="Y774" s="14"/>
      <c r="Z774" s="15"/>
      <c r="AA774" s="13"/>
      <c r="AC774" s="3"/>
      <c r="AD774" s="17"/>
      <c r="AF774" s="7"/>
      <c r="AG774" s="18"/>
    </row>
    <row r="775" spans="21:33" ht="14" x14ac:dyDescent="0.2">
      <c r="U775" s="1"/>
      <c r="V775" s="22"/>
      <c r="X775" s="40"/>
      <c r="Y775" s="14"/>
      <c r="Z775" s="15"/>
      <c r="AA775" s="13"/>
      <c r="AC775" s="3"/>
      <c r="AD775" s="17"/>
      <c r="AF775" s="7"/>
      <c r="AG775" s="18"/>
    </row>
    <row r="776" spans="21:33" ht="14" x14ac:dyDescent="0.2">
      <c r="U776" s="1"/>
      <c r="V776" s="22"/>
      <c r="X776" s="40"/>
      <c r="Y776" s="14"/>
      <c r="Z776" s="15"/>
      <c r="AA776" s="13"/>
      <c r="AC776" s="3"/>
      <c r="AD776" s="17"/>
      <c r="AF776" s="7"/>
      <c r="AG776" s="18"/>
    </row>
    <row r="777" spans="21:33" ht="14" x14ac:dyDescent="0.2">
      <c r="U777" s="1"/>
      <c r="V777" s="22"/>
      <c r="X777" s="40"/>
      <c r="Y777" s="14"/>
      <c r="Z777" s="15"/>
      <c r="AA777" s="13"/>
      <c r="AC777" s="3"/>
      <c r="AD777" s="17"/>
      <c r="AF777" s="7"/>
      <c r="AG777" s="18"/>
    </row>
    <row r="778" spans="21:33" ht="14" x14ac:dyDescent="0.2">
      <c r="U778" s="1"/>
      <c r="V778" s="22"/>
      <c r="X778" s="40"/>
      <c r="Y778" s="14"/>
      <c r="Z778" s="15"/>
      <c r="AA778" s="13"/>
      <c r="AC778" s="3"/>
      <c r="AD778" s="17"/>
      <c r="AF778" s="7"/>
      <c r="AG778" s="18"/>
    </row>
    <row r="779" spans="21:33" ht="14" x14ac:dyDescent="0.2">
      <c r="U779" s="1"/>
      <c r="V779" s="22"/>
      <c r="X779" s="40"/>
      <c r="Y779" s="14"/>
      <c r="Z779" s="15"/>
      <c r="AA779" s="13"/>
      <c r="AC779" s="3"/>
      <c r="AD779" s="17"/>
      <c r="AF779" s="7"/>
      <c r="AG779" s="18"/>
    </row>
    <row r="780" spans="21:33" ht="14" x14ac:dyDescent="0.2">
      <c r="U780" s="1"/>
      <c r="V780" s="22"/>
      <c r="X780" s="40"/>
      <c r="Y780" s="14"/>
      <c r="Z780" s="15"/>
      <c r="AA780" s="13"/>
      <c r="AC780" s="3"/>
      <c r="AD780" s="17"/>
      <c r="AF780" s="7"/>
      <c r="AG780" s="18"/>
    </row>
    <row r="781" spans="21:33" ht="14" x14ac:dyDescent="0.2">
      <c r="U781" s="1"/>
      <c r="V781" s="22"/>
      <c r="X781" s="40"/>
      <c r="Y781" s="14"/>
      <c r="Z781" s="15"/>
      <c r="AA781" s="13"/>
      <c r="AC781" s="3"/>
      <c r="AD781" s="17"/>
      <c r="AF781" s="7"/>
      <c r="AG781" s="18"/>
    </row>
    <row r="782" spans="21:33" ht="14" x14ac:dyDescent="0.2">
      <c r="U782" s="1"/>
      <c r="V782" s="22"/>
      <c r="X782" s="40"/>
      <c r="Y782" s="14"/>
      <c r="Z782" s="15"/>
      <c r="AA782" s="13"/>
      <c r="AC782" s="3"/>
      <c r="AD782" s="17"/>
      <c r="AF782" s="7"/>
      <c r="AG782" s="18"/>
    </row>
    <row r="783" spans="21:33" ht="14" x14ac:dyDescent="0.2">
      <c r="U783" s="1"/>
      <c r="V783" s="22"/>
      <c r="X783" s="40"/>
      <c r="Y783" s="14"/>
      <c r="Z783" s="15"/>
      <c r="AA783" s="13"/>
      <c r="AC783" s="3"/>
      <c r="AD783" s="17"/>
      <c r="AF783" s="7"/>
      <c r="AG783" s="18"/>
    </row>
    <row r="784" spans="21:33" ht="14" x14ac:dyDescent="0.2">
      <c r="U784" s="1"/>
      <c r="V784" s="22"/>
      <c r="X784" s="40"/>
      <c r="Y784" s="14"/>
      <c r="Z784" s="15"/>
      <c r="AA784" s="13"/>
      <c r="AC784" s="3"/>
      <c r="AD784" s="17"/>
      <c r="AF784" s="7"/>
      <c r="AG784" s="18"/>
    </row>
    <row r="785" spans="21:33" ht="14" x14ac:dyDescent="0.2">
      <c r="U785" s="1"/>
      <c r="V785" s="22"/>
      <c r="X785" s="40"/>
      <c r="Y785" s="14"/>
      <c r="Z785" s="15"/>
      <c r="AA785" s="13"/>
      <c r="AC785" s="3"/>
      <c r="AD785" s="17"/>
      <c r="AF785" s="7"/>
      <c r="AG785" s="18"/>
    </row>
    <row r="786" spans="21:33" ht="14" x14ac:dyDescent="0.2">
      <c r="U786" s="1"/>
      <c r="V786" s="22"/>
      <c r="X786" s="40"/>
      <c r="Y786" s="14"/>
      <c r="Z786" s="15"/>
      <c r="AA786" s="13"/>
      <c r="AC786" s="3"/>
      <c r="AD786" s="17"/>
      <c r="AF786" s="7"/>
      <c r="AG786" s="18"/>
    </row>
    <row r="787" spans="21:33" ht="14" x14ac:dyDescent="0.2">
      <c r="U787" s="1"/>
      <c r="V787" s="22"/>
      <c r="X787" s="40"/>
      <c r="Y787" s="14"/>
      <c r="Z787" s="15"/>
      <c r="AA787" s="13"/>
      <c r="AC787" s="3"/>
      <c r="AD787" s="17"/>
      <c r="AF787" s="7"/>
      <c r="AG787" s="18"/>
    </row>
    <row r="788" spans="21:33" ht="14" x14ac:dyDescent="0.2">
      <c r="U788" s="1"/>
      <c r="V788" s="22"/>
      <c r="X788" s="40"/>
      <c r="Y788" s="14"/>
      <c r="Z788" s="15"/>
      <c r="AA788" s="13"/>
      <c r="AC788" s="3"/>
      <c r="AD788" s="17"/>
      <c r="AF788" s="7"/>
      <c r="AG788" s="18"/>
    </row>
    <row r="789" spans="21:33" ht="14" x14ac:dyDescent="0.2">
      <c r="U789" s="1"/>
      <c r="V789" s="22"/>
      <c r="X789" s="40"/>
      <c r="Y789" s="14"/>
      <c r="Z789" s="15"/>
      <c r="AA789" s="13"/>
      <c r="AC789" s="3"/>
      <c r="AD789" s="17"/>
      <c r="AF789" s="7"/>
      <c r="AG789" s="18"/>
    </row>
    <row r="790" spans="21:33" ht="14" x14ac:dyDescent="0.2">
      <c r="U790" s="1"/>
      <c r="V790" s="22"/>
      <c r="X790" s="40"/>
      <c r="Y790" s="14"/>
      <c r="Z790" s="15"/>
      <c r="AA790" s="13"/>
      <c r="AC790" s="3"/>
      <c r="AD790" s="17"/>
      <c r="AF790" s="7"/>
      <c r="AG790" s="18"/>
    </row>
    <row r="791" spans="21:33" ht="14" x14ac:dyDescent="0.2">
      <c r="U791" s="1"/>
      <c r="V791" s="22"/>
      <c r="X791" s="40"/>
      <c r="Y791" s="14"/>
      <c r="Z791" s="15"/>
      <c r="AA791" s="13"/>
      <c r="AC791" s="3"/>
      <c r="AD791" s="17"/>
      <c r="AF791" s="7"/>
      <c r="AG791" s="18"/>
    </row>
    <row r="792" spans="21:33" ht="14" x14ac:dyDescent="0.2">
      <c r="U792" s="1"/>
      <c r="V792" s="22"/>
      <c r="X792" s="40"/>
      <c r="Y792" s="14"/>
      <c r="Z792" s="15"/>
      <c r="AA792" s="13"/>
      <c r="AC792" s="3"/>
      <c r="AD792" s="17"/>
      <c r="AF792" s="7"/>
      <c r="AG792" s="18"/>
    </row>
    <row r="793" spans="21:33" ht="14" x14ac:dyDescent="0.2">
      <c r="U793" s="1"/>
      <c r="V793" s="22"/>
      <c r="X793" s="40"/>
      <c r="Y793" s="14"/>
      <c r="Z793" s="15"/>
      <c r="AA793" s="13"/>
      <c r="AC793" s="3"/>
      <c r="AD793" s="17"/>
      <c r="AF793" s="7"/>
      <c r="AG793" s="18"/>
    </row>
    <row r="794" spans="21:33" ht="14" x14ac:dyDescent="0.2">
      <c r="U794" s="1"/>
      <c r="V794" s="22"/>
      <c r="X794" s="40"/>
      <c r="Y794" s="14"/>
      <c r="Z794" s="15"/>
      <c r="AA794" s="13"/>
      <c r="AC794" s="3"/>
      <c r="AD794" s="17"/>
      <c r="AF794" s="7"/>
      <c r="AG794" s="18"/>
    </row>
    <row r="795" spans="21:33" ht="14" x14ac:dyDescent="0.2">
      <c r="U795" s="1"/>
      <c r="V795" s="22"/>
      <c r="X795" s="40"/>
      <c r="Y795" s="14"/>
      <c r="Z795" s="15"/>
      <c r="AA795" s="13"/>
      <c r="AC795" s="3"/>
      <c r="AD795" s="17"/>
      <c r="AF795" s="7"/>
      <c r="AG795" s="18"/>
    </row>
    <row r="796" spans="21:33" ht="14" x14ac:dyDescent="0.2">
      <c r="U796" s="1"/>
      <c r="V796" s="22"/>
      <c r="X796" s="40"/>
      <c r="Y796" s="14"/>
      <c r="Z796" s="15"/>
      <c r="AA796" s="13"/>
      <c r="AC796" s="3"/>
      <c r="AD796" s="17"/>
      <c r="AF796" s="7"/>
      <c r="AG796" s="18"/>
    </row>
    <row r="797" spans="21:33" ht="14" x14ac:dyDescent="0.2">
      <c r="U797" s="1"/>
      <c r="V797" s="22"/>
      <c r="X797" s="40"/>
      <c r="Y797" s="14"/>
      <c r="Z797" s="15"/>
      <c r="AA797" s="13"/>
      <c r="AC797" s="3"/>
      <c r="AD797" s="17"/>
      <c r="AF797" s="7"/>
      <c r="AG797" s="18"/>
    </row>
    <row r="798" spans="21:33" ht="14" x14ac:dyDescent="0.2">
      <c r="U798" s="1"/>
      <c r="V798" s="22"/>
      <c r="X798" s="40"/>
      <c r="Y798" s="14"/>
      <c r="Z798" s="15"/>
      <c r="AA798" s="13"/>
      <c r="AC798" s="3"/>
      <c r="AD798" s="17"/>
      <c r="AF798" s="7"/>
      <c r="AG798" s="18"/>
    </row>
    <row r="799" spans="21:33" ht="14" x14ac:dyDescent="0.2">
      <c r="U799" s="1"/>
      <c r="V799" s="22"/>
      <c r="X799" s="40"/>
      <c r="Y799" s="14"/>
      <c r="Z799" s="15"/>
      <c r="AA799" s="13"/>
      <c r="AC799" s="3"/>
      <c r="AD799" s="17"/>
      <c r="AF799" s="7"/>
      <c r="AG799" s="18"/>
    </row>
    <row r="800" spans="21:33" ht="14" x14ac:dyDescent="0.2">
      <c r="U800" s="1"/>
      <c r="V800" s="22"/>
      <c r="X800" s="40"/>
      <c r="Y800" s="14"/>
      <c r="Z800" s="15"/>
      <c r="AA800" s="13"/>
      <c r="AC800" s="3"/>
      <c r="AD800" s="17"/>
      <c r="AF800" s="7"/>
      <c r="AG800" s="18"/>
    </row>
    <row r="801" spans="21:33" ht="14" x14ac:dyDescent="0.2">
      <c r="U801" s="1"/>
      <c r="V801" s="22"/>
      <c r="X801" s="40"/>
      <c r="Y801" s="14"/>
      <c r="Z801" s="15"/>
      <c r="AA801" s="13"/>
      <c r="AC801" s="3"/>
      <c r="AD801" s="17"/>
      <c r="AF801" s="7"/>
      <c r="AG801" s="18"/>
    </row>
    <row r="802" spans="21:33" ht="14" x14ac:dyDescent="0.2">
      <c r="U802" s="1"/>
      <c r="V802" s="22"/>
      <c r="X802" s="40"/>
      <c r="Y802" s="14"/>
      <c r="Z802" s="15"/>
      <c r="AA802" s="13"/>
      <c r="AC802" s="3"/>
      <c r="AD802" s="17"/>
      <c r="AF802" s="7"/>
      <c r="AG802" s="18"/>
    </row>
    <row r="803" spans="21:33" ht="14" x14ac:dyDescent="0.2">
      <c r="U803" s="1"/>
      <c r="V803" s="22"/>
      <c r="X803" s="40"/>
      <c r="Y803" s="14"/>
      <c r="Z803" s="15"/>
      <c r="AA803" s="13"/>
      <c r="AC803" s="3"/>
      <c r="AD803" s="17"/>
      <c r="AF803" s="7"/>
      <c r="AG803" s="18"/>
    </row>
    <row r="804" spans="21:33" ht="14" x14ac:dyDescent="0.2">
      <c r="U804" s="1"/>
      <c r="V804" s="22"/>
      <c r="X804" s="40"/>
      <c r="Y804" s="14"/>
      <c r="Z804" s="15"/>
      <c r="AA804" s="13"/>
      <c r="AC804" s="3"/>
      <c r="AD804" s="17"/>
      <c r="AF804" s="7"/>
      <c r="AG804" s="18"/>
    </row>
    <row r="805" spans="21:33" ht="14" x14ac:dyDescent="0.2">
      <c r="U805" s="1"/>
      <c r="V805" s="22"/>
      <c r="X805" s="40"/>
      <c r="Y805" s="14"/>
      <c r="Z805" s="15"/>
      <c r="AA805" s="13"/>
      <c r="AC805" s="3"/>
      <c r="AD805" s="17"/>
      <c r="AF805" s="7"/>
      <c r="AG805" s="18"/>
    </row>
    <row r="806" spans="21:33" ht="14" x14ac:dyDescent="0.2">
      <c r="U806" s="1"/>
      <c r="V806" s="22"/>
      <c r="X806" s="40"/>
      <c r="Y806" s="14"/>
      <c r="Z806" s="15"/>
      <c r="AA806" s="13"/>
      <c r="AC806" s="3"/>
      <c r="AD806" s="17"/>
      <c r="AF806" s="7"/>
      <c r="AG806" s="18"/>
    </row>
    <row r="807" spans="21:33" ht="14" x14ac:dyDescent="0.2">
      <c r="U807" s="1"/>
      <c r="V807" s="22"/>
      <c r="X807" s="40"/>
      <c r="Y807" s="14"/>
      <c r="Z807" s="15"/>
      <c r="AA807" s="13"/>
      <c r="AC807" s="3"/>
      <c r="AD807" s="17"/>
      <c r="AF807" s="7"/>
      <c r="AG807" s="18"/>
    </row>
    <row r="808" spans="21:33" ht="14" x14ac:dyDescent="0.2">
      <c r="U808" s="1"/>
      <c r="V808" s="22"/>
      <c r="X808" s="40"/>
      <c r="Y808" s="14"/>
      <c r="Z808" s="15"/>
      <c r="AA808" s="13"/>
      <c r="AC808" s="3"/>
      <c r="AD808" s="17"/>
      <c r="AF808" s="7"/>
      <c r="AG808" s="18"/>
    </row>
    <row r="809" spans="21:33" ht="14" x14ac:dyDescent="0.2">
      <c r="U809" s="1"/>
      <c r="V809" s="22"/>
      <c r="X809" s="40"/>
      <c r="Y809" s="14"/>
      <c r="Z809" s="15"/>
      <c r="AA809" s="13"/>
      <c r="AC809" s="3"/>
      <c r="AD809" s="17"/>
      <c r="AF809" s="7"/>
      <c r="AG809" s="18"/>
    </row>
    <row r="810" spans="21:33" ht="14" x14ac:dyDescent="0.2">
      <c r="U810" s="1"/>
      <c r="V810" s="22"/>
      <c r="X810" s="40"/>
      <c r="Y810" s="14"/>
      <c r="Z810" s="15"/>
      <c r="AA810" s="13"/>
      <c r="AC810" s="3"/>
      <c r="AD810" s="17"/>
      <c r="AF810" s="7"/>
      <c r="AG810" s="18"/>
    </row>
    <row r="811" spans="21:33" ht="14" x14ac:dyDescent="0.2">
      <c r="U811" s="1"/>
      <c r="V811" s="22"/>
      <c r="X811" s="40"/>
      <c r="Y811" s="14"/>
      <c r="Z811" s="15"/>
      <c r="AA811" s="13"/>
      <c r="AC811" s="3"/>
      <c r="AD811" s="17"/>
      <c r="AF811" s="7"/>
      <c r="AG811" s="18"/>
    </row>
    <row r="812" spans="21:33" ht="14" x14ac:dyDescent="0.2">
      <c r="U812" s="1"/>
      <c r="V812" s="22"/>
      <c r="X812" s="40"/>
      <c r="Y812" s="14"/>
      <c r="Z812" s="15"/>
      <c r="AA812" s="13"/>
      <c r="AC812" s="3"/>
      <c r="AD812" s="17"/>
      <c r="AF812" s="7"/>
      <c r="AG812" s="18"/>
    </row>
    <row r="813" spans="21:33" ht="14" x14ac:dyDescent="0.2">
      <c r="U813" s="1"/>
      <c r="V813" s="22"/>
      <c r="X813" s="40"/>
      <c r="Y813" s="14"/>
      <c r="Z813" s="15"/>
      <c r="AA813" s="13"/>
      <c r="AC813" s="3"/>
      <c r="AD813" s="17"/>
      <c r="AF813" s="7"/>
      <c r="AG813" s="18"/>
    </row>
    <row r="814" spans="21:33" ht="14" x14ac:dyDescent="0.2">
      <c r="U814" s="1"/>
      <c r="V814" s="22"/>
      <c r="X814" s="40"/>
      <c r="Y814" s="14"/>
      <c r="Z814" s="15"/>
      <c r="AA814" s="13"/>
      <c r="AC814" s="3"/>
      <c r="AD814" s="17"/>
      <c r="AF814" s="7"/>
      <c r="AG814" s="18"/>
    </row>
    <row r="815" spans="21:33" ht="14" x14ac:dyDescent="0.2">
      <c r="U815" s="1"/>
      <c r="V815" s="22"/>
      <c r="X815" s="40"/>
      <c r="Y815" s="14"/>
      <c r="Z815" s="15"/>
      <c r="AA815" s="13"/>
      <c r="AC815" s="3"/>
      <c r="AD815" s="17"/>
      <c r="AF815" s="7"/>
      <c r="AG815" s="18"/>
    </row>
    <row r="816" spans="21:33" ht="14" x14ac:dyDescent="0.2">
      <c r="U816" s="1"/>
      <c r="V816" s="22"/>
      <c r="X816" s="40"/>
      <c r="Y816" s="14"/>
      <c r="Z816" s="15"/>
      <c r="AA816" s="13"/>
      <c r="AC816" s="3"/>
      <c r="AD816" s="17"/>
      <c r="AF816" s="7"/>
      <c r="AG816" s="18"/>
    </row>
    <row r="817" spans="21:33" ht="14" x14ac:dyDescent="0.2">
      <c r="U817" s="1"/>
      <c r="V817" s="22"/>
      <c r="X817" s="40"/>
      <c r="Y817" s="14"/>
      <c r="Z817" s="15"/>
      <c r="AA817" s="13"/>
      <c r="AC817" s="3"/>
      <c r="AD817" s="17"/>
      <c r="AF817" s="7"/>
      <c r="AG817" s="18"/>
    </row>
    <row r="818" spans="21:33" ht="14" x14ac:dyDescent="0.2">
      <c r="U818" s="1"/>
      <c r="V818" s="22"/>
      <c r="X818" s="40"/>
      <c r="Y818" s="14"/>
      <c r="Z818" s="15"/>
      <c r="AA818" s="13"/>
      <c r="AC818" s="3"/>
      <c r="AD818" s="17"/>
      <c r="AF818" s="7"/>
      <c r="AG818" s="18"/>
    </row>
    <row r="819" spans="21:33" ht="14" x14ac:dyDescent="0.2">
      <c r="U819" s="1"/>
      <c r="V819" s="22"/>
      <c r="X819" s="40"/>
      <c r="Y819" s="14"/>
      <c r="Z819" s="15"/>
      <c r="AA819" s="13"/>
      <c r="AC819" s="3"/>
      <c r="AD819" s="17"/>
      <c r="AF819" s="7"/>
      <c r="AG819" s="18"/>
    </row>
    <row r="820" spans="21:33" ht="14" x14ac:dyDescent="0.2">
      <c r="U820" s="1"/>
      <c r="V820" s="22"/>
      <c r="X820" s="40"/>
      <c r="Y820" s="14"/>
      <c r="Z820" s="15"/>
      <c r="AA820" s="13"/>
      <c r="AC820" s="3"/>
      <c r="AD820" s="17"/>
      <c r="AF820" s="7"/>
      <c r="AG820" s="18"/>
    </row>
    <row r="821" spans="21:33" ht="14" x14ac:dyDescent="0.2">
      <c r="U821" s="1"/>
      <c r="V821" s="22"/>
      <c r="X821" s="40"/>
      <c r="Y821" s="14"/>
      <c r="Z821" s="15"/>
      <c r="AA821" s="13"/>
      <c r="AC821" s="3"/>
      <c r="AD821" s="17"/>
      <c r="AF821" s="7"/>
      <c r="AG821" s="18"/>
    </row>
    <row r="822" spans="21:33" ht="14" x14ac:dyDescent="0.2">
      <c r="U822" s="1"/>
      <c r="V822" s="22"/>
      <c r="X822" s="40"/>
      <c r="Y822" s="14"/>
      <c r="Z822" s="15"/>
      <c r="AA822" s="13"/>
      <c r="AC822" s="3"/>
      <c r="AD822" s="17"/>
      <c r="AF822" s="7"/>
      <c r="AG822" s="18"/>
    </row>
    <row r="823" spans="21:33" ht="14" x14ac:dyDescent="0.2">
      <c r="U823" s="1"/>
      <c r="V823" s="22"/>
      <c r="X823" s="40"/>
      <c r="Y823" s="14"/>
      <c r="Z823" s="15"/>
      <c r="AA823" s="13"/>
      <c r="AC823" s="3"/>
      <c r="AD823" s="17"/>
      <c r="AF823" s="7"/>
      <c r="AG823" s="18"/>
    </row>
    <row r="824" spans="21:33" ht="14" x14ac:dyDescent="0.2">
      <c r="U824" s="1"/>
      <c r="V824" s="22"/>
      <c r="X824" s="40"/>
      <c r="Y824" s="14"/>
      <c r="Z824" s="15"/>
      <c r="AA824" s="13"/>
      <c r="AC824" s="3"/>
      <c r="AD824" s="17"/>
      <c r="AF824" s="7"/>
      <c r="AG824" s="18"/>
    </row>
    <row r="825" spans="21:33" ht="14" x14ac:dyDescent="0.2">
      <c r="U825" s="1"/>
      <c r="V825" s="22"/>
      <c r="X825" s="40"/>
      <c r="Y825" s="14"/>
      <c r="Z825" s="15"/>
      <c r="AA825" s="13"/>
      <c r="AC825" s="3"/>
      <c r="AD825" s="17"/>
      <c r="AF825" s="7"/>
      <c r="AG825" s="18"/>
    </row>
    <row r="826" spans="21:33" ht="14" x14ac:dyDescent="0.2">
      <c r="U826" s="1"/>
      <c r="V826" s="22"/>
      <c r="X826" s="40"/>
      <c r="Y826" s="14"/>
      <c r="Z826" s="15"/>
      <c r="AA826" s="13"/>
      <c r="AC826" s="3"/>
      <c r="AD826" s="17"/>
      <c r="AF826" s="7"/>
      <c r="AG826" s="18"/>
    </row>
    <row r="827" spans="21:33" ht="14" x14ac:dyDescent="0.2">
      <c r="U827" s="1"/>
      <c r="V827" s="22"/>
      <c r="X827" s="40"/>
      <c r="Y827" s="14"/>
      <c r="Z827" s="15"/>
      <c r="AA827" s="13"/>
      <c r="AC827" s="3"/>
      <c r="AD827" s="17"/>
      <c r="AF827" s="7"/>
      <c r="AG827" s="18"/>
    </row>
    <row r="828" spans="21:33" ht="14" x14ac:dyDescent="0.2">
      <c r="U828" s="1"/>
      <c r="V828" s="22"/>
      <c r="X828" s="40"/>
      <c r="Y828" s="14"/>
      <c r="Z828" s="15"/>
      <c r="AA828" s="13"/>
      <c r="AC828" s="3"/>
      <c r="AD828" s="17"/>
      <c r="AF828" s="7"/>
      <c r="AG828" s="18"/>
    </row>
    <row r="829" spans="21:33" ht="14" x14ac:dyDescent="0.2">
      <c r="U829" s="1"/>
      <c r="V829" s="22"/>
      <c r="X829" s="40"/>
      <c r="Y829" s="14"/>
      <c r="Z829" s="15"/>
      <c r="AA829" s="13"/>
      <c r="AC829" s="3"/>
      <c r="AD829" s="17"/>
      <c r="AF829" s="7"/>
      <c r="AG829" s="18"/>
    </row>
    <row r="830" spans="21:33" ht="14" x14ac:dyDescent="0.2">
      <c r="U830" s="1"/>
      <c r="V830" s="22"/>
      <c r="X830" s="40"/>
      <c r="Y830" s="14"/>
      <c r="Z830" s="15"/>
      <c r="AA830" s="13"/>
      <c r="AC830" s="3"/>
      <c r="AD830" s="17"/>
      <c r="AF830" s="7"/>
      <c r="AG830" s="18"/>
    </row>
    <row r="831" spans="21:33" ht="14" x14ac:dyDescent="0.2">
      <c r="U831" s="1"/>
      <c r="V831" s="22"/>
      <c r="X831" s="40"/>
      <c r="Y831" s="14"/>
      <c r="Z831" s="15"/>
      <c r="AA831" s="13"/>
      <c r="AC831" s="3"/>
      <c r="AD831" s="17"/>
      <c r="AF831" s="7"/>
      <c r="AG831" s="18"/>
    </row>
    <row r="832" spans="21:33" ht="14" x14ac:dyDescent="0.2">
      <c r="U832" s="1"/>
      <c r="V832" s="22"/>
      <c r="X832" s="40"/>
      <c r="Y832" s="14"/>
      <c r="Z832" s="15"/>
      <c r="AA832" s="13"/>
      <c r="AC832" s="3"/>
      <c r="AD832" s="17"/>
      <c r="AF832" s="7"/>
      <c r="AG832" s="18"/>
    </row>
    <row r="833" spans="21:33" ht="14" x14ac:dyDescent="0.2">
      <c r="U833" s="1"/>
      <c r="V833" s="22"/>
      <c r="X833" s="40"/>
      <c r="Y833" s="14"/>
      <c r="Z833" s="15"/>
      <c r="AA833" s="13"/>
      <c r="AC833" s="3"/>
      <c r="AD833" s="17"/>
      <c r="AF833" s="7"/>
      <c r="AG833" s="18"/>
    </row>
    <row r="834" spans="21:33" ht="14" x14ac:dyDescent="0.2">
      <c r="U834" s="1"/>
      <c r="V834" s="22"/>
      <c r="X834" s="40"/>
      <c r="Y834" s="14"/>
      <c r="Z834" s="15"/>
      <c r="AA834" s="13"/>
      <c r="AC834" s="3"/>
      <c r="AD834" s="17"/>
      <c r="AF834" s="7"/>
      <c r="AG834" s="18"/>
    </row>
    <row r="835" spans="21:33" ht="14" x14ac:dyDescent="0.2">
      <c r="U835" s="1"/>
      <c r="V835" s="22"/>
      <c r="X835" s="40"/>
      <c r="Y835" s="14"/>
      <c r="Z835" s="15"/>
      <c r="AA835" s="13"/>
      <c r="AC835" s="3"/>
      <c r="AD835" s="17"/>
      <c r="AF835" s="7"/>
      <c r="AG835" s="18"/>
    </row>
    <row r="836" spans="21:33" ht="14" x14ac:dyDescent="0.2">
      <c r="U836" s="1"/>
      <c r="V836" s="22"/>
      <c r="X836" s="40"/>
      <c r="Y836" s="14"/>
      <c r="Z836" s="15"/>
      <c r="AA836" s="13"/>
      <c r="AC836" s="3"/>
      <c r="AD836" s="17"/>
      <c r="AF836" s="7"/>
      <c r="AG836" s="18"/>
    </row>
    <row r="837" spans="21:33" ht="14" x14ac:dyDescent="0.2">
      <c r="U837" s="1"/>
      <c r="V837" s="22"/>
      <c r="X837" s="40"/>
      <c r="Y837" s="14"/>
      <c r="Z837" s="15"/>
      <c r="AA837" s="13"/>
      <c r="AC837" s="3"/>
      <c r="AD837" s="17"/>
      <c r="AF837" s="7"/>
      <c r="AG837" s="18"/>
    </row>
    <row r="838" spans="21:33" ht="14" x14ac:dyDescent="0.2">
      <c r="U838" s="1"/>
      <c r="V838" s="22"/>
      <c r="X838" s="40"/>
      <c r="Y838" s="14"/>
      <c r="Z838" s="15"/>
      <c r="AA838" s="13"/>
      <c r="AC838" s="3"/>
      <c r="AD838" s="17"/>
      <c r="AF838" s="7"/>
      <c r="AG838" s="18"/>
    </row>
    <row r="839" spans="21:33" ht="14" x14ac:dyDescent="0.2">
      <c r="U839" s="1"/>
      <c r="V839" s="22"/>
      <c r="X839" s="40"/>
      <c r="Y839" s="14"/>
      <c r="Z839" s="15"/>
      <c r="AA839" s="13"/>
      <c r="AC839" s="3"/>
      <c r="AD839" s="17"/>
      <c r="AF839" s="7"/>
      <c r="AG839" s="18"/>
    </row>
    <row r="840" spans="21:33" ht="14" x14ac:dyDescent="0.2">
      <c r="U840" s="1"/>
      <c r="V840" s="22"/>
      <c r="X840" s="40"/>
      <c r="Y840" s="14"/>
      <c r="Z840" s="15"/>
      <c r="AA840" s="13"/>
      <c r="AC840" s="3"/>
      <c r="AD840" s="17"/>
      <c r="AF840" s="7"/>
      <c r="AG840" s="18"/>
    </row>
    <row r="841" spans="21:33" ht="14" x14ac:dyDescent="0.2">
      <c r="U841" s="1"/>
      <c r="V841" s="22"/>
      <c r="X841" s="40"/>
      <c r="Y841" s="14"/>
      <c r="Z841" s="15"/>
      <c r="AA841" s="13"/>
      <c r="AC841" s="3"/>
      <c r="AD841" s="17"/>
      <c r="AF841" s="7"/>
      <c r="AG841" s="18"/>
    </row>
    <row r="842" spans="21:33" ht="14" x14ac:dyDescent="0.2">
      <c r="U842" s="1"/>
      <c r="V842" s="22"/>
      <c r="X842" s="40"/>
      <c r="Y842" s="14"/>
      <c r="Z842" s="15"/>
      <c r="AA842" s="13"/>
      <c r="AC842" s="3"/>
      <c r="AD842" s="17"/>
      <c r="AF842" s="7"/>
      <c r="AG842" s="18"/>
    </row>
    <row r="843" spans="21:33" ht="14" x14ac:dyDescent="0.2">
      <c r="U843" s="1"/>
      <c r="V843" s="22"/>
      <c r="X843" s="40"/>
      <c r="Y843" s="14"/>
      <c r="Z843" s="15"/>
      <c r="AA843" s="13"/>
      <c r="AC843" s="3"/>
      <c r="AD843" s="17"/>
      <c r="AF843" s="7"/>
      <c r="AG843" s="18"/>
    </row>
    <row r="844" spans="21:33" ht="14" x14ac:dyDescent="0.2">
      <c r="U844" s="1"/>
      <c r="V844" s="22"/>
      <c r="X844" s="40"/>
      <c r="Y844" s="14"/>
      <c r="Z844" s="15"/>
      <c r="AA844" s="13"/>
      <c r="AC844" s="3"/>
      <c r="AD844" s="17"/>
      <c r="AF844" s="7"/>
      <c r="AG844" s="18"/>
    </row>
    <row r="845" spans="21:33" ht="14" x14ac:dyDescent="0.2">
      <c r="U845" s="1"/>
      <c r="V845" s="22"/>
      <c r="X845" s="40"/>
      <c r="Y845" s="14"/>
      <c r="Z845" s="15"/>
      <c r="AA845" s="13"/>
      <c r="AC845" s="3"/>
      <c r="AD845" s="17"/>
      <c r="AF845" s="7"/>
      <c r="AG845" s="18"/>
    </row>
    <row r="846" spans="21:33" ht="14" x14ac:dyDescent="0.2">
      <c r="U846" s="1"/>
      <c r="V846" s="22"/>
      <c r="X846" s="40"/>
      <c r="Y846" s="14"/>
      <c r="Z846" s="15"/>
      <c r="AA846" s="13"/>
      <c r="AC846" s="3"/>
      <c r="AD846" s="17"/>
      <c r="AF846" s="7"/>
      <c r="AG846" s="18"/>
    </row>
    <row r="847" spans="21:33" ht="14" x14ac:dyDescent="0.2">
      <c r="U847" s="1"/>
      <c r="V847" s="22"/>
      <c r="X847" s="40"/>
      <c r="Y847" s="14"/>
      <c r="Z847" s="15"/>
      <c r="AA847" s="13"/>
      <c r="AC847" s="3"/>
      <c r="AD847" s="17"/>
      <c r="AF847" s="7"/>
      <c r="AG847" s="18"/>
    </row>
    <row r="848" spans="21:33" ht="14" x14ac:dyDescent="0.2">
      <c r="U848" s="1"/>
      <c r="V848" s="22"/>
      <c r="X848" s="40"/>
      <c r="Y848" s="14"/>
      <c r="Z848" s="15"/>
      <c r="AA848" s="13"/>
      <c r="AC848" s="3"/>
      <c r="AD848" s="17"/>
      <c r="AF848" s="7"/>
      <c r="AG848" s="18"/>
    </row>
    <row r="849" spans="21:33" ht="14" x14ac:dyDescent="0.2">
      <c r="U849" s="1"/>
      <c r="V849" s="22"/>
      <c r="X849" s="40"/>
      <c r="Y849" s="14"/>
      <c r="Z849" s="15"/>
      <c r="AA849" s="13"/>
      <c r="AC849" s="3"/>
      <c r="AD849" s="17"/>
      <c r="AF849" s="7"/>
      <c r="AG849" s="18"/>
    </row>
    <row r="850" spans="21:33" ht="14" x14ac:dyDescent="0.2">
      <c r="U850" s="1"/>
      <c r="V850" s="22"/>
      <c r="X850" s="40"/>
      <c r="Y850" s="14"/>
      <c r="Z850" s="15"/>
      <c r="AA850" s="13"/>
      <c r="AC850" s="3"/>
      <c r="AD850" s="17"/>
      <c r="AF850" s="7"/>
      <c r="AG850" s="18"/>
    </row>
    <row r="851" spans="21:33" ht="14" x14ac:dyDescent="0.2">
      <c r="U851" s="1"/>
      <c r="V851" s="22"/>
      <c r="X851" s="40"/>
      <c r="Y851" s="14"/>
      <c r="Z851" s="15"/>
      <c r="AA851" s="13"/>
      <c r="AC851" s="3"/>
      <c r="AD851" s="17"/>
      <c r="AF851" s="7"/>
      <c r="AG851" s="18"/>
    </row>
    <row r="852" spans="21:33" ht="14" x14ac:dyDescent="0.2">
      <c r="U852" s="1"/>
      <c r="V852" s="22"/>
      <c r="X852" s="40"/>
      <c r="Y852" s="14"/>
      <c r="Z852" s="15"/>
      <c r="AA852" s="13"/>
      <c r="AC852" s="3"/>
      <c r="AD852" s="17"/>
      <c r="AF852" s="7"/>
      <c r="AG852" s="18"/>
    </row>
    <row r="853" spans="21:33" ht="14" x14ac:dyDescent="0.2">
      <c r="U853" s="1"/>
      <c r="V853" s="22"/>
      <c r="X853" s="40"/>
      <c r="Y853" s="14"/>
      <c r="Z853" s="15"/>
      <c r="AA853" s="13"/>
      <c r="AC853" s="3"/>
      <c r="AD853" s="17"/>
      <c r="AF853" s="7"/>
      <c r="AG853" s="18"/>
    </row>
    <row r="854" spans="21:33" ht="14" x14ac:dyDescent="0.2">
      <c r="U854" s="1"/>
      <c r="V854" s="22"/>
      <c r="X854" s="40"/>
      <c r="Y854" s="14"/>
      <c r="Z854" s="15"/>
      <c r="AA854" s="13"/>
      <c r="AC854" s="3"/>
      <c r="AD854" s="17"/>
      <c r="AF854" s="7"/>
      <c r="AG854" s="18"/>
    </row>
    <row r="855" spans="21:33" ht="14" x14ac:dyDescent="0.2">
      <c r="U855" s="1"/>
      <c r="V855" s="22"/>
      <c r="X855" s="40"/>
      <c r="Y855" s="14"/>
      <c r="Z855" s="15"/>
      <c r="AA855" s="13"/>
      <c r="AC855" s="3"/>
      <c r="AD855" s="17"/>
      <c r="AF855" s="7"/>
      <c r="AG855" s="18"/>
    </row>
    <row r="856" spans="21:33" ht="14" x14ac:dyDescent="0.2">
      <c r="U856" s="1"/>
      <c r="V856" s="22"/>
      <c r="X856" s="40"/>
      <c r="Y856" s="14"/>
      <c r="Z856" s="15"/>
      <c r="AA856" s="13"/>
      <c r="AC856" s="3"/>
      <c r="AD856" s="17"/>
      <c r="AF856" s="7"/>
      <c r="AG856" s="18"/>
    </row>
    <row r="857" spans="21:33" ht="14" x14ac:dyDescent="0.2">
      <c r="U857" s="1"/>
      <c r="V857" s="22"/>
      <c r="X857" s="40"/>
      <c r="Y857" s="14"/>
      <c r="Z857" s="15"/>
      <c r="AA857" s="13"/>
      <c r="AC857" s="3"/>
      <c r="AD857" s="17"/>
      <c r="AF857" s="7"/>
      <c r="AG857" s="18"/>
    </row>
    <row r="858" spans="21:33" ht="14" x14ac:dyDescent="0.2">
      <c r="U858" s="1"/>
      <c r="V858" s="22"/>
      <c r="X858" s="40"/>
      <c r="Y858" s="14"/>
      <c r="Z858" s="15"/>
      <c r="AA858" s="13"/>
      <c r="AC858" s="3"/>
      <c r="AD858" s="17"/>
      <c r="AF858" s="7"/>
      <c r="AG858" s="18"/>
    </row>
    <row r="859" spans="21:33" ht="14" x14ac:dyDescent="0.2">
      <c r="U859" s="1"/>
      <c r="V859" s="22"/>
      <c r="X859" s="40"/>
      <c r="Y859" s="14"/>
      <c r="Z859" s="15"/>
      <c r="AA859" s="13"/>
      <c r="AC859" s="3"/>
      <c r="AD859" s="17"/>
      <c r="AF859" s="7"/>
      <c r="AG859" s="18"/>
    </row>
    <row r="860" spans="21:33" ht="14" x14ac:dyDescent="0.2">
      <c r="U860" s="1"/>
      <c r="V860" s="22"/>
      <c r="X860" s="40"/>
      <c r="Y860" s="14"/>
      <c r="Z860" s="15"/>
      <c r="AA860" s="13"/>
      <c r="AC860" s="3"/>
      <c r="AD860" s="17"/>
      <c r="AF860" s="7"/>
      <c r="AG860" s="18"/>
    </row>
    <row r="861" spans="21:33" ht="14" x14ac:dyDescent="0.2">
      <c r="U861" s="1"/>
      <c r="V861" s="22"/>
      <c r="X861" s="40"/>
      <c r="Y861" s="14"/>
      <c r="Z861" s="15"/>
      <c r="AA861" s="13"/>
      <c r="AC861" s="3"/>
      <c r="AD861" s="17"/>
      <c r="AF861" s="7"/>
      <c r="AG861" s="18"/>
    </row>
    <row r="862" spans="21:33" ht="14" x14ac:dyDescent="0.2">
      <c r="U862" s="1"/>
      <c r="V862" s="22"/>
      <c r="X862" s="40"/>
      <c r="Y862" s="14"/>
      <c r="Z862" s="15"/>
      <c r="AA862" s="13"/>
      <c r="AC862" s="3"/>
      <c r="AD862" s="17"/>
      <c r="AF862" s="7"/>
      <c r="AG862" s="18"/>
    </row>
    <row r="863" spans="21:33" ht="14" x14ac:dyDescent="0.2">
      <c r="U863" s="1"/>
      <c r="V863" s="22"/>
      <c r="X863" s="40"/>
      <c r="Y863" s="14"/>
      <c r="Z863" s="15"/>
      <c r="AA863" s="13"/>
      <c r="AC863" s="3"/>
      <c r="AD863" s="17"/>
      <c r="AF863" s="7"/>
      <c r="AG863" s="18"/>
    </row>
    <row r="864" spans="21:33" ht="14" x14ac:dyDescent="0.2">
      <c r="U864" s="1"/>
      <c r="V864" s="22"/>
      <c r="X864" s="40"/>
      <c r="Y864" s="14"/>
      <c r="Z864" s="15"/>
      <c r="AA864" s="13"/>
      <c r="AC864" s="3"/>
      <c r="AD864" s="17"/>
      <c r="AF864" s="7"/>
      <c r="AG864" s="18"/>
    </row>
    <row r="865" spans="21:33" ht="14" x14ac:dyDescent="0.2">
      <c r="U865" s="1"/>
      <c r="V865" s="22"/>
      <c r="X865" s="40"/>
      <c r="Y865" s="14"/>
      <c r="Z865" s="15"/>
      <c r="AA865" s="13"/>
      <c r="AC865" s="3"/>
      <c r="AD865" s="17"/>
      <c r="AF865" s="7"/>
      <c r="AG865" s="18"/>
    </row>
    <row r="866" spans="21:33" ht="14" x14ac:dyDescent="0.2">
      <c r="U866" s="1"/>
      <c r="V866" s="22"/>
      <c r="X866" s="40"/>
      <c r="Y866" s="14"/>
      <c r="Z866" s="15"/>
      <c r="AA866" s="13"/>
      <c r="AC866" s="3"/>
      <c r="AD866" s="17"/>
      <c r="AF866" s="7"/>
      <c r="AG866" s="18"/>
    </row>
    <row r="867" spans="21:33" ht="14" x14ac:dyDescent="0.2">
      <c r="U867" s="1"/>
      <c r="V867" s="22"/>
      <c r="X867" s="40"/>
      <c r="Y867" s="14"/>
      <c r="Z867" s="15"/>
      <c r="AA867" s="13"/>
      <c r="AC867" s="3"/>
      <c r="AD867" s="17"/>
      <c r="AF867" s="7"/>
      <c r="AG867" s="18"/>
    </row>
    <row r="868" spans="21:33" ht="14" x14ac:dyDescent="0.2">
      <c r="U868" s="1"/>
      <c r="V868" s="22"/>
      <c r="X868" s="40"/>
      <c r="Y868" s="14"/>
      <c r="Z868" s="15"/>
      <c r="AA868" s="13"/>
      <c r="AC868" s="3"/>
      <c r="AD868" s="17"/>
      <c r="AF868" s="7"/>
      <c r="AG868" s="18"/>
    </row>
    <row r="869" spans="21:33" ht="14" x14ac:dyDescent="0.2">
      <c r="U869" s="1"/>
      <c r="V869" s="22"/>
      <c r="X869" s="40"/>
      <c r="Y869" s="14"/>
      <c r="Z869" s="15"/>
      <c r="AA869" s="13"/>
      <c r="AC869" s="3"/>
      <c r="AD869" s="17"/>
      <c r="AF869" s="7"/>
      <c r="AG869" s="18"/>
    </row>
    <row r="870" spans="21:33" ht="14" x14ac:dyDescent="0.2">
      <c r="U870" s="1"/>
      <c r="V870" s="22"/>
      <c r="X870" s="40"/>
      <c r="Y870" s="14"/>
      <c r="Z870" s="15"/>
      <c r="AA870" s="13"/>
      <c r="AC870" s="3"/>
      <c r="AD870" s="17"/>
      <c r="AF870" s="7"/>
      <c r="AG870" s="18"/>
    </row>
    <row r="871" spans="21:33" ht="14" x14ac:dyDescent="0.2">
      <c r="U871" s="1"/>
      <c r="V871" s="22"/>
      <c r="X871" s="40"/>
      <c r="Y871" s="14"/>
      <c r="Z871" s="15"/>
      <c r="AA871" s="13"/>
      <c r="AC871" s="3"/>
      <c r="AD871" s="17"/>
      <c r="AF871" s="7"/>
      <c r="AG871" s="18"/>
    </row>
    <row r="872" spans="21:33" ht="14" x14ac:dyDescent="0.2">
      <c r="U872" s="1"/>
      <c r="V872" s="22"/>
      <c r="X872" s="40"/>
      <c r="Y872" s="14"/>
      <c r="Z872" s="15"/>
      <c r="AA872" s="13"/>
      <c r="AC872" s="3"/>
      <c r="AD872" s="17"/>
      <c r="AF872" s="7"/>
      <c r="AG872" s="18"/>
    </row>
    <row r="873" spans="21:33" ht="14" x14ac:dyDescent="0.2">
      <c r="U873" s="1"/>
      <c r="V873" s="22"/>
      <c r="X873" s="40"/>
      <c r="Y873" s="14"/>
      <c r="Z873" s="15"/>
      <c r="AA873" s="13"/>
      <c r="AC873" s="3"/>
      <c r="AD873" s="17"/>
      <c r="AF873" s="7"/>
      <c r="AG873" s="18"/>
    </row>
    <row r="874" spans="21:33" ht="14" x14ac:dyDescent="0.2">
      <c r="U874" s="1"/>
      <c r="V874" s="22"/>
      <c r="X874" s="40"/>
      <c r="Y874" s="14"/>
      <c r="Z874" s="15"/>
      <c r="AA874" s="13"/>
      <c r="AC874" s="3"/>
      <c r="AD874" s="17"/>
      <c r="AF874" s="7"/>
      <c r="AG874" s="18"/>
    </row>
    <row r="875" spans="21:33" ht="14" x14ac:dyDescent="0.2">
      <c r="U875" s="1"/>
      <c r="V875" s="22"/>
      <c r="X875" s="40"/>
      <c r="Y875" s="14"/>
      <c r="Z875" s="15"/>
      <c r="AA875" s="13"/>
      <c r="AC875" s="3"/>
      <c r="AD875" s="17"/>
      <c r="AF875" s="7"/>
      <c r="AG875" s="18"/>
    </row>
    <row r="876" spans="21:33" ht="14" x14ac:dyDescent="0.2">
      <c r="U876" s="1"/>
      <c r="V876" s="22"/>
      <c r="X876" s="40"/>
      <c r="Y876" s="14"/>
      <c r="Z876" s="15"/>
      <c r="AA876" s="13"/>
      <c r="AC876" s="3"/>
      <c r="AD876" s="17"/>
      <c r="AF876" s="7"/>
      <c r="AG876" s="18"/>
    </row>
    <row r="877" spans="21:33" ht="14" x14ac:dyDescent="0.2">
      <c r="U877" s="1"/>
      <c r="V877" s="22"/>
      <c r="X877" s="40"/>
      <c r="Y877" s="14"/>
      <c r="Z877" s="15"/>
      <c r="AA877" s="13"/>
      <c r="AC877" s="3"/>
      <c r="AD877" s="17"/>
      <c r="AF877" s="7"/>
      <c r="AG877" s="18"/>
    </row>
    <row r="878" spans="21:33" ht="14" x14ac:dyDescent="0.2">
      <c r="U878" s="1"/>
      <c r="V878" s="22"/>
      <c r="X878" s="40"/>
      <c r="Y878" s="14"/>
      <c r="Z878" s="15"/>
      <c r="AA878" s="13"/>
      <c r="AC878" s="3"/>
      <c r="AD878" s="17"/>
      <c r="AF878" s="7"/>
      <c r="AG878" s="18"/>
    </row>
    <row r="879" spans="21:33" ht="14" x14ac:dyDescent="0.2">
      <c r="U879" s="1"/>
      <c r="V879" s="22"/>
      <c r="X879" s="40"/>
      <c r="Y879" s="14"/>
      <c r="Z879" s="15"/>
      <c r="AA879" s="13"/>
      <c r="AC879" s="3"/>
      <c r="AD879" s="17"/>
      <c r="AF879" s="7"/>
      <c r="AG879" s="18"/>
    </row>
    <row r="880" spans="21:33" ht="14" x14ac:dyDescent="0.2">
      <c r="U880" s="1"/>
      <c r="V880" s="22"/>
      <c r="X880" s="40"/>
      <c r="Y880" s="14"/>
      <c r="Z880" s="15"/>
      <c r="AA880" s="13"/>
      <c r="AC880" s="3"/>
      <c r="AD880" s="17"/>
      <c r="AF880" s="7"/>
      <c r="AG880" s="18"/>
    </row>
    <row r="881" spans="21:33" ht="14" x14ac:dyDescent="0.2">
      <c r="U881" s="1"/>
      <c r="V881" s="22"/>
      <c r="X881" s="40"/>
      <c r="Y881" s="14"/>
      <c r="Z881" s="15"/>
      <c r="AA881" s="13"/>
      <c r="AC881" s="3"/>
      <c r="AD881" s="17"/>
      <c r="AF881" s="7"/>
      <c r="AG881" s="18"/>
    </row>
    <row r="882" spans="21:33" ht="14" x14ac:dyDescent="0.2">
      <c r="U882" s="1"/>
      <c r="V882" s="22"/>
      <c r="X882" s="40"/>
      <c r="Y882" s="14"/>
      <c r="Z882" s="15"/>
      <c r="AA882" s="13"/>
      <c r="AC882" s="3"/>
      <c r="AD882" s="17"/>
      <c r="AF882" s="7"/>
      <c r="AG882" s="18"/>
    </row>
    <row r="883" spans="21:33" ht="14" x14ac:dyDescent="0.2">
      <c r="U883" s="1"/>
      <c r="V883" s="22"/>
      <c r="X883" s="40"/>
      <c r="Y883" s="14"/>
      <c r="Z883" s="15"/>
      <c r="AA883" s="13"/>
      <c r="AC883" s="3"/>
      <c r="AD883" s="17"/>
      <c r="AF883" s="7"/>
      <c r="AG883" s="18"/>
    </row>
    <row r="884" spans="21:33" ht="14" x14ac:dyDescent="0.2">
      <c r="U884" s="1"/>
      <c r="V884" s="22"/>
      <c r="X884" s="40"/>
      <c r="Y884" s="14"/>
      <c r="Z884" s="15"/>
      <c r="AA884" s="13"/>
      <c r="AC884" s="3"/>
      <c r="AD884" s="17"/>
      <c r="AF884" s="7"/>
      <c r="AG884" s="18"/>
    </row>
    <row r="885" spans="21:33" ht="14" x14ac:dyDescent="0.2">
      <c r="U885" s="1"/>
      <c r="V885" s="22"/>
      <c r="X885" s="40"/>
      <c r="Y885" s="14"/>
      <c r="Z885" s="15"/>
      <c r="AA885" s="13"/>
      <c r="AC885" s="3"/>
      <c r="AD885" s="17"/>
      <c r="AF885" s="7"/>
      <c r="AG885" s="18"/>
    </row>
    <row r="886" spans="21:33" ht="14" x14ac:dyDescent="0.2">
      <c r="U886" s="1"/>
      <c r="V886" s="22"/>
      <c r="X886" s="40"/>
      <c r="Y886" s="14"/>
      <c r="Z886" s="15"/>
      <c r="AA886" s="13"/>
      <c r="AC886" s="3"/>
      <c r="AD886" s="17"/>
      <c r="AF886" s="7"/>
      <c r="AG886" s="18"/>
    </row>
    <row r="887" spans="21:33" ht="14" x14ac:dyDescent="0.2">
      <c r="U887" s="1"/>
      <c r="V887" s="22"/>
      <c r="X887" s="40"/>
      <c r="Y887" s="14"/>
      <c r="Z887" s="15"/>
      <c r="AA887" s="13"/>
      <c r="AC887" s="3"/>
      <c r="AD887" s="17"/>
      <c r="AF887" s="7"/>
      <c r="AG887" s="18"/>
    </row>
    <row r="888" spans="21:33" ht="14" x14ac:dyDescent="0.2">
      <c r="U888" s="1"/>
      <c r="V888" s="22"/>
      <c r="X888" s="40"/>
      <c r="Y888" s="14"/>
      <c r="Z888" s="15"/>
      <c r="AA888" s="13"/>
      <c r="AC888" s="3"/>
      <c r="AD888" s="17"/>
      <c r="AF888" s="7"/>
      <c r="AG888" s="18"/>
    </row>
    <row r="889" spans="21:33" ht="14" x14ac:dyDescent="0.2">
      <c r="U889" s="1"/>
      <c r="V889" s="22"/>
      <c r="X889" s="40"/>
      <c r="Y889" s="14"/>
      <c r="Z889" s="15"/>
      <c r="AA889" s="13"/>
      <c r="AC889" s="3"/>
      <c r="AD889" s="17"/>
      <c r="AF889" s="7"/>
      <c r="AG889" s="18"/>
    </row>
    <row r="890" spans="21:33" ht="14" x14ac:dyDescent="0.2">
      <c r="U890" s="1"/>
      <c r="V890" s="22"/>
      <c r="X890" s="40"/>
      <c r="Y890" s="14"/>
      <c r="Z890" s="15"/>
      <c r="AA890" s="13"/>
      <c r="AC890" s="3"/>
      <c r="AD890" s="17"/>
      <c r="AF890" s="7"/>
      <c r="AG890" s="18"/>
    </row>
    <row r="891" spans="21:33" ht="14" x14ac:dyDescent="0.2">
      <c r="U891" s="1"/>
      <c r="V891" s="22"/>
      <c r="X891" s="40"/>
      <c r="Y891" s="14"/>
      <c r="Z891" s="15"/>
      <c r="AA891" s="13"/>
      <c r="AC891" s="3"/>
      <c r="AD891" s="17"/>
      <c r="AF891" s="7"/>
      <c r="AG891" s="18"/>
    </row>
    <row r="892" spans="21:33" ht="14" x14ac:dyDescent="0.2">
      <c r="U892" s="1"/>
      <c r="V892" s="22"/>
      <c r="X892" s="40"/>
      <c r="Y892" s="14"/>
      <c r="Z892" s="15"/>
      <c r="AA892" s="13"/>
      <c r="AC892" s="3"/>
      <c r="AD892" s="17"/>
      <c r="AF892" s="7"/>
      <c r="AG892" s="18"/>
    </row>
    <row r="893" spans="21:33" ht="14" x14ac:dyDescent="0.2">
      <c r="U893" s="1"/>
      <c r="V893" s="22"/>
      <c r="X893" s="40"/>
      <c r="Y893" s="14"/>
      <c r="Z893" s="15"/>
      <c r="AA893" s="13"/>
      <c r="AC893" s="3"/>
      <c r="AD893" s="17"/>
      <c r="AF893" s="7"/>
      <c r="AG893" s="18"/>
    </row>
    <row r="894" spans="21:33" ht="14" x14ac:dyDescent="0.2">
      <c r="U894" s="1"/>
      <c r="V894" s="22"/>
      <c r="X894" s="40"/>
      <c r="Y894" s="14"/>
      <c r="Z894" s="15"/>
      <c r="AA894" s="13"/>
      <c r="AC894" s="3"/>
      <c r="AD894" s="17"/>
      <c r="AF894" s="7"/>
      <c r="AG894" s="18"/>
    </row>
    <row r="895" spans="21:33" ht="14" x14ac:dyDescent="0.2">
      <c r="U895" s="1"/>
      <c r="V895" s="22"/>
      <c r="X895" s="40"/>
      <c r="Y895" s="14"/>
      <c r="Z895" s="15"/>
      <c r="AA895" s="13"/>
      <c r="AC895" s="3"/>
      <c r="AD895" s="17"/>
      <c r="AF895" s="7"/>
      <c r="AG895" s="18"/>
    </row>
    <row r="896" spans="21:33" ht="14" x14ac:dyDescent="0.2">
      <c r="U896" s="1"/>
      <c r="V896" s="22"/>
      <c r="X896" s="40"/>
      <c r="Y896" s="14"/>
      <c r="Z896" s="15"/>
      <c r="AA896" s="13"/>
      <c r="AC896" s="3"/>
      <c r="AD896" s="17"/>
      <c r="AF896" s="7"/>
      <c r="AG896" s="18"/>
    </row>
    <row r="897" spans="21:33" ht="14" x14ac:dyDescent="0.2">
      <c r="U897" s="1"/>
      <c r="V897" s="22"/>
      <c r="X897" s="40"/>
      <c r="Y897" s="14"/>
      <c r="Z897" s="15"/>
      <c r="AA897" s="13"/>
      <c r="AC897" s="3"/>
      <c r="AD897" s="17"/>
      <c r="AF897" s="7"/>
      <c r="AG897" s="18"/>
    </row>
    <row r="898" spans="21:33" ht="14" x14ac:dyDescent="0.2">
      <c r="U898" s="1"/>
      <c r="V898" s="22"/>
      <c r="X898" s="40"/>
      <c r="Y898" s="14"/>
      <c r="Z898" s="15"/>
      <c r="AA898" s="13"/>
      <c r="AC898" s="3"/>
      <c r="AD898" s="17"/>
      <c r="AF898" s="7"/>
      <c r="AG898" s="18"/>
    </row>
    <row r="899" spans="21:33" ht="14" x14ac:dyDescent="0.2">
      <c r="U899" s="1"/>
      <c r="V899" s="22"/>
      <c r="X899" s="40"/>
      <c r="Y899" s="14"/>
      <c r="Z899" s="15"/>
      <c r="AA899" s="13"/>
      <c r="AC899" s="3"/>
      <c r="AD899" s="17"/>
      <c r="AF899" s="7"/>
      <c r="AG899" s="18"/>
    </row>
    <row r="900" spans="21:33" ht="14" x14ac:dyDescent="0.2">
      <c r="U900" s="1"/>
      <c r="V900" s="22"/>
      <c r="X900" s="40"/>
      <c r="Y900" s="14"/>
      <c r="Z900" s="15"/>
      <c r="AA900" s="13"/>
      <c r="AC900" s="3"/>
      <c r="AD900" s="17"/>
      <c r="AF900" s="7"/>
      <c r="AG900" s="18"/>
    </row>
    <row r="901" spans="21:33" ht="14" x14ac:dyDescent="0.2">
      <c r="U901" s="1"/>
      <c r="V901" s="22"/>
      <c r="X901" s="40"/>
      <c r="Y901" s="14"/>
      <c r="Z901" s="15"/>
      <c r="AA901" s="13"/>
      <c r="AC901" s="3"/>
      <c r="AD901" s="17"/>
      <c r="AF901" s="7"/>
      <c r="AG901" s="18"/>
    </row>
    <row r="902" spans="21:33" ht="14" x14ac:dyDescent="0.2">
      <c r="U902" s="1"/>
      <c r="V902" s="22"/>
      <c r="X902" s="40"/>
      <c r="Y902" s="14"/>
      <c r="Z902" s="15"/>
      <c r="AA902" s="13"/>
      <c r="AC902" s="3"/>
      <c r="AD902" s="17"/>
      <c r="AF902" s="7"/>
      <c r="AG902" s="18"/>
    </row>
    <row r="903" spans="21:33" ht="14" x14ac:dyDescent="0.2">
      <c r="U903" s="1"/>
      <c r="V903" s="22"/>
      <c r="X903" s="40"/>
      <c r="Y903" s="14"/>
      <c r="Z903" s="15"/>
      <c r="AA903" s="13"/>
      <c r="AC903" s="3"/>
      <c r="AD903" s="17"/>
      <c r="AF903" s="7"/>
      <c r="AG903" s="18"/>
    </row>
    <row r="904" spans="21:33" ht="14" x14ac:dyDescent="0.2">
      <c r="U904" s="1"/>
      <c r="V904" s="22"/>
      <c r="X904" s="40"/>
      <c r="Y904" s="14"/>
      <c r="Z904" s="15"/>
      <c r="AA904" s="13"/>
      <c r="AC904" s="3"/>
      <c r="AD904" s="17"/>
      <c r="AF904" s="7"/>
      <c r="AG904" s="18"/>
    </row>
    <row r="905" spans="21:33" ht="14" x14ac:dyDescent="0.2">
      <c r="U905" s="1"/>
      <c r="V905" s="22"/>
      <c r="X905" s="40"/>
      <c r="Y905" s="14"/>
      <c r="Z905" s="15"/>
      <c r="AA905" s="13"/>
      <c r="AC905" s="3"/>
      <c r="AD905" s="17"/>
      <c r="AF905" s="7"/>
      <c r="AG905" s="18"/>
    </row>
    <row r="906" spans="21:33" ht="14" x14ac:dyDescent="0.2">
      <c r="U906" s="1"/>
      <c r="V906" s="22"/>
      <c r="X906" s="40"/>
      <c r="Y906" s="14"/>
      <c r="Z906" s="15"/>
      <c r="AA906" s="13"/>
      <c r="AC906" s="3"/>
      <c r="AD906" s="17"/>
      <c r="AF906" s="7"/>
      <c r="AG906" s="18"/>
    </row>
    <row r="907" spans="21:33" ht="14" x14ac:dyDescent="0.2">
      <c r="U907" s="1"/>
      <c r="V907" s="22"/>
      <c r="X907" s="40"/>
      <c r="Y907" s="14"/>
      <c r="Z907" s="15"/>
      <c r="AA907" s="13"/>
      <c r="AC907" s="3"/>
      <c r="AD907" s="17"/>
      <c r="AF907" s="7"/>
      <c r="AG907" s="18"/>
    </row>
    <row r="908" spans="21:33" ht="14" x14ac:dyDescent="0.2">
      <c r="U908" s="1"/>
      <c r="V908" s="22"/>
      <c r="X908" s="40"/>
      <c r="Y908" s="14"/>
      <c r="Z908" s="15"/>
      <c r="AA908" s="13"/>
      <c r="AC908" s="3"/>
      <c r="AD908" s="17"/>
      <c r="AF908" s="7"/>
      <c r="AG908" s="18"/>
    </row>
    <row r="909" spans="21:33" ht="14" x14ac:dyDescent="0.2">
      <c r="U909" s="1"/>
      <c r="V909" s="22"/>
      <c r="X909" s="40"/>
      <c r="Y909" s="14"/>
      <c r="Z909" s="15"/>
      <c r="AA909" s="13"/>
      <c r="AC909" s="3"/>
      <c r="AD909" s="17"/>
      <c r="AF909" s="7"/>
      <c r="AG909" s="18"/>
    </row>
    <row r="910" spans="21:33" ht="14" x14ac:dyDescent="0.2">
      <c r="U910" s="1"/>
      <c r="V910" s="22"/>
      <c r="X910" s="40"/>
      <c r="Y910" s="14"/>
      <c r="Z910" s="15"/>
      <c r="AA910" s="13"/>
      <c r="AC910" s="3"/>
      <c r="AD910" s="17"/>
      <c r="AF910" s="7"/>
      <c r="AG910" s="18"/>
    </row>
    <row r="911" spans="21:33" ht="14" x14ac:dyDescent="0.2">
      <c r="U911" s="1"/>
      <c r="V911" s="22"/>
      <c r="X911" s="40"/>
      <c r="Y911" s="14"/>
      <c r="Z911" s="15"/>
      <c r="AA911" s="13"/>
      <c r="AC911" s="3"/>
      <c r="AD911" s="17"/>
      <c r="AF911" s="7"/>
      <c r="AG911" s="18"/>
    </row>
    <row r="912" spans="21:33" ht="14" x14ac:dyDescent="0.2">
      <c r="U912" s="1"/>
      <c r="V912" s="22"/>
      <c r="X912" s="40"/>
      <c r="Y912" s="14"/>
      <c r="Z912" s="15"/>
      <c r="AA912" s="13"/>
      <c r="AC912" s="3"/>
      <c r="AD912" s="17"/>
      <c r="AF912" s="7"/>
      <c r="AG912" s="18"/>
    </row>
    <row r="913" spans="21:33" ht="14" x14ac:dyDescent="0.2">
      <c r="U913" s="1"/>
      <c r="V913" s="22"/>
      <c r="X913" s="40"/>
      <c r="Y913" s="14"/>
      <c r="Z913" s="15"/>
      <c r="AA913" s="13"/>
      <c r="AC913" s="3"/>
      <c r="AD913" s="17"/>
      <c r="AF913" s="7"/>
      <c r="AG913" s="18"/>
    </row>
    <row r="914" spans="21:33" ht="14" x14ac:dyDescent="0.2">
      <c r="U914" s="1"/>
      <c r="V914" s="22"/>
      <c r="X914" s="40"/>
      <c r="Y914" s="14"/>
      <c r="Z914" s="15"/>
      <c r="AA914" s="13"/>
      <c r="AC914" s="3"/>
      <c r="AD914" s="17"/>
      <c r="AF914" s="7"/>
      <c r="AG914" s="18"/>
    </row>
    <row r="915" spans="21:33" ht="14" x14ac:dyDescent="0.2">
      <c r="U915" s="1"/>
      <c r="V915" s="22"/>
      <c r="X915" s="40"/>
      <c r="Y915" s="14"/>
      <c r="Z915" s="15"/>
      <c r="AA915" s="13"/>
      <c r="AC915" s="3"/>
      <c r="AD915" s="17"/>
      <c r="AF915" s="7"/>
      <c r="AG915" s="18"/>
    </row>
    <row r="916" spans="21:33" ht="14" x14ac:dyDescent="0.2">
      <c r="U916" s="1"/>
      <c r="V916" s="22"/>
      <c r="X916" s="40"/>
      <c r="Y916" s="14"/>
      <c r="Z916" s="15"/>
      <c r="AA916" s="13"/>
      <c r="AC916" s="3"/>
      <c r="AD916" s="17"/>
      <c r="AF916" s="7"/>
      <c r="AG916" s="18"/>
    </row>
    <row r="917" spans="21:33" ht="14" x14ac:dyDescent="0.2">
      <c r="U917" s="1"/>
      <c r="V917" s="22"/>
      <c r="X917" s="40"/>
      <c r="Y917" s="14"/>
      <c r="Z917" s="15"/>
      <c r="AA917" s="13"/>
      <c r="AC917" s="3"/>
      <c r="AD917" s="17"/>
      <c r="AF917" s="7"/>
      <c r="AG917" s="18"/>
    </row>
    <row r="918" spans="21:33" ht="14" x14ac:dyDescent="0.2">
      <c r="U918" s="1"/>
      <c r="V918" s="22"/>
      <c r="X918" s="40"/>
      <c r="Y918" s="14"/>
      <c r="Z918" s="15"/>
      <c r="AA918" s="13"/>
      <c r="AC918" s="3"/>
      <c r="AD918" s="17"/>
      <c r="AF918" s="7"/>
      <c r="AG918" s="18"/>
    </row>
    <row r="919" spans="21:33" ht="14" x14ac:dyDescent="0.2">
      <c r="U919" s="1"/>
      <c r="V919" s="22"/>
      <c r="X919" s="40"/>
      <c r="Y919" s="14"/>
      <c r="Z919" s="15"/>
      <c r="AA919" s="13"/>
      <c r="AC919" s="3"/>
      <c r="AD919" s="17"/>
      <c r="AF919" s="7"/>
      <c r="AG919" s="18"/>
    </row>
    <row r="920" spans="21:33" ht="14" x14ac:dyDescent="0.2">
      <c r="U920" s="1"/>
      <c r="V920" s="22"/>
      <c r="X920" s="40"/>
      <c r="Y920" s="14"/>
      <c r="Z920" s="15"/>
      <c r="AA920" s="13"/>
      <c r="AC920" s="3"/>
      <c r="AD920" s="17"/>
      <c r="AF920" s="7"/>
      <c r="AG920" s="18"/>
    </row>
    <row r="921" spans="21:33" ht="14" x14ac:dyDescent="0.2">
      <c r="U921" s="1"/>
      <c r="V921" s="22"/>
      <c r="X921" s="40"/>
      <c r="Y921" s="14"/>
      <c r="Z921" s="15"/>
      <c r="AA921" s="13"/>
      <c r="AC921" s="3"/>
      <c r="AD921" s="17"/>
      <c r="AF921" s="7"/>
      <c r="AG921" s="18"/>
    </row>
    <row r="922" spans="21:33" ht="14" x14ac:dyDescent="0.2">
      <c r="U922" s="1"/>
      <c r="V922" s="22"/>
      <c r="X922" s="40"/>
      <c r="Y922" s="14"/>
      <c r="Z922" s="15"/>
      <c r="AA922" s="13"/>
      <c r="AC922" s="3"/>
      <c r="AD922" s="17"/>
      <c r="AF922" s="7"/>
      <c r="AG922" s="18"/>
    </row>
    <row r="923" spans="21:33" ht="14" x14ac:dyDescent="0.2">
      <c r="U923" s="1"/>
      <c r="V923" s="22"/>
      <c r="X923" s="40"/>
      <c r="Y923" s="14"/>
      <c r="Z923" s="15"/>
      <c r="AA923" s="13"/>
      <c r="AC923" s="3"/>
      <c r="AD923" s="17"/>
      <c r="AF923" s="7"/>
      <c r="AG923" s="18"/>
    </row>
    <row r="924" spans="21:33" ht="14" x14ac:dyDescent="0.2">
      <c r="U924" s="1"/>
      <c r="V924" s="22"/>
      <c r="X924" s="40"/>
      <c r="Y924" s="14"/>
      <c r="Z924" s="15"/>
      <c r="AA924" s="13"/>
      <c r="AC924" s="3"/>
      <c r="AD924" s="17"/>
      <c r="AF924" s="7"/>
      <c r="AG924" s="18"/>
    </row>
    <row r="925" spans="21:33" ht="14" x14ac:dyDescent="0.2">
      <c r="U925" s="1"/>
      <c r="V925" s="22"/>
      <c r="X925" s="40"/>
      <c r="Y925" s="14"/>
      <c r="Z925" s="15"/>
      <c r="AA925" s="13"/>
      <c r="AC925" s="3"/>
      <c r="AD925" s="17"/>
      <c r="AF925" s="7"/>
      <c r="AG925" s="18"/>
    </row>
    <row r="926" spans="21:33" ht="14" x14ac:dyDescent="0.2">
      <c r="U926" s="1"/>
      <c r="V926" s="22"/>
      <c r="X926" s="40"/>
      <c r="Y926" s="14"/>
      <c r="Z926" s="15"/>
      <c r="AA926" s="13"/>
      <c r="AC926" s="3"/>
      <c r="AD926" s="17"/>
      <c r="AF926" s="7"/>
      <c r="AG926" s="18"/>
    </row>
    <row r="927" spans="21:33" ht="14" x14ac:dyDescent="0.2">
      <c r="U927" s="1"/>
      <c r="V927" s="22"/>
      <c r="X927" s="40"/>
      <c r="Y927" s="14"/>
      <c r="Z927" s="15"/>
      <c r="AA927" s="13"/>
      <c r="AC927" s="3"/>
      <c r="AD927" s="17"/>
      <c r="AF927" s="7"/>
      <c r="AG927" s="18"/>
    </row>
    <row r="928" spans="21:33" ht="14" x14ac:dyDescent="0.2">
      <c r="U928" s="1"/>
      <c r="V928" s="22"/>
      <c r="X928" s="40"/>
      <c r="Y928" s="14"/>
      <c r="Z928" s="15"/>
      <c r="AA928" s="13"/>
      <c r="AC928" s="3"/>
      <c r="AD928" s="17"/>
      <c r="AF928" s="7"/>
      <c r="AG928" s="18"/>
    </row>
    <row r="929" spans="21:33" ht="14" x14ac:dyDescent="0.2">
      <c r="U929" s="1"/>
      <c r="V929" s="22"/>
      <c r="X929" s="40"/>
      <c r="Y929" s="14"/>
      <c r="Z929" s="15"/>
      <c r="AA929" s="13"/>
      <c r="AC929" s="3"/>
      <c r="AD929" s="17"/>
      <c r="AF929" s="7"/>
      <c r="AG929" s="18"/>
    </row>
    <row r="930" spans="21:33" ht="14" x14ac:dyDescent="0.2">
      <c r="U930" s="1"/>
      <c r="V930" s="22"/>
      <c r="X930" s="40"/>
      <c r="Y930" s="14"/>
      <c r="Z930" s="15"/>
      <c r="AA930" s="13"/>
      <c r="AC930" s="3"/>
      <c r="AD930" s="17"/>
      <c r="AF930" s="7"/>
      <c r="AG930" s="18"/>
    </row>
    <row r="931" spans="21:33" ht="14" x14ac:dyDescent="0.2">
      <c r="U931" s="1"/>
      <c r="V931" s="22"/>
      <c r="X931" s="40"/>
      <c r="Y931" s="14"/>
      <c r="Z931" s="15"/>
      <c r="AA931" s="13"/>
      <c r="AC931" s="3"/>
      <c r="AD931" s="17"/>
      <c r="AF931" s="7"/>
      <c r="AG931" s="18"/>
    </row>
    <row r="932" spans="21:33" ht="14" x14ac:dyDescent="0.2">
      <c r="U932" s="1"/>
      <c r="V932" s="22"/>
      <c r="X932" s="40"/>
      <c r="Y932" s="14"/>
      <c r="Z932" s="15"/>
      <c r="AA932" s="13"/>
      <c r="AC932" s="3"/>
      <c r="AD932" s="17"/>
      <c r="AF932" s="7"/>
      <c r="AG932" s="18"/>
    </row>
    <row r="933" spans="21:33" ht="14" x14ac:dyDescent="0.2">
      <c r="U933" s="1"/>
      <c r="V933" s="22"/>
      <c r="X933" s="40"/>
      <c r="Y933" s="14"/>
      <c r="Z933" s="15"/>
      <c r="AA933" s="13"/>
      <c r="AC933" s="3"/>
      <c r="AD933" s="17"/>
      <c r="AF933" s="7"/>
      <c r="AG933" s="18"/>
    </row>
    <row r="934" spans="21:33" ht="14" x14ac:dyDescent="0.2">
      <c r="U934" s="1"/>
      <c r="V934" s="22"/>
      <c r="X934" s="40"/>
      <c r="Y934" s="14"/>
      <c r="Z934" s="15"/>
      <c r="AA934" s="13"/>
      <c r="AC934" s="3"/>
      <c r="AD934" s="17"/>
      <c r="AF934" s="7"/>
      <c r="AG934" s="18"/>
    </row>
    <row r="935" spans="21:33" ht="14" x14ac:dyDescent="0.2">
      <c r="U935" s="1"/>
      <c r="V935" s="22"/>
      <c r="X935" s="40"/>
      <c r="Y935" s="14"/>
      <c r="Z935" s="15"/>
      <c r="AA935" s="13"/>
      <c r="AC935" s="3"/>
      <c r="AD935" s="17"/>
      <c r="AF935" s="7"/>
      <c r="AG935" s="18"/>
    </row>
    <row r="936" spans="21:33" ht="14" x14ac:dyDescent="0.2">
      <c r="U936" s="1"/>
      <c r="V936" s="22"/>
      <c r="X936" s="40"/>
      <c r="Y936" s="14"/>
      <c r="Z936" s="15"/>
      <c r="AA936" s="13"/>
      <c r="AC936" s="3"/>
      <c r="AD936" s="17"/>
      <c r="AF936" s="7"/>
      <c r="AG936" s="18"/>
    </row>
    <row r="937" spans="21:33" ht="14" x14ac:dyDescent="0.2">
      <c r="U937" s="1"/>
      <c r="V937" s="22"/>
      <c r="X937" s="40"/>
      <c r="Y937" s="14"/>
      <c r="Z937" s="15"/>
      <c r="AA937" s="13"/>
      <c r="AC937" s="3"/>
      <c r="AD937" s="17"/>
      <c r="AF937" s="7"/>
      <c r="AG937" s="18"/>
    </row>
    <row r="938" spans="21:33" ht="14" x14ac:dyDescent="0.2">
      <c r="U938" s="1"/>
      <c r="V938" s="22"/>
      <c r="X938" s="40"/>
      <c r="Y938" s="14"/>
      <c r="Z938" s="15"/>
      <c r="AA938" s="13"/>
      <c r="AC938" s="3"/>
      <c r="AD938" s="17"/>
      <c r="AF938" s="7"/>
      <c r="AG938" s="18"/>
    </row>
    <row r="939" spans="21:33" ht="14" x14ac:dyDescent="0.2">
      <c r="U939" s="1"/>
      <c r="V939" s="22"/>
      <c r="X939" s="40"/>
      <c r="Y939" s="14"/>
      <c r="Z939" s="15"/>
      <c r="AA939" s="13"/>
      <c r="AC939" s="3"/>
      <c r="AD939" s="17"/>
      <c r="AF939" s="7"/>
      <c r="AG939" s="18"/>
    </row>
    <row r="940" spans="21:33" ht="14" x14ac:dyDescent="0.2">
      <c r="U940" s="1"/>
      <c r="V940" s="22"/>
      <c r="X940" s="40"/>
      <c r="Y940" s="14"/>
      <c r="Z940" s="15"/>
      <c r="AA940" s="13"/>
      <c r="AC940" s="3"/>
      <c r="AD940" s="17"/>
      <c r="AF940" s="7"/>
      <c r="AG940" s="18"/>
    </row>
    <row r="941" spans="21:33" ht="14" x14ac:dyDescent="0.2">
      <c r="U941" s="1"/>
      <c r="V941" s="22"/>
      <c r="X941" s="40"/>
      <c r="Y941" s="14"/>
      <c r="Z941" s="15"/>
      <c r="AA941" s="13"/>
      <c r="AC941" s="3"/>
      <c r="AD941" s="17"/>
      <c r="AF941" s="7"/>
      <c r="AG941" s="18"/>
    </row>
    <row r="942" spans="21:33" ht="14" x14ac:dyDescent="0.2">
      <c r="U942" s="1"/>
      <c r="V942" s="22"/>
      <c r="X942" s="40"/>
      <c r="Y942" s="14"/>
      <c r="Z942" s="15"/>
      <c r="AA942" s="13"/>
      <c r="AC942" s="3"/>
      <c r="AD942" s="17"/>
      <c r="AF942" s="7"/>
      <c r="AG942" s="18"/>
    </row>
    <row r="943" spans="21:33" ht="14" x14ac:dyDescent="0.2">
      <c r="U943" s="1"/>
      <c r="V943" s="22"/>
      <c r="X943" s="40"/>
      <c r="Y943" s="14"/>
      <c r="Z943" s="15"/>
      <c r="AA943" s="13"/>
      <c r="AC943" s="3"/>
      <c r="AD943" s="17"/>
      <c r="AF943" s="7"/>
      <c r="AG943" s="18"/>
    </row>
    <row r="944" spans="21:33" ht="14" x14ac:dyDescent="0.2">
      <c r="U944" s="1"/>
      <c r="V944" s="22"/>
      <c r="X944" s="40"/>
      <c r="Y944" s="14"/>
      <c r="Z944" s="15"/>
      <c r="AA944" s="13"/>
      <c r="AC944" s="3"/>
      <c r="AD944" s="17"/>
      <c r="AF944" s="7"/>
      <c r="AG944" s="18"/>
    </row>
    <row r="945" spans="21:33" ht="14" x14ac:dyDescent="0.2">
      <c r="U945" s="1"/>
      <c r="V945" s="22"/>
      <c r="X945" s="40"/>
      <c r="Y945" s="14"/>
      <c r="Z945" s="15"/>
      <c r="AA945" s="13"/>
      <c r="AC945" s="3"/>
      <c r="AD945" s="17"/>
      <c r="AF945" s="7"/>
      <c r="AG945" s="18"/>
    </row>
    <row r="946" spans="21:33" ht="14" x14ac:dyDescent="0.2">
      <c r="U946" s="1"/>
      <c r="V946" s="22"/>
      <c r="X946" s="40"/>
      <c r="Y946" s="14"/>
      <c r="Z946" s="15"/>
      <c r="AA946" s="13"/>
      <c r="AC946" s="3"/>
      <c r="AD946" s="17"/>
      <c r="AF946" s="7"/>
      <c r="AG946" s="18"/>
    </row>
    <row r="947" spans="21:33" ht="14" x14ac:dyDescent="0.2">
      <c r="U947" s="1"/>
      <c r="V947" s="22"/>
      <c r="X947" s="40"/>
      <c r="Y947" s="14"/>
      <c r="Z947" s="15"/>
      <c r="AA947" s="13"/>
      <c r="AC947" s="3"/>
      <c r="AD947" s="17"/>
      <c r="AF947" s="7"/>
      <c r="AG947" s="18"/>
    </row>
    <row r="948" spans="21:33" ht="14" x14ac:dyDescent="0.2">
      <c r="U948" s="1"/>
      <c r="V948" s="22"/>
      <c r="X948" s="40"/>
      <c r="Y948" s="14"/>
      <c r="Z948" s="15"/>
      <c r="AA948" s="13"/>
      <c r="AC948" s="3"/>
      <c r="AD948" s="17"/>
      <c r="AF948" s="7"/>
      <c r="AG948" s="18"/>
    </row>
    <row r="949" spans="21:33" ht="14" x14ac:dyDescent="0.2">
      <c r="U949" s="1"/>
      <c r="V949" s="22"/>
      <c r="X949" s="40"/>
      <c r="Y949" s="14"/>
      <c r="Z949" s="15"/>
      <c r="AA949" s="13"/>
      <c r="AC949" s="3"/>
      <c r="AD949" s="17"/>
      <c r="AF949" s="7"/>
      <c r="AG949" s="18"/>
    </row>
    <row r="950" spans="21:33" ht="14" x14ac:dyDescent="0.2">
      <c r="U950" s="1"/>
      <c r="V950" s="22"/>
      <c r="X950" s="40"/>
      <c r="Y950" s="14"/>
      <c r="Z950" s="15"/>
      <c r="AA950" s="13"/>
      <c r="AC950" s="3"/>
      <c r="AD950" s="17"/>
      <c r="AF950" s="7"/>
      <c r="AG950" s="18"/>
    </row>
    <row r="951" spans="21:33" ht="14" x14ac:dyDescent="0.2">
      <c r="U951" s="1"/>
      <c r="V951" s="22"/>
      <c r="X951" s="40"/>
      <c r="Y951" s="14"/>
      <c r="Z951" s="15"/>
      <c r="AA951" s="13"/>
      <c r="AC951" s="3"/>
      <c r="AD951" s="17"/>
      <c r="AF951" s="7"/>
      <c r="AG951" s="18"/>
    </row>
    <row r="952" spans="21:33" ht="14" x14ac:dyDescent="0.2">
      <c r="U952" s="1"/>
      <c r="V952" s="22"/>
      <c r="X952" s="40"/>
      <c r="Y952" s="14"/>
      <c r="Z952" s="15"/>
      <c r="AA952" s="13"/>
      <c r="AC952" s="3"/>
      <c r="AD952" s="17"/>
      <c r="AF952" s="7"/>
      <c r="AG952" s="18"/>
    </row>
    <row r="953" spans="21:33" ht="14" x14ac:dyDescent="0.2">
      <c r="U953" s="1"/>
      <c r="V953" s="22"/>
      <c r="X953" s="40"/>
      <c r="Y953" s="14"/>
      <c r="Z953" s="15"/>
      <c r="AA953" s="13"/>
      <c r="AC953" s="3"/>
      <c r="AD953" s="17"/>
      <c r="AF953" s="7"/>
      <c r="AG953" s="18"/>
    </row>
    <row r="954" spans="21:33" ht="14" x14ac:dyDescent="0.2">
      <c r="U954" s="1"/>
      <c r="V954" s="22"/>
      <c r="X954" s="40"/>
      <c r="Y954" s="14"/>
      <c r="Z954" s="15"/>
      <c r="AA954" s="13"/>
      <c r="AC954" s="3"/>
      <c r="AD954" s="17"/>
      <c r="AF954" s="7"/>
      <c r="AG954" s="18"/>
    </row>
    <row r="955" spans="21:33" ht="14" x14ac:dyDescent="0.2">
      <c r="U955" s="1"/>
      <c r="V955" s="22"/>
      <c r="X955" s="40"/>
      <c r="Y955" s="14"/>
      <c r="Z955" s="15"/>
      <c r="AA955" s="13"/>
      <c r="AC955" s="3"/>
      <c r="AD955" s="17"/>
      <c r="AF955" s="7"/>
      <c r="AG955" s="18"/>
    </row>
    <row r="956" spans="21:33" ht="14" x14ac:dyDescent="0.2">
      <c r="U956" s="1"/>
      <c r="V956" s="22"/>
      <c r="X956" s="40"/>
      <c r="Y956" s="14"/>
      <c r="Z956" s="15"/>
      <c r="AA956" s="13"/>
      <c r="AC956" s="3"/>
      <c r="AD956" s="17"/>
      <c r="AF956" s="7"/>
      <c r="AG956" s="18"/>
    </row>
    <row r="957" spans="21:33" ht="14" x14ac:dyDescent="0.2">
      <c r="U957" s="1"/>
      <c r="V957" s="22"/>
      <c r="X957" s="40"/>
      <c r="Y957" s="14"/>
      <c r="Z957" s="15"/>
      <c r="AA957" s="13"/>
      <c r="AC957" s="3"/>
      <c r="AD957" s="17"/>
      <c r="AF957" s="7"/>
      <c r="AG957" s="18"/>
    </row>
    <row r="958" spans="21:33" ht="14" x14ac:dyDescent="0.2">
      <c r="U958" s="1"/>
      <c r="V958" s="22"/>
      <c r="X958" s="40"/>
      <c r="Y958" s="14"/>
      <c r="Z958" s="15"/>
      <c r="AA958" s="13"/>
      <c r="AC958" s="3"/>
      <c r="AD958" s="17"/>
      <c r="AF958" s="7"/>
      <c r="AG958" s="18"/>
    </row>
    <row r="959" spans="21:33" ht="14" x14ac:dyDescent="0.2">
      <c r="U959" s="1"/>
      <c r="V959" s="22"/>
      <c r="X959" s="40"/>
      <c r="Y959" s="14"/>
      <c r="Z959" s="15"/>
      <c r="AA959" s="13"/>
      <c r="AC959" s="3"/>
      <c r="AD959" s="17"/>
      <c r="AF959" s="7"/>
      <c r="AG959" s="18"/>
    </row>
    <row r="960" spans="21:33" ht="14" x14ac:dyDescent="0.2">
      <c r="U960" s="1"/>
      <c r="V960" s="22"/>
      <c r="X960" s="40"/>
      <c r="Y960" s="14"/>
      <c r="Z960" s="15"/>
      <c r="AA960" s="13"/>
      <c r="AC960" s="3"/>
      <c r="AD960" s="17"/>
      <c r="AF960" s="7"/>
      <c r="AG960" s="18"/>
    </row>
    <row r="961" spans="21:33" ht="14" x14ac:dyDescent="0.2">
      <c r="U961" s="1"/>
      <c r="V961" s="22"/>
      <c r="X961" s="40"/>
      <c r="Y961" s="14"/>
      <c r="Z961" s="15"/>
      <c r="AA961" s="13"/>
      <c r="AC961" s="3"/>
      <c r="AD961" s="17"/>
      <c r="AF961" s="7"/>
      <c r="AG961" s="18"/>
    </row>
    <row r="962" spans="21:33" ht="14" x14ac:dyDescent="0.2">
      <c r="U962" s="1"/>
      <c r="V962" s="22"/>
      <c r="X962" s="40"/>
      <c r="Y962" s="14"/>
      <c r="Z962" s="15"/>
      <c r="AA962" s="13"/>
      <c r="AC962" s="3"/>
      <c r="AD962" s="17"/>
      <c r="AF962" s="7"/>
      <c r="AG962" s="18"/>
    </row>
    <row r="963" spans="21:33" ht="14" x14ac:dyDescent="0.2">
      <c r="U963" s="1"/>
      <c r="V963" s="22"/>
      <c r="X963" s="40"/>
      <c r="Y963" s="14"/>
      <c r="Z963" s="15"/>
      <c r="AA963" s="13"/>
      <c r="AC963" s="3"/>
      <c r="AD963" s="17"/>
      <c r="AF963" s="7"/>
      <c r="AG963" s="18"/>
    </row>
    <row r="964" spans="21:33" ht="14" x14ac:dyDescent="0.2">
      <c r="U964" s="1"/>
      <c r="V964" s="22"/>
      <c r="X964" s="40"/>
      <c r="Y964" s="14"/>
      <c r="Z964" s="15"/>
      <c r="AA964" s="13"/>
      <c r="AC964" s="3"/>
      <c r="AD964" s="17"/>
      <c r="AF964" s="7"/>
      <c r="AG964" s="18"/>
    </row>
    <row r="965" spans="21:33" ht="14" x14ac:dyDescent="0.2">
      <c r="U965" s="1"/>
      <c r="V965" s="22"/>
      <c r="X965" s="40"/>
      <c r="Y965" s="14"/>
      <c r="Z965" s="15"/>
      <c r="AA965" s="13"/>
      <c r="AC965" s="3"/>
      <c r="AD965" s="17"/>
      <c r="AF965" s="7"/>
      <c r="AG965" s="18"/>
    </row>
    <row r="966" spans="21:33" ht="14" x14ac:dyDescent="0.2">
      <c r="U966" s="1"/>
      <c r="V966" s="22"/>
      <c r="X966" s="40"/>
      <c r="Y966" s="14"/>
      <c r="Z966" s="15"/>
      <c r="AA966" s="13"/>
      <c r="AC966" s="3"/>
      <c r="AD966" s="17"/>
      <c r="AF966" s="7"/>
      <c r="AG966" s="18"/>
    </row>
    <row r="967" spans="21:33" ht="14" x14ac:dyDescent="0.2">
      <c r="U967" s="1"/>
      <c r="V967" s="22"/>
      <c r="X967" s="40"/>
      <c r="Y967" s="14"/>
      <c r="Z967" s="15"/>
      <c r="AA967" s="13"/>
      <c r="AC967" s="3"/>
      <c r="AD967" s="17"/>
      <c r="AF967" s="7"/>
      <c r="AG967" s="18"/>
    </row>
    <row r="968" spans="21:33" ht="14" x14ac:dyDescent="0.2">
      <c r="U968" s="1"/>
      <c r="V968" s="22"/>
      <c r="X968" s="40"/>
      <c r="Y968" s="14"/>
      <c r="Z968" s="15"/>
      <c r="AA968" s="13"/>
      <c r="AC968" s="3"/>
      <c r="AD968" s="17"/>
      <c r="AF968" s="7"/>
      <c r="AG968" s="18"/>
    </row>
    <row r="969" spans="21:33" ht="14" x14ac:dyDescent="0.2">
      <c r="U969" s="1"/>
      <c r="V969" s="22"/>
      <c r="X969" s="40"/>
      <c r="Y969" s="14"/>
      <c r="Z969" s="15"/>
      <c r="AA969" s="13"/>
      <c r="AC969" s="3"/>
      <c r="AD969" s="17"/>
      <c r="AF969" s="7"/>
      <c r="AG969" s="18"/>
    </row>
    <row r="970" spans="21:33" ht="14" x14ac:dyDescent="0.2">
      <c r="U970" s="1"/>
      <c r="V970" s="22"/>
      <c r="X970" s="40"/>
      <c r="Y970" s="14"/>
      <c r="Z970" s="15"/>
      <c r="AA970" s="13"/>
      <c r="AC970" s="3"/>
      <c r="AD970" s="17"/>
      <c r="AF970" s="7"/>
      <c r="AG970" s="18"/>
    </row>
    <row r="971" spans="21:33" ht="14" x14ac:dyDescent="0.2">
      <c r="U971" s="1"/>
      <c r="V971" s="22"/>
      <c r="X971" s="40"/>
      <c r="Y971" s="14"/>
      <c r="Z971" s="15"/>
      <c r="AA971" s="13"/>
      <c r="AC971" s="3"/>
      <c r="AD971" s="17"/>
      <c r="AF971" s="7"/>
      <c r="AG971" s="18"/>
    </row>
    <row r="972" spans="21:33" ht="14" x14ac:dyDescent="0.2">
      <c r="U972" s="1"/>
      <c r="V972" s="22"/>
      <c r="X972" s="40"/>
      <c r="Y972" s="14"/>
      <c r="Z972" s="15"/>
      <c r="AA972" s="13"/>
      <c r="AC972" s="3"/>
      <c r="AD972" s="17"/>
      <c r="AF972" s="7"/>
      <c r="AG972" s="18"/>
    </row>
    <row r="973" spans="21:33" ht="14" x14ac:dyDescent="0.2">
      <c r="U973" s="1"/>
      <c r="V973" s="22"/>
      <c r="X973" s="40"/>
      <c r="Y973" s="14"/>
      <c r="Z973" s="15"/>
      <c r="AA973" s="13"/>
      <c r="AC973" s="3"/>
      <c r="AD973" s="17"/>
      <c r="AF973" s="7"/>
      <c r="AG973" s="18"/>
    </row>
    <row r="974" spans="21:33" ht="14" x14ac:dyDescent="0.2">
      <c r="U974" s="1"/>
      <c r="V974" s="22"/>
      <c r="X974" s="40"/>
      <c r="Y974" s="14"/>
      <c r="Z974" s="15"/>
      <c r="AA974" s="13"/>
      <c r="AC974" s="3"/>
      <c r="AD974" s="17"/>
      <c r="AF974" s="7"/>
      <c r="AG974" s="18"/>
    </row>
    <row r="975" spans="21:33" ht="14" x14ac:dyDescent="0.2">
      <c r="U975" s="1"/>
      <c r="V975" s="22"/>
      <c r="X975" s="40"/>
      <c r="Y975" s="14"/>
      <c r="Z975" s="15"/>
      <c r="AA975" s="13"/>
      <c r="AC975" s="3"/>
      <c r="AD975" s="17"/>
      <c r="AF975" s="7"/>
      <c r="AG975" s="18"/>
    </row>
    <row r="976" spans="21:33" ht="14" x14ac:dyDescent="0.2">
      <c r="U976" s="1"/>
      <c r="V976" s="22"/>
      <c r="X976" s="40"/>
      <c r="Y976" s="14"/>
      <c r="Z976" s="15"/>
      <c r="AA976" s="13"/>
      <c r="AC976" s="3"/>
      <c r="AD976" s="17"/>
      <c r="AF976" s="7"/>
      <c r="AG976" s="18"/>
    </row>
    <row r="977" spans="21:33" ht="14" x14ac:dyDescent="0.2">
      <c r="U977" s="1"/>
      <c r="V977" s="22"/>
      <c r="X977" s="40"/>
      <c r="Y977" s="14"/>
      <c r="Z977" s="15"/>
      <c r="AA977" s="13"/>
      <c r="AC977" s="3"/>
      <c r="AD977" s="17"/>
      <c r="AF977" s="7"/>
      <c r="AG977" s="18"/>
    </row>
    <row r="978" spans="21:33" ht="14" x14ac:dyDescent="0.2">
      <c r="U978" s="1"/>
      <c r="V978" s="22"/>
      <c r="X978" s="40"/>
      <c r="Y978" s="14"/>
      <c r="Z978" s="15"/>
      <c r="AA978" s="13"/>
      <c r="AC978" s="3"/>
      <c r="AD978" s="17"/>
      <c r="AF978" s="7"/>
      <c r="AG978" s="18"/>
    </row>
    <row r="979" spans="21:33" ht="14" x14ac:dyDescent="0.2">
      <c r="U979" s="1"/>
      <c r="V979" s="22"/>
      <c r="X979" s="40"/>
      <c r="Y979" s="14"/>
      <c r="Z979" s="15"/>
      <c r="AA979" s="13"/>
      <c r="AC979" s="3"/>
      <c r="AD979" s="17"/>
      <c r="AF979" s="7"/>
      <c r="AG979" s="18"/>
    </row>
    <row r="980" spans="21:33" ht="14" x14ac:dyDescent="0.2">
      <c r="U980" s="1"/>
      <c r="V980" s="22"/>
      <c r="X980" s="40"/>
      <c r="Y980" s="14"/>
      <c r="Z980" s="15"/>
      <c r="AA980" s="13"/>
      <c r="AC980" s="3"/>
      <c r="AD980" s="17"/>
      <c r="AF980" s="7"/>
      <c r="AG980" s="18"/>
    </row>
    <row r="981" spans="21:33" ht="14" x14ac:dyDescent="0.2">
      <c r="U981" s="1"/>
      <c r="V981" s="22"/>
      <c r="X981" s="40"/>
      <c r="Y981" s="14"/>
      <c r="Z981" s="15"/>
      <c r="AA981" s="13"/>
      <c r="AC981" s="3"/>
      <c r="AD981" s="17"/>
      <c r="AF981" s="7"/>
      <c r="AG981" s="18"/>
    </row>
    <row r="982" spans="21:33" ht="14" x14ac:dyDescent="0.2">
      <c r="U982" s="1"/>
      <c r="V982" s="22"/>
      <c r="X982" s="40"/>
      <c r="Y982" s="14"/>
      <c r="Z982" s="15"/>
      <c r="AA982" s="13"/>
      <c r="AC982" s="3"/>
      <c r="AD982" s="17"/>
      <c r="AF982" s="7"/>
      <c r="AG982" s="18"/>
    </row>
    <row r="983" spans="21:33" ht="14" x14ac:dyDescent="0.2">
      <c r="U983" s="1"/>
      <c r="V983" s="22"/>
      <c r="X983" s="40"/>
      <c r="Y983" s="14"/>
      <c r="Z983" s="15"/>
      <c r="AA983" s="13"/>
      <c r="AC983" s="3"/>
      <c r="AD983" s="17"/>
      <c r="AF983" s="7"/>
      <c r="AG983" s="18"/>
    </row>
    <row r="984" spans="21:33" ht="14" x14ac:dyDescent="0.2">
      <c r="U984" s="1"/>
      <c r="V984" s="22"/>
      <c r="X984" s="40"/>
      <c r="Y984" s="14"/>
      <c r="Z984" s="15"/>
      <c r="AA984" s="13"/>
      <c r="AC984" s="3"/>
      <c r="AD984" s="17"/>
      <c r="AF984" s="7"/>
      <c r="AG984" s="18"/>
    </row>
    <row r="985" spans="21:33" ht="14" x14ac:dyDescent="0.2">
      <c r="U985" s="1"/>
      <c r="V985" s="22"/>
      <c r="X985" s="40"/>
      <c r="Y985" s="14"/>
      <c r="Z985" s="15"/>
      <c r="AA985" s="13"/>
      <c r="AC985" s="3"/>
      <c r="AD985" s="17"/>
      <c r="AF985" s="7"/>
      <c r="AG985" s="18"/>
    </row>
    <row r="986" spans="21:33" ht="14" x14ac:dyDescent="0.2">
      <c r="U986" s="1"/>
      <c r="V986" s="22"/>
      <c r="X986" s="40"/>
      <c r="Y986" s="14"/>
      <c r="Z986" s="15"/>
      <c r="AA986" s="13"/>
      <c r="AC986" s="3"/>
      <c r="AD986" s="17"/>
      <c r="AF986" s="7"/>
      <c r="AG986" s="18"/>
    </row>
    <row r="987" spans="21:33" ht="14" x14ac:dyDescent="0.2">
      <c r="U987" s="1"/>
      <c r="V987" s="22"/>
      <c r="X987" s="40"/>
      <c r="Y987" s="14"/>
      <c r="Z987" s="15"/>
      <c r="AA987" s="13"/>
      <c r="AC987" s="3"/>
      <c r="AD987" s="17"/>
      <c r="AF987" s="7"/>
      <c r="AG987" s="18"/>
    </row>
    <row r="988" spans="21:33" ht="14" x14ac:dyDescent="0.2">
      <c r="U988" s="1"/>
      <c r="V988" s="22"/>
      <c r="X988" s="40"/>
      <c r="Y988" s="14"/>
      <c r="Z988" s="15"/>
      <c r="AA988" s="13"/>
      <c r="AC988" s="3"/>
      <c r="AD988" s="17"/>
      <c r="AF988" s="7"/>
      <c r="AG988" s="18"/>
    </row>
    <row r="989" spans="21:33" ht="14" x14ac:dyDescent="0.2">
      <c r="U989" s="1"/>
      <c r="V989" s="22"/>
      <c r="X989" s="40"/>
      <c r="Y989" s="14"/>
      <c r="Z989" s="15"/>
      <c r="AA989" s="13"/>
      <c r="AC989" s="3"/>
      <c r="AD989" s="17"/>
      <c r="AF989" s="7"/>
      <c r="AG989" s="18"/>
    </row>
    <row r="990" spans="21:33" ht="14" x14ac:dyDescent="0.2">
      <c r="U990" s="1"/>
      <c r="V990" s="22"/>
      <c r="X990" s="40"/>
      <c r="Y990" s="14"/>
      <c r="Z990" s="15"/>
      <c r="AA990" s="13"/>
      <c r="AC990" s="3"/>
      <c r="AD990" s="17"/>
      <c r="AF990" s="7"/>
      <c r="AG990" s="18"/>
    </row>
  </sheetData>
  <autoFilter ref="A1:AG990" xr:uid="{89076661-1739-5B4B-9620-597CE8556C53}"/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632f1ef2-5477-4b54-8884-2c5c1c09a9a7}" enabled="1" method="Standard" siteId="{368f27ae-a213-45b4-9312-e6349b4f7cb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 Lin</dc:creator>
  <cp:keywords/>
  <dc:description/>
  <cp:lastModifiedBy>Len Lin</cp:lastModifiedBy>
  <cp:revision/>
  <dcterms:created xsi:type="dcterms:W3CDTF">2026-05-26T06:32:43Z</dcterms:created>
  <dcterms:modified xsi:type="dcterms:W3CDTF">2026-05-27T09:27:06Z</dcterms:modified>
  <cp:category/>
  <cp:contentStatus/>
</cp:coreProperties>
</file>