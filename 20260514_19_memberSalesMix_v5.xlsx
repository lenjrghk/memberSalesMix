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ABDDEF91-526C-2644-ACB0-D70A9DE17FA1}" xr6:coauthVersionLast="47" xr6:coauthVersionMax="47" xr10:uidLastSave="{00000000-0000-0000-0000-000000000000}"/>
  <bookViews>
    <workbookView xWindow="0" yWindow="660" windowWidth="30240" windowHeight="17300" xr2:uid="{63A21131-3F06-1942-BC00-E32921F037C9}"/>
  </bookViews>
  <sheets>
    <sheet name="v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">#REF!</definedName>
    <definedName name="_________________TPH12">[1]TTL!#REF!</definedName>
    <definedName name="_________________TPH13">[1]TTL!#REF!</definedName>
    <definedName name="_________________TPH14">[1]TTL!#REF!</definedName>
    <definedName name="_________________TPH15">[1]TTL!#REF!</definedName>
    <definedName name="_________________TPH16">[1]TTL!#REF!</definedName>
    <definedName name="_________________TPH17">[1]TTL!#REF!</definedName>
    <definedName name="________________TPH12">[2]RSC_Sum!#REF!</definedName>
    <definedName name="________________TPH13">[2]RSC_Sum!#REF!</definedName>
    <definedName name="________________TPH14">[2]RSC_Sum!#REF!</definedName>
    <definedName name="________________TPH15">[2]RSC_Sum!#REF!</definedName>
    <definedName name="________________TPH16">[2]RSC_Sum!#REF!</definedName>
    <definedName name="________________TPH17">[2]RSC_Sum!#REF!</definedName>
    <definedName name="_______________TPH12">[2]RSC_Sum!#REF!</definedName>
    <definedName name="_______________TPH13">[2]RSC_Sum!#REF!</definedName>
    <definedName name="_______________TPH14">[2]RSC_Sum!#REF!</definedName>
    <definedName name="_______________TPH15">[2]RSC_Sum!#REF!</definedName>
    <definedName name="_______________TPH16">[2]RSC_Sum!#REF!</definedName>
    <definedName name="_______________TPH17">[2]RSC_Sum!#REF!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>[2]RSC_Sum!#REF!</definedName>
    <definedName name="___________TPH13">[2]RSC_Sum!#REF!</definedName>
    <definedName name="___________TPH14">[2]RSC_Sum!#REF!</definedName>
    <definedName name="___________TPH15">[2]RSC_Sum!#REF!</definedName>
    <definedName name="___________TPH16">[2]RSC_Sum!#REF!</definedName>
    <definedName name="___________TPH17">[2]RSC_Sum!#REF!</definedName>
    <definedName name="___________TPH21">#REF!</definedName>
    <definedName name="__________PL94">#REF!</definedName>
    <definedName name="__________TPH12">[2]RSC_Sum!#REF!</definedName>
    <definedName name="__________TPH13">[2]RSC_Sum!#REF!</definedName>
    <definedName name="__________TPH14">[2]RSC_Sum!#REF!</definedName>
    <definedName name="__________TPH15">[2]RSC_Sum!#REF!</definedName>
    <definedName name="__________TPH16">[2]RSC_Sum!#REF!</definedName>
    <definedName name="__________TPH17">[2]RSC_Sum!#REF!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[3]TTL!#REF!</definedName>
    <definedName name="_________TPH13">[3]TTL!#REF!</definedName>
    <definedName name="_________TPH14">[3]TTL!#REF!</definedName>
    <definedName name="_________TPH15">[3]TTL!#REF!</definedName>
    <definedName name="_________TPH16">[3]TTL!#REF!</definedName>
    <definedName name="_________TPH17">[3]TTL!#REF!</definedName>
    <definedName name="_________TPH21">#REF!</definedName>
    <definedName name="_________vip200">'[4]STORE CODE'!#REF!</definedName>
    <definedName name="_________vip500">'[4]STORE CODE'!#REF!</definedName>
    <definedName name="_________YH7">#N/A</definedName>
    <definedName name="________M110374">#REF!</definedName>
    <definedName name="________P12">[5]!Sheet2</definedName>
    <definedName name="________PL94">#REF!</definedName>
    <definedName name="________TPH12">[2]RSC_Sum!#REF!</definedName>
    <definedName name="________TPH13">[2]RSC_Sum!#REF!</definedName>
    <definedName name="________TPH14">[2]RSC_Sum!#REF!</definedName>
    <definedName name="________TPH15">[2]RSC_Sum!#REF!</definedName>
    <definedName name="________TPH16">[2]RSC_Sum!#REF!</definedName>
    <definedName name="________TPH17">[2]RSC_Sum!#REF!</definedName>
    <definedName name="________TPH21">#REF!</definedName>
    <definedName name="________vip200">'[6]STORE CODE'!#REF!</definedName>
    <definedName name="________vip500">'[6]STORE CODE'!#REF!</definedName>
    <definedName name="_______KH7">#N/A</definedName>
    <definedName name="_______NH7">#N/A</definedName>
    <definedName name="_______PL94">#REF!</definedName>
    <definedName name="_______TPH12">[2]RSC_Sum!#REF!</definedName>
    <definedName name="_______TPH13">[2]RSC_Sum!#REF!</definedName>
    <definedName name="_______TPH14">[2]RSC_Sum!#REF!</definedName>
    <definedName name="_______TPH15">[2]RSC_Sum!#REF!</definedName>
    <definedName name="_______TPH16">[2]RSC_Sum!#REF!</definedName>
    <definedName name="_______TPH17">[2]RSC_Sum!#REF!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>[5]!Sheet2</definedName>
    <definedName name="______PL94">#REF!</definedName>
    <definedName name="______TPH12">[2]RSC_Sum!#REF!</definedName>
    <definedName name="______TPH13">[2]RSC_Sum!#REF!</definedName>
    <definedName name="______TPH14">[2]RSC_Sum!#REF!</definedName>
    <definedName name="______TPH15">[2]RSC_Sum!#REF!</definedName>
    <definedName name="______TPH16">[2]RSC_Sum!#REF!</definedName>
    <definedName name="______TPH17">[2]RSC_Sum!#REF!</definedName>
    <definedName name="______TPH21">#REF!</definedName>
    <definedName name="______vip200">'[6]STORE CODE'!#REF!</definedName>
    <definedName name="______vip500">'[6]STORE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>[5]!Sheet2</definedName>
    <definedName name="_____PL94">#REF!</definedName>
    <definedName name="_____TPH12">[1]TTL!#REF!</definedName>
    <definedName name="_____TPH13">[1]TTL!#REF!</definedName>
    <definedName name="_____TPH14">[1]TTL!#REF!</definedName>
    <definedName name="_____TPH15">[1]TTL!#REF!</definedName>
    <definedName name="_____TPH16">[1]TTL!#REF!</definedName>
    <definedName name="_____TPH17">[1]TTL!#REF!</definedName>
    <definedName name="_____TPH21">#REF!</definedName>
    <definedName name="_____vip200">'[6]STORE CODE'!#REF!</definedName>
    <definedName name="_____vip500">'[6]STORE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>[5]!Sheet2</definedName>
    <definedName name="____PL94">#REF!</definedName>
    <definedName name="____ST1">#REF!</definedName>
    <definedName name="____TPH12">[1]TTL!#REF!</definedName>
    <definedName name="____TPH13">[1]TTL!#REF!</definedName>
    <definedName name="____TPH14">[1]TTL!#REF!</definedName>
    <definedName name="____TPH15">[1]TTL!#REF!</definedName>
    <definedName name="____TPH16">[1]TTL!#REF!</definedName>
    <definedName name="____TPH17">[1]TTL!#REF!</definedName>
    <definedName name="____TPH21">#REF!</definedName>
    <definedName name="____vip200">'[7]STORE CODE'!#REF!</definedName>
    <definedName name="____vip500">'[7]STORE CODE'!#REF!</definedName>
    <definedName name="____YH7">#N/A</definedName>
    <definedName name="___2P12_">[5]!Sheet2</definedName>
    <definedName name="___C99999">#REF!</definedName>
    <definedName name="___KH7">#N/A</definedName>
    <definedName name="___M110374">#REF!</definedName>
    <definedName name="___NH7">#N/A</definedName>
    <definedName name="___P12">[5]!Sheet2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'[6]STORE CODE'!#REF!</definedName>
    <definedName name="___vip500">'[6]STORE CODE'!#REF!</definedName>
    <definedName name="___YH7">#N/A</definedName>
    <definedName name="__123Graph_BHOBKEN4H" hidden="1">[8]Comps!#REF!</definedName>
    <definedName name="__123Graph_BHOBOKEN" hidden="1">[8]Comps!#REF!</definedName>
    <definedName name="__2P12_">[5]!Sheet2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>[5]!Sheet2</definedName>
    <definedName name="__PL94">"'file:///C:/PIZZAHUT.TWN/FAD_DEPT/investment/Post%20tracking_new/COO/DX%20Post%20Tracking.xls'#$''.$B$8:$BA$85"</definedName>
    <definedName name="__ST1">#REF!</definedName>
    <definedName name="__TPH12">[9]TTL!#REF!</definedName>
    <definedName name="__TPH13">[9]TTL!#REF!</definedName>
    <definedName name="__TPH14">[9]TTL!#REF!</definedName>
    <definedName name="__TPH15">[9]TTL!#REF!</definedName>
    <definedName name="__TPH16">[9]TTL!#REF!</definedName>
    <definedName name="__TPH17">[9]TTL!#REF!</definedName>
    <definedName name="__TPH21">"'file:///C:/PIZZAHUT.TWN/FAD_DEPT/investment/Post%20tracking_new/COO/DX%20Post%20Tracking.xls'#$''.$A$505:$A$575"</definedName>
    <definedName name="__vip200">'[10]STORE CODE'!#REF!</definedName>
    <definedName name="__vip500">'[10]STORE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'[11]00DATES'!$D$65:$D$76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'[11]00DATES'!$E$65:$E$76</definedName>
    <definedName name="_100D">#REF!</definedName>
    <definedName name="_101D">#REF!</definedName>
    <definedName name="_102D">#REF!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>[5]!Sheet2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>[5]!Sheet2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'[11]00DATES'!$F$8:$F$19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>[5]!Sheet2</definedName>
    <definedName name="_2wrn.²Ä1­Ó¤ë1_Ü20¤H." hidden="1">{#N/A,#N/A,FALSE,"²Ä1­Ó¤ë"}</definedName>
    <definedName name="_3__123Graph_BO_S_GAS" hidden="1">'[11]00DATES'!$F$39:$F$50</definedName>
    <definedName name="_3.">#REF!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>[5]!Sheet2</definedName>
    <definedName name="_4__123Graph_BT_OVER" hidden="1">'[11]00DATES'!$F$65:$F$76</definedName>
    <definedName name="_41621">#N/A</definedName>
    <definedName name="_5__123Graph_C__LTR" hidden="1">'[11]00DATES'!$G$8:$G$19</definedName>
    <definedName name="_5P12_">[5]!Sheet2</definedName>
    <definedName name="_6__123Graph_CO_S_GAS" hidden="1">'[11]00DATES'!$G$39:$G$50</definedName>
    <definedName name="_7__123Graph_CT_OVER" hidden="1">'[11]00DATES'!$G$65:$G$76</definedName>
    <definedName name="_7P12_">[5]!Sheet2</definedName>
    <definedName name="_8__123Graph_D__LTR" hidden="1">'[11]00DATES'!$E$8:$E$19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'[11]00DATES'!$E$39:$E$50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>[2]RSC_Sum!#REF!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>[2]RSC_Sum!#REF!</definedName>
    <definedName name="_98_3">"'file://PHT/MAIN/PIZZAHUT.TWN/FAD_DEPT/03budget/P&amp;L/2002LF-P&amp;L(Jun).xls'#$TTL.$BX$76:$EH$138"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0" hidden="1">'v1'!$A$2:$Q$991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>[5]!Sheet2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>[2]RSC_Sum!#REF!</definedName>
    <definedName name="_TPH13">[2]RSC_Sum!#REF!</definedName>
    <definedName name="_TPH14">[2]RSC_Sum!#REF!</definedName>
    <definedName name="_TPH15">[2]RSC_Sum!#REF!</definedName>
    <definedName name="_TPH16">[2]RSC_Sum!#REF!</definedName>
    <definedName name="_TPH17">[2]RSC_Sum!#REF!</definedName>
    <definedName name="_TPH21">#REF!</definedName>
    <definedName name="_vip200">'[12]STORE CODE'!#REF!</definedName>
    <definedName name="_vip500">'[12]STORE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>[13]!Sheet2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hidden="1">{"Back Page",#N/A,FALSE,"Front and Back"}</definedName>
    <definedName name="aaf" hidden="1">{"P and L Detail Page 1",#N/A,FALSE,"Data";"P and L Detail Page 2",#N/A,FALSE,"Data"}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B">#N/A</definedName>
    <definedName name="ABC">[14]APP!$B$1:$AV$247</definedName>
    <definedName name="AC">#REF!</definedName>
    <definedName name="Accounting___Sup._Fees">#REF!</definedName>
    <definedName name="ACHIEVE_Q">#N/A</definedName>
    <definedName name="ACT_COL">[15]HIGHLIGHTS_ACT!$S$3</definedName>
    <definedName name="ACTP5">[0]!Sheet2</definedName>
    <definedName name="ACTP5_1">#N/A</definedName>
    <definedName name="ACTP5_2">#N/A</definedName>
    <definedName name="ACTP5_3">#N/A</definedName>
    <definedName name="Actual">[16]Actual!$A$13:$G$95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>[2]RSC_Sum!#REF!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>[0]!Sheet2</definedName>
    <definedName name="asd_1">#N/A</definedName>
    <definedName name="asd_3">#N/A</definedName>
    <definedName name="Asset_Type">[17]Listings!$A$5:$A$11</definedName>
    <definedName name="assum_store">#REF!</definedName>
    <definedName name="Audit_cost">[18]General_assumptions!$F$38</definedName>
    <definedName name="AUG">#REF!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[15]HIGHLIGHTS_BGT!$S$3</definedName>
    <definedName name="BGT_M">[19]HIGHLIGHTS_BGT!$A$5:$Q$56</definedName>
    <definedName name="BGT_M_JRG">[19]HIGHLIGHTS_BGT!#REF!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[19]HIGHLIGHTS_BGT!#REF!</definedName>
    <definedName name="BM6_">#N/A</definedName>
    <definedName name="BM7_">#N/A</definedName>
    <definedName name="BORDER_BS">#REF!</definedName>
    <definedName name="Brand">[20]Sheet3!$F$3:$F$8</definedName>
    <definedName name="Branding_costs">[18]General_assumptions!$F$35</definedName>
    <definedName name="Brands">[21]Sheet3!$F$3:$F$5</definedName>
    <definedName name="BS">[2]RSC_Sum!#REF!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[22]廠商編號!$A$1:$C$118</definedName>
    <definedName name="Commissary_Profit">#REF!</definedName>
    <definedName name="CompTable">[23]CompTable!$B$5:$BQ$119</definedName>
    <definedName name="Controllable_Profit">#REF!</definedName>
    <definedName name="COqty">'[24]5 COS cal'!$K$2:$K$8473</definedName>
    <definedName name="Corporate_Overhead">#REF!</definedName>
    <definedName name="CORP預算說明">#REF!</definedName>
    <definedName name="COS">#REF!</definedName>
    <definedName name="Countries">[20]Sheet3!$D$3:$D$22</definedName>
    <definedName name="Country">[20]Sheet3!$D$3:$D$22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[25]BUD_BalSheet_JMG!$A$1</definedName>
    <definedName name="csBUD09_BalSheet_Group_Dim07">"="</definedName>
    <definedName name="csBUD09_BalSheet_Group_Dim08">[25]BUD_BalSheet_JMG!$A$2</definedName>
    <definedName name="csBUD09_BalSheet_Group_Dim09">"="</definedName>
    <definedName name="csBUD09_BalSheet_Group_Dim10">"="</definedName>
    <definedName name="csBUD09_BalSheet_GroupAnchor">[25]BUD_BalSheet_JMG!$A$4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[25]BUD_Capex_JMG!$A$1</definedName>
    <definedName name="csBUD09_Capex_JMG_Dim06">[25]BUD_Capex_JMG!$A$2</definedName>
    <definedName name="csBUD09_Capex_JMG_Dim07">[25]BUD_Capex_JMG!$A$3</definedName>
    <definedName name="csBUD09_Capex_JMG_Dim08">[25]BUD_Capex_JMG!$A$4</definedName>
    <definedName name="csBUD09_Capex_JMG_Dim09">[25]BUD_Capex_JMG!$A$5</definedName>
    <definedName name="csBUD09_Capex_JMG_Dim10">[25]BUD_Capex_JMG!$A$6</definedName>
    <definedName name="csBUD09_Capex_JMGAnchor">[25]BUD_Capex_JMG!$A$8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[25]BUD09_Cont!$A$1</definedName>
    <definedName name="csBUD09_Contribution_Dim06">[25]BUD09_Cont!$A$2</definedName>
    <definedName name="csBUD09_Contribution_Dim07">[25]BUD09_Cont!$A$3</definedName>
    <definedName name="csBUD09_Contribution_Dim08">[25]BUD09_Cont!$A$4</definedName>
    <definedName name="csBUD09_Contribution_Dim09">[25]BUD09_Cont!$A$5</definedName>
    <definedName name="csBUD09_Contribution_Dim10">[25]BUD09_Cont!$A$6</definedName>
    <definedName name="csBUD09_ContributionAnchor">[25]BUD09_Cont!$A$8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[25]Sheet1!$A$1</definedName>
    <definedName name="csBud09_Interest_Dim08">[25]Sheet1!$A$2</definedName>
    <definedName name="csBud09_Interest_Dim09">[25]Sheet1!$A$3</definedName>
    <definedName name="csBud09_Interest_Dim10">[25]Sheet1!$A$4</definedName>
    <definedName name="csBud09_InterestAnchor">[25]Sheet1!$A$6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[25]BUD_OpPL_JMR!$A$1</definedName>
    <definedName name="csBUD09_OpPL_Group1_Dim08">"="</definedName>
    <definedName name="csBUD09_OpPL_Group1_Dim09">[25]BUD_OpPL_JMR!$A$2</definedName>
    <definedName name="csBUD09_OpPL_Group1_Dim10">[25]BUD_OpPL_JMR!$A$3</definedName>
    <definedName name="csBUD09_OpPL_Group1Anchor">[25]BUD_OpPL_JMR!$A$5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[25]BUD_OpPL_JMG!$A$1</definedName>
    <definedName name="csBUD09_OpPL_JMG_Dim08">"="</definedName>
    <definedName name="csBUD09_OpPL_JMG_Dim09">[25]BUD_OpPL_JMG!$A$2</definedName>
    <definedName name="csBUD09_OpPL_JMG_Dim10">[25]BUD_OpPL_JMG!$A$3</definedName>
    <definedName name="csBUD09_OpPL_JMGAnchor">[25]BUD_OpPL_JMG!$A$5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[25]BUD09_PBTDshp!$A$1</definedName>
    <definedName name="csBUD09_PBTDship_Dim06">[25]BUD09_PBTDshp!$A$2</definedName>
    <definedName name="csBUD09_PBTDship_Dim07">[25]BUD09_PBTDshp!$A$3</definedName>
    <definedName name="csBUD09_PBTDship_Dim08">[25]BUD09_PBTDshp!$A$4</definedName>
    <definedName name="csBUD09_PBTDship_Dim09">[25]BUD09_PBTDshp!$A$5</definedName>
    <definedName name="csBUD09_PBTDship_Dim10">[25]BUD09_PBTDshp!$A$6</definedName>
    <definedName name="csBUD09_PBTDshipAnchor">[25]BUD09_PBTDshp!$A$8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>[26]INPUT!$R$7:$AD$42</definedName>
    <definedName name="Cur_Bgt_P">[26]INPUT!$R$123:$AD$168</definedName>
    <definedName name="CurrentP3Y">#REF!</definedName>
    <definedName name="CY_ACT_M">[19]HIGHLIGHTS_ACT!$A$5:$Q$57</definedName>
    <definedName name="CY_ACT_M_JRG">[19]HIGHLIGHTS_ACT!#REF!</definedName>
    <definedName name="CY_ACT_Y_JRG">[19]HIGHLIGHTS_ACT!#REF!</definedName>
    <definedName name="D">#REF!</definedName>
    <definedName name="D_3">"'file:///A:/CASH%20FLOW.xls'#$''.$G$7:$BE$57"</definedName>
    <definedName name="D_Ooneoff_cost">[18]General_assumptions!$F$43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[27]Journal!#REF!</definedName>
    <definedName name="DATE">[20]Sheet3!$B$3:$B$733</definedName>
    <definedName name="Date1">[28]Sheet3!$B$3:$B$1158</definedName>
    <definedName name="DATE2">[20]Sheet3!#REF!</definedName>
    <definedName name="Dates">[20]Sheet3!$B$34:$B$367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[29]Channel!$C$6:$R$11</definedName>
    <definedName name="DELqty">'[24]5 COS cal'!$L$2:$L$8473</definedName>
    <definedName name="Depreciation">#REF!</definedName>
    <definedName name="DepreEnd3Y">#REF!</definedName>
    <definedName name="deprep3Y">#REF!</definedName>
    <definedName name="Designer">[30]下拉選點!$D$2:$D$4</definedName>
    <definedName name="Develop">#REF!</definedName>
    <definedName name="df">[5]!Sheet2</definedName>
    <definedName name="dfdf">[31]TTL!#REF!</definedName>
    <definedName name="DineIn_Sales">[29]Channel!$C$13:$R$18</definedName>
    <definedName name="Disclaimer" hidden="1">{"Geographic P1",#N/A,FALSE,"Division &amp; Geog"}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[32]Date!$C$3</definedName>
    <definedName name="DS">#REF!</definedName>
    <definedName name="DS_1">#REF!</definedName>
    <definedName name="Dshp">#REF!</definedName>
    <definedName name="dss" hidden="1">{"P and L Detail Page 1",#N/A,FALSE,"Data";"P and L Detail Page 2",#N/A,FALSE,"Data"}</definedName>
    <definedName name="E_List_Cur_Act">[26]INPUT!$A$7:$A$53</definedName>
    <definedName name="E_List_Cur_Bgt">[26]INPUT!$A$123:$A$168</definedName>
    <definedName name="EBITDA_Bridge">#REF!</definedName>
    <definedName name="END">#REF!</definedName>
    <definedName name="END.XLS">#REF!</definedName>
    <definedName name="Eqp">'[33]rental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[27]Journal!#REF!</definedName>
    <definedName name="Excel_BuiltIn_Print_Area">"'file://PHT/MAIN/PIZZAHUT.TWN/FAD_DEPT/03budget/P&amp;L/2002LF-P&amp;L-0802.xls'#$''.$HG$215:$IU$255"</definedName>
    <definedName name="F">#REF!</definedName>
    <definedName name="FCT_COL">[15]HIGHLIGHTS_FCAST!$S$3</definedName>
    <definedName name="FCT_M">[15]HIGHLIGHTS_FCAST!$D$5:$S$51</definedName>
    <definedName name="FCT_M_JRG">[19]HIGHLIGHTS_FCAST!#REF!</definedName>
    <definedName name="FCT_Y">[15]HIGHLIGHTS_FCAST!$D$55:$S$101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[34]Forecasts_VDF!#REF!</definedName>
    <definedName name="FDP_281_1_aSrv" hidden="1">[34]Forecasts_VDF!#REF!</definedName>
    <definedName name="FDP_282_1_aSrv" hidden="1">[34]Forecasts_VDF!#REF!</definedName>
    <definedName name="FDP_283_1_aSrv" hidden="1">[34]Forecasts_VDF!#REF!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[35]Date!$C$3</definedName>
    <definedName name="fnateam">[35]Date!$C$3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'[36]Summary (US$)'!#REF!</definedName>
    <definedName name="fyCoverDate">#REF!</definedName>
    <definedName name="GC">[0]!Sheet2</definedName>
    <definedName name="GC_1">#N/A</definedName>
    <definedName name="GC_3">#N/A</definedName>
    <definedName name="h">[5]!Sheet2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[37]Assumption!$D$1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>[2]RSC_Sum!#REF!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[19]HIGHLIGHTS_BGT!#REF!</definedName>
    <definedName name="JRG_Y">[19]HIGHLIGHTS_BGT!#REF!</definedName>
    <definedName name="jul">#REF!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[38]Assumptions!$B$22</definedName>
    <definedName name="k.FX_NTD.USD">'[39]slides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'[33]rental &amp; capax'!$A$28:$I$30</definedName>
    <definedName name="LJ">[40]!Sheet2</definedName>
    <definedName name="ll">[5]!Sheet2</definedName>
    <definedName name="LPcombocost">#REF!</definedName>
    <definedName name="LY">#REF!</definedName>
    <definedName name="LY_ACT_M">[15]HIGHLIGHTS_ACT!$D$109:$S$157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[15]HIGHLIGHTS_ACT!$D$161:$S$209</definedName>
    <definedName name="m">#REF!</definedName>
    <definedName name="M_CA_FILE">#REF!</definedName>
    <definedName name="M_CA_Range">#REF!</definedName>
    <definedName name="M_DIR">[41]Menu!$D$5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>[2]RSC_Sum!#REF!</definedName>
    <definedName name="MERGE_3">"'file://PHT/MAIN/PIZZAHUT.TWN/FAD_DEPT/03budget/P&amp;L/2002LF-P&amp;L(Jun).xls'#$TTL.$A$1:$H$8"</definedName>
    <definedName name="MERGE_BS">[2]RSC_Sum!#REF!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[19]Index!$B$1</definedName>
    <definedName name="MthYr">'[42]Input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>[2]RSC_Sum!#REF!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>'[24]5 COS cal'!$C$2:$C$8473</definedName>
    <definedName name="Performance_Incentive">#REF!</definedName>
    <definedName name="Period">[43]Date!$C$5</definedName>
    <definedName name="Period_COL">#REF!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>[2]RSC_Sum!#REF!</definedName>
    <definedName name="PL_3">"'file://PHT/MAIN/PIZZAHUT.TWN/FAD_DEPT/03budget/P&amp;L/2002LF-P&amp;L(Jun).xls'#$TTL.$H$8:$BE$57"</definedName>
    <definedName name="PL_93">[2]RSC_Sum!#REF!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[30]下拉選點!$C$2:$C$5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>[5]!Sheet2</definedName>
    <definedName name="P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>'[24]Price index'!$C$4:$AF$88</definedName>
    <definedName name="print_are">[44]Units!$A$1:$F$23</definedName>
    <definedName name="_xlnm.Print_Area">#REF!</definedName>
    <definedName name="PRINT_AREA_MI">#REF!</definedName>
    <definedName name="Print_Area_MI_1">[27]Journal!#REF!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[20]Sheet3!$N$3:$N$9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'[36]Financial Highlight'!$B$70</definedName>
    <definedName name="RDEFI">"$#REF!.$A$1:$I$13326"</definedName>
    <definedName name="Recruitment">#REF!</definedName>
    <definedName name="ReloDate">[20]Sheet3!#REF!</definedName>
    <definedName name="RemodelType">[20]Sheet3!$H$3:$H$4</definedName>
    <definedName name="Rent">[29]Rental!$B$6:$P$136</definedName>
    <definedName name="Rental___Bld._Mgt_Charges">#REF!</definedName>
    <definedName name="Repair___Maintenance">#REF!</definedName>
    <definedName name="Restructure_cost">[18]General_assumptions!$F$40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>[45]店長!$A$2:$B$60</definedName>
    <definedName name="rtest">"FileList_Parameter!$A$1:$A$4"</definedName>
    <definedName name="s">#REF!</definedName>
    <definedName name="S._Twister_Wave_I__10_8_11_4___4_wks">'[46]BYA 08_Plan C'!#REF!</definedName>
    <definedName name="sa">#REF!</definedName>
    <definedName name="Safety_cost">[18]General_assumptions!$F$39</definedName>
    <definedName name="SALES">#REF!</definedName>
    <definedName name="SALES_BORDER">#REF!</definedName>
    <definedName name="sales_budget">#REF!</definedName>
    <definedName name="Sales_Result">'[47]業績推估(Delco)'!$B$2:$GZ$39</definedName>
    <definedName name="Sales_Result1">'[47]業績推估 (COO)'!$B$2:$HB$39</definedName>
    <definedName name="SALES_TOTAL">#REF!</definedName>
    <definedName name="salesindex_base">'[24]4 Sales data'!$AE$11:$AE$12</definedName>
    <definedName name="SAP">[40]!Sheet2</definedName>
    <definedName name="sc">#REF!,#REF!,#REF!,#REF!,#REF!,#REF!,#REF!,#REF!,#REF!,#REF!</definedName>
    <definedName name="seat">[33]Assumption!$C$125</definedName>
    <definedName name="Secured?">[20]Sheet3!$F$16:$F$17</definedName>
    <definedName name="sencount" hidden="1">1</definedName>
    <definedName name="SEP">#REF!</definedName>
    <definedName name="Service_Type">[48]Sheet3!$J$3:$J$8</definedName>
    <definedName name="ServiceType">[20]Sheet3!$J$3:$J$7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[35]Date!$C$8</definedName>
    <definedName name="Status2">[32]Date!$C$10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[29]STWK!$C$5:$Q$10</definedName>
    <definedName name="Sundries">#REF!</definedName>
    <definedName name="Svc_Type">[17]Listings!$B$5:$B$11</definedName>
    <definedName name="Swap_cost">[18]General_assumptions!$F$37</definedName>
    <definedName name="TA">'[49]Rent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[29]Channel!$C$27:$R$32</definedName>
    <definedName name="TAX">#REF!</definedName>
    <definedName name="Tax_cost">[18]General_assumptions!$F$45</definedName>
    <definedName name="TC">[5]!Sheet2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[50]General_assumptions!$F$15</definedName>
    <definedName name="TEST0">#REF!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[18]General_assumptions!$F$33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[29]Channel!$C$45:$Q$50</definedName>
    <definedName name="TTL_TC">[29]Channel!$C$38:$Q$43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[51]Sheet3!$N$3:$N$6</definedName>
    <definedName name="u">#REF!,#REF!,#REF!</definedName>
    <definedName name="unit">#REF!</definedName>
    <definedName name="unit15">[52]ref!$B$3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hidden="1">{#N/A,#N/A,FALSE,"EXP97"}</definedName>
    <definedName name="WPSA">#REF!</definedName>
    <definedName name="wrn.abc." hidden="1">{#N/A,#N/A,FALSE,"Bezirk SW";#N/A,#N/A,FALSE,"Dir S (GK)";#N/A,#N/A,FALSE,"Dir FR (PK)"}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hidden="1">{#N/A,#N/A,FALSE,"Sheet1"}</definedName>
    <definedName name="wrn.Auto._.Comp2." hidden="1">{#N/A,#N/A,FALSE,"Sheet1"}</definedName>
    <definedName name="wrn.Back._.Page." hidden="1">{"Back Page",#N/A,FALSE,"Front and Back"}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hidden="1">{"P and L Detail Page 1",#N/A,FALSE,"Data";"P and L Detail Page 2",#N/A,FALSE,"Data"}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{#N/A,#N/A,FALSE,"Cover";"outputs total",#N/A,FALSE,"Outputs"}</definedName>
    <definedName name="wrn.Full._.Model." hidden="1">{#N/A,#N/A,TRUE,"Cover Sheet ";#N/A,#N/A,TRUE,"INPUTS";#N/A,#N/A,TRUE,"OUTPUTS"}</definedName>
    <definedName name="wrn.Geographic._.Trends." hidden="1">{"Geographic P1",#N/A,FALSE,"Division &amp; Geog"}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{#N/A,#N/A,FALSE,"Trading-Mult ";#N/A,#N/A,FALSE,"Trading-Cap";#N/A,#N/A,FALSE,"Trading-Inc";#N/A,#N/A,FALSE,"Cash Flow";#N/A,#N/A,FALSE,"M&amp;A info"}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uns." hidden="1">{"ratios",#N/A,FALSE,"Key Ratios";#N/A,#N/A,FALSE,"Annual Data";#N/A,#N/A,FALSE,"Balance Sheet"}</definedName>
    <definedName name="wrn.print._.summary._.sheets." hidden="1">{"summary1",#N/A,TRUE,"Comps";"summary2",#N/A,TRUE,"Comps";"summary3",#N/A,TRUE,"Comps"}</definedName>
    <definedName name="wrn.PrintCap." hidden="1">{"page1",#N/A,FALSE,"Capital";"page2",#N/A,FALSE,"Capital";"page3",#N/A,FALSE,"Capital"}</definedName>
    <definedName name="wrn.Printout2." hidden="1">{"Linkages",#N/A,FALSE,"Linkages";"Busplan",#N/A,FALSE,"Linkages";"traffic",#N/A,FALSE,"Linkages";"Finassum",#N/A,FALSE,"Linkages"}</definedName>
    <definedName name="wrn.SB_PRES." hidden="1">{#N/A,#N/A,TRUE,"Sheet16"}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hidden="1">{#N/A,#N/A,FALSE,"EXP97"}</definedName>
    <definedName name="Wrtrng">!$A$1:$AK$500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[53]期末盤點表!#REF!</definedName>
    <definedName name="y">[35]Date!$C$6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[43]Date!$C$6</definedName>
    <definedName name="Year2">[54]YEAR!$C$5</definedName>
    <definedName name="Year3">[54]YEAR!$C$6</definedName>
    <definedName name="Year4">[54]YEAR!$C$7</definedName>
    <definedName name="Year5">[54]YEAR!$C$8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[55]Parameter!$B$4</definedName>
    <definedName name="zYear_LY1">[55]Parameter!$B$5</definedName>
    <definedName name="zYear_LY2">[55]Parameter!$B$6</definedName>
    <definedName name="zz">[56]產品規格!#REF!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'[57]0'!$B$2:$B$141</definedName>
    <definedName name="出力">#N/A</definedName>
    <definedName name="列印週月報表">#REF!</definedName>
    <definedName name="匯出查詢">#REF!</definedName>
    <definedName name="區域">[30]下拉選點!$A$2:$A$5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>[58]對照表!$A$2:$B$86</definedName>
    <definedName name="年度期初">#REF!</definedName>
    <definedName name="年度期未">#REF!</definedName>
    <definedName name="店型">[30]下拉選點!$B$2:$B$8</definedName>
    <definedName name="店長名冊">[45]店長!$A$2:$B$60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[53]期末盤點表!#REF!</definedName>
    <definedName name="日期">#REF!</definedName>
    <definedName name="日燦產品資料">[56]產品規格!#REF!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>'[45]處 '!$A$1:$B$54</definedName>
    <definedName name="計算期">#REF!</definedName>
    <definedName name="買入期">#REF!</definedName>
    <definedName name="進貨累計表">[59]期末盤點表!#REF!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99" i="2" l="1"/>
  <c r="N199" i="2"/>
  <c r="K199" i="2"/>
  <c r="G199" i="2"/>
  <c r="H199" i="2" s="1"/>
  <c r="Q198" i="2"/>
  <c r="N198" i="2"/>
  <c r="K198" i="2"/>
  <c r="G198" i="2"/>
  <c r="H198" i="2" s="1"/>
  <c r="Q197" i="2"/>
  <c r="N197" i="2"/>
  <c r="K197" i="2"/>
  <c r="G197" i="2"/>
  <c r="H197" i="2" s="1"/>
  <c r="Q196" i="2"/>
  <c r="N196" i="2"/>
  <c r="K196" i="2"/>
  <c r="G196" i="2"/>
  <c r="H196" i="2" s="1"/>
  <c r="Q195" i="2"/>
  <c r="N195" i="2"/>
  <c r="K195" i="2"/>
  <c r="G195" i="2"/>
  <c r="H195" i="2" s="1"/>
  <c r="Q194" i="2"/>
  <c r="N194" i="2"/>
  <c r="K194" i="2"/>
  <c r="G194" i="2"/>
  <c r="H194" i="2" s="1"/>
  <c r="Q193" i="2"/>
  <c r="N193" i="2"/>
  <c r="K193" i="2"/>
  <c r="G193" i="2"/>
  <c r="H193" i="2" s="1"/>
  <c r="Q192" i="2"/>
  <c r="N192" i="2"/>
  <c r="K192" i="2"/>
  <c r="G192" i="2"/>
  <c r="H192" i="2" s="1"/>
  <c r="Q191" i="2"/>
  <c r="N191" i="2"/>
  <c r="K191" i="2"/>
  <c r="G191" i="2"/>
  <c r="H191" i="2" s="1"/>
  <c r="Q190" i="2"/>
  <c r="N190" i="2"/>
  <c r="K190" i="2"/>
  <c r="G190" i="2"/>
  <c r="H190" i="2" s="1"/>
  <c r="Q189" i="2"/>
  <c r="N189" i="2"/>
  <c r="K189" i="2"/>
  <c r="G189" i="2"/>
  <c r="H189" i="2" s="1"/>
  <c r="Q188" i="2"/>
  <c r="N188" i="2"/>
  <c r="K188" i="2"/>
  <c r="G188" i="2"/>
  <c r="H188" i="2" s="1"/>
  <c r="Q187" i="2"/>
  <c r="N187" i="2"/>
  <c r="K187" i="2"/>
  <c r="G187" i="2"/>
  <c r="H187" i="2" s="1"/>
  <c r="Q186" i="2"/>
  <c r="N186" i="2"/>
  <c r="K186" i="2"/>
  <c r="G186" i="2"/>
  <c r="H186" i="2" s="1"/>
  <c r="Q185" i="2"/>
  <c r="N185" i="2"/>
  <c r="K185" i="2"/>
  <c r="G185" i="2"/>
  <c r="H185" i="2" s="1"/>
  <c r="Q184" i="2"/>
  <c r="N184" i="2"/>
  <c r="K184" i="2"/>
  <c r="G184" i="2"/>
  <c r="H184" i="2" s="1"/>
  <c r="Q183" i="2"/>
  <c r="N183" i="2"/>
  <c r="K183" i="2"/>
  <c r="G183" i="2"/>
  <c r="H183" i="2" s="1"/>
  <c r="Q182" i="2"/>
  <c r="N182" i="2"/>
  <c r="K182" i="2"/>
  <c r="G182" i="2"/>
  <c r="H182" i="2" s="1"/>
  <c r="Q181" i="2"/>
  <c r="N181" i="2"/>
  <c r="K181" i="2"/>
  <c r="G181" i="2"/>
  <c r="H181" i="2" s="1"/>
  <c r="Q180" i="2"/>
  <c r="N180" i="2"/>
  <c r="K180" i="2"/>
  <c r="G180" i="2"/>
  <c r="H180" i="2" s="1"/>
  <c r="Q179" i="2"/>
  <c r="N179" i="2"/>
  <c r="K179" i="2"/>
  <c r="G179" i="2"/>
  <c r="H179" i="2" s="1"/>
  <c r="Q178" i="2"/>
  <c r="N178" i="2"/>
  <c r="K178" i="2"/>
  <c r="G178" i="2"/>
  <c r="H178" i="2" s="1"/>
  <c r="Q177" i="2"/>
  <c r="N177" i="2"/>
  <c r="K177" i="2"/>
  <c r="G177" i="2"/>
  <c r="H177" i="2" s="1"/>
  <c r="Q176" i="2"/>
  <c r="N176" i="2"/>
  <c r="K176" i="2"/>
  <c r="G176" i="2"/>
  <c r="H176" i="2" s="1"/>
  <c r="Q175" i="2"/>
  <c r="N175" i="2"/>
  <c r="K175" i="2"/>
  <c r="G175" i="2"/>
  <c r="H175" i="2" s="1"/>
  <c r="Q174" i="2"/>
  <c r="N174" i="2"/>
  <c r="K174" i="2"/>
  <c r="G174" i="2"/>
  <c r="H174" i="2" s="1"/>
  <c r="Q173" i="2"/>
  <c r="N173" i="2"/>
  <c r="K173" i="2"/>
  <c r="G173" i="2"/>
  <c r="H173" i="2" s="1"/>
  <c r="Q172" i="2"/>
  <c r="N172" i="2"/>
  <c r="K172" i="2"/>
  <c r="G172" i="2"/>
  <c r="H172" i="2" s="1"/>
  <c r="Q171" i="2"/>
  <c r="N171" i="2"/>
  <c r="K171" i="2"/>
  <c r="G171" i="2"/>
  <c r="H171" i="2" s="1"/>
  <c r="Q170" i="2"/>
  <c r="N170" i="2"/>
  <c r="K170" i="2"/>
  <c r="G170" i="2"/>
  <c r="H170" i="2" s="1"/>
  <c r="Q169" i="2"/>
  <c r="N169" i="2"/>
  <c r="K169" i="2"/>
  <c r="G169" i="2"/>
  <c r="H169" i="2" s="1"/>
  <c r="Q168" i="2"/>
  <c r="N168" i="2"/>
  <c r="K168" i="2"/>
  <c r="G168" i="2"/>
  <c r="H168" i="2" s="1"/>
  <c r="Q167" i="2"/>
  <c r="N167" i="2"/>
  <c r="K167" i="2"/>
  <c r="G167" i="2"/>
  <c r="H167" i="2" s="1"/>
  <c r="Q166" i="2"/>
  <c r="N166" i="2"/>
  <c r="K166" i="2"/>
  <c r="G166" i="2"/>
  <c r="H166" i="2" s="1"/>
  <c r="Q165" i="2"/>
  <c r="N165" i="2"/>
  <c r="K165" i="2"/>
  <c r="G165" i="2"/>
  <c r="H165" i="2" s="1"/>
  <c r="Q164" i="2"/>
  <c r="N164" i="2"/>
  <c r="K164" i="2"/>
  <c r="G164" i="2"/>
  <c r="H164" i="2" s="1"/>
  <c r="Q163" i="2"/>
  <c r="N163" i="2"/>
  <c r="K163" i="2"/>
  <c r="G163" i="2"/>
  <c r="H163" i="2" s="1"/>
  <c r="Q162" i="2"/>
  <c r="N162" i="2"/>
  <c r="K162" i="2"/>
  <c r="G162" i="2"/>
  <c r="H162" i="2" s="1"/>
  <c r="Q161" i="2"/>
  <c r="N161" i="2"/>
  <c r="K161" i="2"/>
  <c r="G161" i="2"/>
  <c r="H161" i="2" s="1"/>
  <c r="Q160" i="2"/>
  <c r="N160" i="2"/>
  <c r="K160" i="2"/>
  <c r="G160" i="2"/>
  <c r="H160" i="2" s="1"/>
  <c r="Q159" i="2"/>
  <c r="N159" i="2"/>
  <c r="K159" i="2"/>
  <c r="G159" i="2"/>
  <c r="H159" i="2" s="1"/>
  <c r="Q158" i="2"/>
  <c r="N158" i="2"/>
  <c r="K158" i="2"/>
  <c r="G158" i="2"/>
  <c r="H158" i="2" s="1"/>
  <c r="Q157" i="2"/>
  <c r="N157" i="2"/>
  <c r="K157" i="2"/>
  <c r="G157" i="2"/>
  <c r="H157" i="2" s="1"/>
  <c r="Q156" i="2"/>
  <c r="N156" i="2"/>
  <c r="K156" i="2"/>
  <c r="G156" i="2"/>
  <c r="H156" i="2" s="1"/>
  <c r="Q155" i="2"/>
  <c r="N155" i="2"/>
  <c r="K155" i="2"/>
  <c r="G155" i="2"/>
  <c r="H155" i="2" s="1"/>
  <c r="Q154" i="2"/>
  <c r="N154" i="2"/>
  <c r="K154" i="2"/>
  <c r="G154" i="2"/>
  <c r="H154" i="2" s="1"/>
  <c r="Q153" i="2"/>
  <c r="N153" i="2"/>
  <c r="K153" i="2"/>
  <c r="G153" i="2"/>
  <c r="H153" i="2" s="1"/>
  <c r="Q152" i="2"/>
  <c r="N152" i="2"/>
  <c r="K152" i="2"/>
  <c r="G152" i="2"/>
  <c r="H152" i="2" s="1"/>
  <c r="Q151" i="2"/>
  <c r="N151" i="2"/>
  <c r="K151" i="2"/>
  <c r="G151" i="2"/>
  <c r="H151" i="2" s="1"/>
  <c r="Q150" i="2"/>
  <c r="N150" i="2"/>
  <c r="K150" i="2"/>
  <c r="G150" i="2"/>
  <c r="H150" i="2" s="1"/>
  <c r="Q149" i="2"/>
  <c r="N149" i="2"/>
  <c r="K149" i="2"/>
  <c r="G149" i="2"/>
  <c r="H149" i="2" s="1"/>
  <c r="Q148" i="2"/>
  <c r="N148" i="2"/>
  <c r="K148" i="2"/>
  <c r="G148" i="2"/>
  <c r="H148" i="2" s="1"/>
  <c r="Q147" i="2"/>
  <c r="N147" i="2"/>
  <c r="K147" i="2"/>
  <c r="G147" i="2"/>
  <c r="H147" i="2" s="1"/>
  <c r="Q146" i="2"/>
  <c r="N146" i="2"/>
  <c r="K146" i="2"/>
  <c r="G146" i="2"/>
  <c r="H146" i="2" s="1"/>
  <c r="Q145" i="2"/>
  <c r="N145" i="2"/>
  <c r="K145" i="2"/>
  <c r="G145" i="2"/>
  <c r="H145" i="2" s="1"/>
  <c r="Q144" i="2"/>
  <c r="N144" i="2"/>
  <c r="K144" i="2"/>
  <c r="G144" i="2"/>
  <c r="H144" i="2" s="1"/>
  <c r="Q143" i="2"/>
  <c r="N143" i="2"/>
  <c r="K143" i="2"/>
  <c r="G143" i="2"/>
  <c r="H143" i="2" s="1"/>
  <c r="Q142" i="2"/>
  <c r="N142" i="2"/>
  <c r="K142" i="2"/>
  <c r="G142" i="2"/>
  <c r="H142" i="2" s="1"/>
  <c r="Q141" i="2"/>
  <c r="N141" i="2"/>
  <c r="K141" i="2"/>
  <c r="G141" i="2"/>
  <c r="H141" i="2" s="1"/>
  <c r="Q140" i="2"/>
  <c r="N140" i="2"/>
  <c r="K140" i="2"/>
  <c r="G140" i="2"/>
  <c r="H140" i="2" s="1"/>
  <c r="Q139" i="2"/>
  <c r="N139" i="2"/>
  <c r="K139" i="2"/>
  <c r="G139" i="2"/>
  <c r="H139" i="2" s="1"/>
  <c r="Q138" i="2"/>
  <c r="N138" i="2"/>
  <c r="K138" i="2"/>
  <c r="G138" i="2"/>
  <c r="H138" i="2" s="1"/>
  <c r="Q137" i="2"/>
  <c r="N137" i="2"/>
  <c r="K137" i="2"/>
  <c r="G137" i="2"/>
  <c r="H137" i="2" s="1"/>
  <c r="Q136" i="2"/>
  <c r="N136" i="2"/>
  <c r="K136" i="2"/>
  <c r="G136" i="2"/>
  <c r="H136" i="2" s="1"/>
  <c r="Q135" i="2"/>
  <c r="N135" i="2"/>
  <c r="K135" i="2"/>
  <c r="G135" i="2"/>
  <c r="H135" i="2" s="1"/>
  <c r="Q134" i="2"/>
  <c r="N134" i="2"/>
  <c r="K134" i="2"/>
  <c r="G134" i="2"/>
  <c r="H134" i="2" s="1"/>
  <c r="Q133" i="2"/>
  <c r="N133" i="2"/>
  <c r="K133" i="2"/>
  <c r="G133" i="2"/>
  <c r="H133" i="2" s="1"/>
  <c r="Q132" i="2"/>
  <c r="N132" i="2"/>
  <c r="K132" i="2"/>
  <c r="G132" i="2"/>
  <c r="H132" i="2" s="1"/>
  <c r="Q131" i="2"/>
  <c r="N131" i="2"/>
  <c r="K131" i="2"/>
  <c r="G131" i="2"/>
  <c r="H131" i="2" s="1"/>
  <c r="Q130" i="2"/>
  <c r="N130" i="2"/>
  <c r="K130" i="2"/>
  <c r="G130" i="2"/>
  <c r="H130" i="2" s="1"/>
  <c r="Q129" i="2"/>
  <c r="N129" i="2"/>
  <c r="K129" i="2"/>
  <c r="G129" i="2"/>
  <c r="H129" i="2" s="1"/>
  <c r="Q128" i="2"/>
  <c r="N128" i="2"/>
  <c r="K128" i="2"/>
  <c r="G128" i="2"/>
  <c r="H128" i="2" s="1"/>
  <c r="Q127" i="2"/>
  <c r="N127" i="2"/>
  <c r="K127" i="2"/>
  <c r="G127" i="2"/>
  <c r="H127" i="2" s="1"/>
  <c r="Q126" i="2"/>
  <c r="N126" i="2"/>
  <c r="K126" i="2"/>
  <c r="G126" i="2"/>
  <c r="H126" i="2" s="1"/>
  <c r="Q125" i="2"/>
  <c r="N125" i="2"/>
  <c r="K125" i="2"/>
  <c r="G125" i="2"/>
  <c r="H125" i="2" s="1"/>
  <c r="Q124" i="2"/>
  <c r="N124" i="2"/>
  <c r="K124" i="2"/>
  <c r="G124" i="2"/>
  <c r="H124" i="2" s="1"/>
  <c r="Q123" i="2"/>
  <c r="N123" i="2"/>
  <c r="K123" i="2"/>
  <c r="G123" i="2"/>
  <c r="H123" i="2" s="1"/>
  <c r="Q122" i="2"/>
  <c r="N122" i="2"/>
  <c r="K122" i="2"/>
  <c r="G122" i="2"/>
  <c r="H122" i="2" s="1"/>
  <c r="Q121" i="2"/>
  <c r="N121" i="2"/>
  <c r="K121" i="2"/>
  <c r="G121" i="2"/>
  <c r="H121" i="2" s="1"/>
  <c r="Q120" i="2"/>
  <c r="N120" i="2"/>
  <c r="K120" i="2"/>
  <c r="G120" i="2"/>
  <c r="H120" i="2" s="1"/>
  <c r="Q119" i="2"/>
  <c r="N119" i="2"/>
  <c r="K119" i="2"/>
  <c r="G119" i="2"/>
  <c r="H119" i="2" s="1"/>
  <c r="Q118" i="2"/>
  <c r="N118" i="2"/>
  <c r="K118" i="2"/>
  <c r="G118" i="2"/>
  <c r="H118" i="2" s="1"/>
  <c r="Q117" i="2"/>
  <c r="N117" i="2"/>
  <c r="K117" i="2"/>
  <c r="G117" i="2"/>
  <c r="H117" i="2" s="1"/>
  <c r="Q116" i="2"/>
  <c r="N116" i="2"/>
  <c r="K116" i="2"/>
  <c r="G116" i="2"/>
  <c r="H116" i="2" s="1"/>
  <c r="Q115" i="2"/>
  <c r="N115" i="2"/>
  <c r="K115" i="2"/>
  <c r="G115" i="2"/>
  <c r="H115" i="2" s="1"/>
  <c r="Q114" i="2"/>
  <c r="N114" i="2"/>
  <c r="K114" i="2"/>
  <c r="G114" i="2"/>
  <c r="H114" i="2" s="1"/>
  <c r="Q113" i="2"/>
  <c r="N113" i="2"/>
  <c r="K113" i="2"/>
  <c r="G113" i="2"/>
  <c r="H113" i="2" s="1"/>
  <c r="Q112" i="2"/>
  <c r="N112" i="2"/>
  <c r="K112" i="2"/>
  <c r="G112" i="2"/>
  <c r="H112" i="2" s="1"/>
  <c r="Q111" i="2"/>
  <c r="N111" i="2"/>
  <c r="K111" i="2"/>
  <c r="G111" i="2"/>
  <c r="H111" i="2" s="1"/>
  <c r="Q110" i="2"/>
  <c r="N110" i="2"/>
  <c r="K110" i="2"/>
  <c r="G110" i="2"/>
  <c r="H110" i="2" s="1"/>
  <c r="Q109" i="2"/>
  <c r="N109" i="2"/>
  <c r="K109" i="2"/>
  <c r="G109" i="2"/>
  <c r="H109" i="2" s="1"/>
  <c r="Q108" i="2"/>
  <c r="N108" i="2"/>
  <c r="K108" i="2"/>
  <c r="G108" i="2"/>
  <c r="H108" i="2" s="1"/>
  <c r="Q107" i="2"/>
  <c r="N107" i="2"/>
  <c r="K107" i="2"/>
  <c r="G107" i="2"/>
  <c r="H107" i="2" s="1"/>
  <c r="Q106" i="2"/>
  <c r="N106" i="2"/>
  <c r="K106" i="2"/>
  <c r="G106" i="2"/>
  <c r="H106" i="2" s="1"/>
  <c r="Q105" i="2"/>
  <c r="N105" i="2"/>
  <c r="K105" i="2"/>
  <c r="G105" i="2"/>
  <c r="H105" i="2" s="1"/>
  <c r="Q104" i="2"/>
  <c r="N104" i="2"/>
  <c r="K104" i="2"/>
  <c r="G104" i="2"/>
  <c r="H104" i="2" s="1"/>
  <c r="Q103" i="2"/>
  <c r="N103" i="2"/>
  <c r="K103" i="2"/>
  <c r="G103" i="2"/>
  <c r="H103" i="2" s="1"/>
  <c r="Q102" i="2"/>
  <c r="N102" i="2"/>
  <c r="K102" i="2"/>
  <c r="G102" i="2"/>
  <c r="H102" i="2" s="1"/>
  <c r="Q101" i="2"/>
  <c r="N101" i="2"/>
  <c r="K101" i="2"/>
  <c r="G101" i="2"/>
  <c r="H101" i="2" s="1"/>
  <c r="Q100" i="2"/>
  <c r="N100" i="2"/>
  <c r="K100" i="2"/>
  <c r="G100" i="2"/>
  <c r="H100" i="2" s="1"/>
  <c r="Q99" i="2"/>
  <c r="N99" i="2"/>
  <c r="K99" i="2"/>
  <c r="G99" i="2"/>
  <c r="H99" i="2" s="1"/>
  <c r="Q98" i="2"/>
  <c r="N98" i="2"/>
  <c r="K98" i="2"/>
  <c r="G98" i="2"/>
  <c r="H98" i="2" s="1"/>
  <c r="Q97" i="2"/>
  <c r="N97" i="2"/>
  <c r="K97" i="2"/>
  <c r="G97" i="2"/>
  <c r="H97" i="2" s="1"/>
  <c r="Q96" i="2"/>
  <c r="N96" i="2"/>
  <c r="K96" i="2"/>
  <c r="G96" i="2"/>
  <c r="H96" i="2" s="1"/>
  <c r="Q95" i="2"/>
  <c r="N95" i="2"/>
  <c r="K95" i="2"/>
  <c r="G95" i="2"/>
  <c r="H95" i="2" s="1"/>
  <c r="Q94" i="2"/>
  <c r="N94" i="2"/>
  <c r="K94" i="2"/>
  <c r="G94" i="2"/>
  <c r="H94" i="2" s="1"/>
  <c r="Q93" i="2"/>
  <c r="N93" i="2"/>
  <c r="K93" i="2"/>
  <c r="G93" i="2"/>
  <c r="H93" i="2" s="1"/>
  <c r="Q92" i="2"/>
  <c r="N92" i="2"/>
  <c r="K92" i="2"/>
  <c r="G92" i="2"/>
  <c r="H92" i="2" s="1"/>
  <c r="Q91" i="2"/>
  <c r="N91" i="2"/>
  <c r="K91" i="2"/>
  <c r="G91" i="2"/>
  <c r="H91" i="2" s="1"/>
  <c r="Q90" i="2"/>
  <c r="N90" i="2"/>
  <c r="K90" i="2"/>
  <c r="G90" i="2"/>
  <c r="H90" i="2" s="1"/>
  <c r="Q89" i="2"/>
  <c r="N89" i="2"/>
  <c r="K89" i="2"/>
  <c r="G89" i="2"/>
  <c r="H89" i="2" s="1"/>
  <c r="Q88" i="2"/>
  <c r="N88" i="2"/>
  <c r="K88" i="2"/>
  <c r="G88" i="2"/>
  <c r="H88" i="2" s="1"/>
  <c r="Q87" i="2"/>
  <c r="N87" i="2"/>
  <c r="K87" i="2"/>
  <c r="G87" i="2"/>
  <c r="H87" i="2" s="1"/>
  <c r="Q86" i="2"/>
  <c r="N86" i="2"/>
  <c r="K86" i="2"/>
  <c r="G86" i="2"/>
  <c r="H86" i="2" s="1"/>
  <c r="Q85" i="2"/>
  <c r="N85" i="2"/>
  <c r="K85" i="2"/>
  <c r="G85" i="2"/>
  <c r="H85" i="2" s="1"/>
  <c r="Q84" i="2"/>
  <c r="N84" i="2"/>
  <c r="K84" i="2"/>
  <c r="G84" i="2"/>
  <c r="H84" i="2" s="1"/>
  <c r="Q83" i="2"/>
  <c r="N83" i="2"/>
  <c r="K83" i="2"/>
  <c r="G83" i="2"/>
  <c r="H83" i="2" s="1"/>
  <c r="Q82" i="2"/>
  <c r="N82" i="2"/>
  <c r="K82" i="2"/>
  <c r="G82" i="2"/>
  <c r="H82" i="2" s="1"/>
  <c r="Q81" i="2"/>
  <c r="N81" i="2"/>
  <c r="K81" i="2"/>
  <c r="G81" i="2"/>
  <c r="H81" i="2" s="1"/>
  <c r="Q80" i="2"/>
  <c r="N80" i="2"/>
  <c r="K80" i="2"/>
  <c r="G80" i="2"/>
  <c r="H80" i="2" s="1"/>
  <c r="Q79" i="2"/>
  <c r="N79" i="2"/>
  <c r="K79" i="2"/>
  <c r="G79" i="2"/>
  <c r="H79" i="2" s="1"/>
  <c r="Q78" i="2"/>
  <c r="N78" i="2"/>
  <c r="K78" i="2"/>
  <c r="G78" i="2"/>
  <c r="H78" i="2" s="1"/>
  <c r="Q77" i="2"/>
  <c r="N77" i="2"/>
  <c r="K77" i="2"/>
  <c r="G77" i="2"/>
  <c r="H77" i="2" s="1"/>
  <c r="Q76" i="2"/>
  <c r="N76" i="2"/>
  <c r="K76" i="2"/>
  <c r="G76" i="2"/>
  <c r="H76" i="2" s="1"/>
  <c r="Q75" i="2"/>
  <c r="N75" i="2"/>
  <c r="K75" i="2"/>
  <c r="G75" i="2"/>
  <c r="H75" i="2" s="1"/>
  <c r="Q74" i="2"/>
  <c r="N74" i="2"/>
  <c r="K74" i="2"/>
  <c r="G74" i="2"/>
  <c r="H74" i="2" s="1"/>
  <c r="Q73" i="2"/>
  <c r="N73" i="2"/>
  <c r="K73" i="2"/>
  <c r="G73" i="2"/>
  <c r="H73" i="2" s="1"/>
  <c r="Q72" i="2"/>
  <c r="N72" i="2"/>
  <c r="K72" i="2"/>
  <c r="G72" i="2"/>
  <c r="H72" i="2" s="1"/>
  <c r="Q71" i="2"/>
  <c r="N71" i="2"/>
  <c r="K71" i="2"/>
  <c r="G71" i="2"/>
  <c r="H71" i="2" s="1"/>
  <c r="Q70" i="2"/>
  <c r="N70" i="2"/>
  <c r="K70" i="2"/>
  <c r="G70" i="2"/>
  <c r="H70" i="2" s="1"/>
  <c r="Q69" i="2"/>
  <c r="N69" i="2"/>
  <c r="K69" i="2"/>
  <c r="G69" i="2"/>
  <c r="H69" i="2" s="1"/>
  <c r="Q68" i="2"/>
  <c r="N68" i="2"/>
  <c r="K68" i="2"/>
  <c r="G68" i="2"/>
  <c r="H68" i="2" s="1"/>
  <c r="Q67" i="2"/>
  <c r="N67" i="2"/>
  <c r="K67" i="2"/>
  <c r="G67" i="2"/>
  <c r="H67" i="2" s="1"/>
  <c r="Q66" i="2"/>
  <c r="N66" i="2"/>
  <c r="K66" i="2"/>
  <c r="G66" i="2"/>
  <c r="H66" i="2" s="1"/>
  <c r="Q65" i="2"/>
  <c r="N65" i="2"/>
  <c r="K65" i="2"/>
  <c r="G65" i="2"/>
  <c r="H65" i="2" s="1"/>
  <c r="Q64" i="2"/>
  <c r="N64" i="2"/>
  <c r="K64" i="2"/>
  <c r="G64" i="2"/>
  <c r="H64" i="2" s="1"/>
  <c r="Q63" i="2"/>
  <c r="N63" i="2"/>
  <c r="K63" i="2"/>
  <c r="G63" i="2"/>
  <c r="H63" i="2" s="1"/>
  <c r="Q62" i="2"/>
  <c r="N62" i="2"/>
  <c r="K62" i="2"/>
  <c r="G62" i="2"/>
  <c r="H62" i="2" s="1"/>
  <c r="Q61" i="2"/>
  <c r="N61" i="2"/>
  <c r="K61" i="2"/>
  <c r="G61" i="2"/>
  <c r="H61" i="2" s="1"/>
  <c r="Q60" i="2"/>
  <c r="N60" i="2"/>
  <c r="K60" i="2"/>
  <c r="G60" i="2"/>
  <c r="H60" i="2" s="1"/>
  <c r="Q59" i="2"/>
  <c r="N59" i="2"/>
  <c r="K59" i="2"/>
  <c r="G59" i="2"/>
  <c r="H59" i="2" s="1"/>
  <c r="Q58" i="2"/>
  <c r="N58" i="2"/>
  <c r="K58" i="2"/>
  <c r="G58" i="2"/>
  <c r="H58" i="2" s="1"/>
  <c r="Q57" i="2"/>
  <c r="N57" i="2"/>
  <c r="K57" i="2"/>
  <c r="G57" i="2"/>
  <c r="H57" i="2" s="1"/>
  <c r="Q56" i="2"/>
  <c r="N56" i="2"/>
  <c r="K56" i="2"/>
  <c r="G56" i="2"/>
  <c r="H56" i="2" s="1"/>
  <c r="Q55" i="2"/>
  <c r="N55" i="2"/>
  <c r="K55" i="2"/>
  <c r="G55" i="2"/>
  <c r="H55" i="2" s="1"/>
  <c r="Q54" i="2"/>
  <c r="N54" i="2"/>
  <c r="K54" i="2"/>
  <c r="G54" i="2"/>
  <c r="H54" i="2" s="1"/>
  <c r="Q53" i="2"/>
  <c r="N53" i="2"/>
  <c r="K53" i="2"/>
  <c r="G53" i="2"/>
  <c r="H53" i="2" s="1"/>
  <c r="Q52" i="2"/>
  <c r="N52" i="2"/>
  <c r="K52" i="2"/>
  <c r="G52" i="2"/>
  <c r="H52" i="2" s="1"/>
  <c r="Q51" i="2"/>
  <c r="N51" i="2"/>
  <c r="K51" i="2"/>
  <c r="G51" i="2"/>
  <c r="H51" i="2" s="1"/>
  <c r="Q50" i="2"/>
  <c r="N50" i="2"/>
  <c r="K50" i="2"/>
  <c r="G50" i="2"/>
  <c r="H50" i="2" s="1"/>
  <c r="Q49" i="2"/>
  <c r="N49" i="2"/>
  <c r="K49" i="2"/>
  <c r="G49" i="2"/>
  <c r="H49" i="2" s="1"/>
  <c r="Q48" i="2"/>
  <c r="N48" i="2"/>
  <c r="K48" i="2"/>
  <c r="G48" i="2"/>
  <c r="H48" i="2" s="1"/>
  <c r="Q47" i="2"/>
  <c r="N47" i="2"/>
  <c r="K47" i="2"/>
  <c r="G47" i="2"/>
  <c r="H47" i="2" s="1"/>
  <c r="Q46" i="2"/>
  <c r="N46" i="2"/>
  <c r="K46" i="2"/>
  <c r="G46" i="2"/>
  <c r="H46" i="2" s="1"/>
  <c r="Q45" i="2"/>
  <c r="N45" i="2"/>
  <c r="K45" i="2"/>
  <c r="G45" i="2"/>
  <c r="H45" i="2" s="1"/>
  <c r="Q44" i="2"/>
  <c r="N44" i="2"/>
  <c r="K44" i="2"/>
  <c r="G44" i="2"/>
  <c r="H44" i="2" s="1"/>
  <c r="Q43" i="2"/>
  <c r="N43" i="2"/>
  <c r="K43" i="2"/>
  <c r="G43" i="2"/>
  <c r="H43" i="2" s="1"/>
  <c r="Q42" i="2"/>
  <c r="N42" i="2"/>
  <c r="K42" i="2"/>
  <c r="G42" i="2"/>
  <c r="H42" i="2" s="1"/>
  <c r="Q41" i="2"/>
  <c r="N41" i="2"/>
  <c r="K41" i="2"/>
  <c r="G41" i="2"/>
  <c r="H41" i="2" s="1"/>
  <c r="Q40" i="2"/>
  <c r="N40" i="2"/>
  <c r="K40" i="2"/>
  <c r="G40" i="2"/>
  <c r="H40" i="2" s="1"/>
  <c r="Q39" i="2"/>
  <c r="N39" i="2"/>
  <c r="K39" i="2"/>
  <c r="G39" i="2"/>
  <c r="H39" i="2" s="1"/>
  <c r="Q38" i="2"/>
  <c r="N38" i="2"/>
  <c r="K38" i="2"/>
  <c r="G38" i="2"/>
  <c r="H38" i="2" s="1"/>
  <c r="Q37" i="2"/>
  <c r="N37" i="2"/>
  <c r="K37" i="2"/>
  <c r="G37" i="2"/>
  <c r="H37" i="2" s="1"/>
  <c r="Q36" i="2"/>
  <c r="N36" i="2"/>
  <c r="K36" i="2"/>
  <c r="G36" i="2"/>
  <c r="H36" i="2" s="1"/>
  <c r="Q35" i="2"/>
  <c r="N35" i="2"/>
  <c r="K35" i="2"/>
  <c r="G35" i="2"/>
  <c r="H35" i="2" s="1"/>
  <c r="Q34" i="2"/>
  <c r="N34" i="2"/>
  <c r="K34" i="2"/>
  <c r="G34" i="2"/>
  <c r="H34" i="2" s="1"/>
  <c r="Q33" i="2"/>
  <c r="N33" i="2"/>
  <c r="K33" i="2"/>
  <c r="G33" i="2"/>
  <c r="H33" i="2" s="1"/>
  <c r="Q32" i="2"/>
  <c r="N32" i="2"/>
  <c r="K32" i="2"/>
  <c r="G32" i="2"/>
  <c r="H32" i="2" s="1"/>
  <c r="Q31" i="2"/>
  <c r="N31" i="2"/>
  <c r="K31" i="2"/>
  <c r="G31" i="2"/>
  <c r="H31" i="2" s="1"/>
  <c r="Q30" i="2"/>
  <c r="N30" i="2"/>
  <c r="K30" i="2"/>
  <c r="G30" i="2"/>
  <c r="H30" i="2" s="1"/>
  <c r="Q29" i="2"/>
  <c r="N29" i="2"/>
  <c r="K29" i="2"/>
  <c r="G29" i="2"/>
  <c r="H29" i="2" s="1"/>
  <c r="Q28" i="2"/>
  <c r="N28" i="2"/>
  <c r="K28" i="2"/>
  <c r="G28" i="2"/>
  <c r="H28" i="2" s="1"/>
  <c r="Q27" i="2"/>
  <c r="N27" i="2"/>
  <c r="K27" i="2"/>
  <c r="G27" i="2"/>
  <c r="H27" i="2" s="1"/>
  <c r="Q26" i="2"/>
  <c r="N26" i="2"/>
  <c r="K26" i="2"/>
  <c r="G26" i="2"/>
  <c r="H26" i="2" s="1"/>
  <c r="Q25" i="2"/>
  <c r="N25" i="2"/>
  <c r="K25" i="2"/>
  <c r="G25" i="2"/>
  <c r="H25" i="2" s="1"/>
  <c r="Q24" i="2"/>
  <c r="N24" i="2"/>
  <c r="K24" i="2"/>
  <c r="G24" i="2"/>
  <c r="H24" i="2" s="1"/>
  <c r="Q23" i="2"/>
  <c r="N23" i="2"/>
  <c r="K23" i="2"/>
  <c r="G23" i="2"/>
  <c r="H23" i="2" s="1"/>
  <c r="Q22" i="2"/>
  <c r="N22" i="2"/>
  <c r="K22" i="2"/>
  <c r="G22" i="2"/>
  <c r="H22" i="2" s="1"/>
  <c r="Q21" i="2"/>
  <c r="N21" i="2"/>
  <c r="K21" i="2"/>
  <c r="G21" i="2"/>
  <c r="H21" i="2" s="1"/>
  <c r="Q20" i="2"/>
  <c r="N20" i="2"/>
  <c r="K20" i="2"/>
  <c r="G20" i="2"/>
  <c r="H20" i="2" s="1"/>
  <c r="Q19" i="2"/>
  <c r="N19" i="2"/>
  <c r="K19" i="2"/>
  <c r="G19" i="2"/>
  <c r="H19" i="2" s="1"/>
  <c r="Q18" i="2"/>
  <c r="N18" i="2"/>
  <c r="K18" i="2"/>
  <c r="G18" i="2"/>
  <c r="H18" i="2" s="1"/>
  <c r="Q17" i="2"/>
  <c r="N17" i="2"/>
  <c r="K17" i="2"/>
  <c r="G17" i="2"/>
  <c r="H17" i="2" s="1"/>
  <c r="Q16" i="2"/>
  <c r="N16" i="2"/>
  <c r="K16" i="2"/>
  <c r="G16" i="2"/>
  <c r="H16" i="2" s="1"/>
  <c r="Q15" i="2"/>
  <c r="N15" i="2"/>
  <c r="K15" i="2"/>
  <c r="G15" i="2"/>
  <c r="H15" i="2" s="1"/>
  <c r="Q14" i="2"/>
  <c r="N14" i="2"/>
  <c r="K14" i="2"/>
  <c r="G14" i="2"/>
  <c r="H14" i="2" s="1"/>
  <c r="Q13" i="2"/>
  <c r="N13" i="2"/>
  <c r="K13" i="2"/>
  <c r="G13" i="2"/>
  <c r="H13" i="2" s="1"/>
  <c r="Q12" i="2"/>
  <c r="N12" i="2"/>
  <c r="K12" i="2"/>
  <c r="G12" i="2"/>
  <c r="H12" i="2" s="1"/>
  <c r="Q11" i="2"/>
  <c r="N11" i="2"/>
  <c r="K11" i="2"/>
  <c r="G11" i="2"/>
  <c r="H11" i="2" s="1"/>
  <c r="Q10" i="2"/>
  <c r="N10" i="2"/>
  <c r="K10" i="2"/>
  <c r="G10" i="2"/>
  <c r="H10" i="2" s="1"/>
  <c r="Q9" i="2"/>
  <c r="N9" i="2"/>
  <c r="K9" i="2"/>
  <c r="G9" i="2"/>
  <c r="H9" i="2" s="1"/>
  <c r="Q8" i="2"/>
  <c r="N8" i="2"/>
  <c r="K8" i="2"/>
  <c r="G8" i="2"/>
  <c r="H8" i="2" s="1"/>
  <c r="Q7" i="2"/>
  <c r="N7" i="2"/>
  <c r="K7" i="2"/>
  <c r="G7" i="2"/>
  <c r="H7" i="2" s="1"/>
  <c r="Q6" i="2"/>
  <c r="N6" i="2"/>
  <c r="K6" i="2"/>
  <c r="G6" i="2"/>
  <c r="H6" i="2" s="1"/>
  <c r="Q5" i="2"/>
  <c r="N5" i="2"/>
  <c r="K5" i="2"/>
  <c r="G5" i="2"/>
  <c r="H5" i="2" s="1"/>
  <c r="Q4" i="2"/>
  <c r="N4" i="2"/>
  <c r="K4" i="2"/>
  <c r="G4" i="2"/>
  <c r="H4" i="2" s="1"/>
  <c r="Q3" i="2"/>
  <c r="N3" i="2"/>
  <c r="K3" i="2"/>
  <c r="G3" i="2"/>
  <c r="H3" i="2" s="1"/>
</calcChain>
</file>

<file path=xl/sharedStrings.xml><?xml version="1.0" encoding="utf-8"?>
<sst xmlns="http://schemas.openxmlformats.org/spreadsheetml/2006/main" count="831" uniqueCount="451">
  <si>
    <t>GA4</t>
  </si>
  <si>
    <t>PBI</t>
  </si>
  <si>
    <t>store_id</t>
  </si>
  <si>
    <t>Address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</si>
  <si>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</si>
  <si>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</si>
  <si>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</si>
  <si>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</si>
  <si>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</si>
  <si>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</si>
  <si>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</si>
  <si>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</si>
  <si>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</si>
  <si>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</si>
  <si>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</si>
  <si>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</si>
  <si>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</si>
  <si>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</si>
  <si>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</si>
  <si>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</si>
  <si>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</si>
  <si>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</si>
  <si>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</si>
  <si>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</si>
  <si>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</si>
  <si>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</si>
  <si>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</si>
  <si>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</si>
  <si>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</si>
  <si>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</si>
  <si>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</si>
  <si>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20260501~0518_Total_Amt</t>
  </si>
  <si>
    <t>20260501~0518_Total_Member_Amt</t>
  </si>
  <si>
    <t>20260501~0518_Total_Member_Amt_Mix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</si>
  <si>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</si>
  <si>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</si>
  <si>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</si>
  <si>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</si>
  <si>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</si>
  <si>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</si>
  <si>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</si>
  <si>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</si>
  <si>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</si>
  <si>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</si>
  <si>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</si>
  <si>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</si>
  <si>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</si>
  <si>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</si>
  <si>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</si>
  <si>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</si>
  <si>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</si>
  <si>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</si>
  <si>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</si>
  <si>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</si>
  <si>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</si>
  <si>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</si>
  <si>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</si>
  <si>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</si>
  <si>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</si>
  <si>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</si>
  <si>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</si>
  <si>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</si>
  <si>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</si>
  <si>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</si>
  <si>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</si>
  <si>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</si>
  <si>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</si>
  <si>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</si>
  <si>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</si>
  <si>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</si>
  <si>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</si>
  <si>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</si>
  <si>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</si>
  <si>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</si>
  <si>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</si>
  <si>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</si>
  <si>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</si>
  <si>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</si>
  <si>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</si>
  <si>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</si>
  <si>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</si>
  <si>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</si>
  <si>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</si>
  <si>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</si>
  <si>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</si>
  <si>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</si>
  <si>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</si>
  <si>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</si>
  <si>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</si>
  <si>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</si>
  <si>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</si>
  <si>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</si>
  <si>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</si>
  <si>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</si>
  <si>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</si>
  <si>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</si>
  <si>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</si>
  <si>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</si>
  <si>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</si>
  <si>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</si>
  <si>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</si>
  <si>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</si>
  <si>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</si>
  <si>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</si>
  <si>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</si>
  <si>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</si>
  <si>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</si>
  <si>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</si>
  <si>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</si>
  <si>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</si>
  <si>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</si>
  <si>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</si>
  <si>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</si>
  <si>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</si>
  <si>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</si>
  <si>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</si>
  <si>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</si>
  <si>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</si>
  <si>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</si>
  <si>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</si>
  <si>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</si>
  <si>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</si>
  <si>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</si>
  <si>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</si>
  <si>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</si>
  <si>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</si>
  <si>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</si>
  <si>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</si>
  <si>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</si>
  <si>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</si>
  <si>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</si>
  <si>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</si>
  <si>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</si>
  <si>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</si>
  <si>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</si>
  <si>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</si>
  <si>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</si>
  <si>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</si>
  <si>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</si>
  <si>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</si>
  <si>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</si>
  <si>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</si>
  <si>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</si>
  <si>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</si>
  <si>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</si>
  <si>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</si>
  <si>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</si>
  <si>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</si>
  <si>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</si>
  <si>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</si>
  <si>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</si>
  <si>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</si>
  <si>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</si>
  <si>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</si>
  <si>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</si>
  <si>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</si>
  <si>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</si>
  <si>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</si>
  <si>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</si>
  <si>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</si>
  <si>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</si>
  <si>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</si>
  <si>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</si>
  <si>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</si>
  <si>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</si>
  <si>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</si>
  <si>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</si>
  <si>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</si>
  <si>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</si>
  <si>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</si>
  <si>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</si>
  <si>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</si>
  <si>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</si>
  <si>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</si>
  <si>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</si>
  <si>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</si>
  <si>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</si>
  <si>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</si>
  <si>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</si>
  <si>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</si>
  <si>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</si>
  <si>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</si>
  <si>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</si>
  <si>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</si>
  <si>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</si>
  <si>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</si>
  <si>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</si>
  <si>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</si>
  <si>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</si>
  <si>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</si>
  <si>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</si>
  <si>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</si>
  <si>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</si>
  <si>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</si>
  <si>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</si>
  <si>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</si>
  <si>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</si>
  <si>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</si>
  <si>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</si>
  <si>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</si>
  <si>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</si>
  <si>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</si>
  <si>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</si>
  <si>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</si>
  <si>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</si>
  <si>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</si>
  <si>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</si>
  <si>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</si>
  <si>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</si>
  <si>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</si>
  <si>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</si>
  <si>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</si>
  <si>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</si>
  <si>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</si>
  <si>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</si>
  <si>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</si>
  <si>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</si>
  <si>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</si>
  <si>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</si>
  <si>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</si>
  <si>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</si>
  <si>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</si>
  <si>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</si>
  <si>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</si>
  <si>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</si>
  <si>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</si>
  <si>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</si>
  <si>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</si>
  <si>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</si>
  <si>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</si>
  <si>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</si>
  <si>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</si>
  <si>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</si>
  <si>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</si>
  <si>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</si>
  <si>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</si>
  <si>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</si>
  <si>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</si>
  <si>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</si>
  <si>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</si>
  <si>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</si>
  <si>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</si>
  <si>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</si>
  <si>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</si>
  <si>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</si>
  <si>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</si>
  <si>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</si>
  <si>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</si>
  <si>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</si>
  <si>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</si>
  <si>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</si>
  <si>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</si>
  <si>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</si>
  <si>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</si>
  <si>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</si>
  <si>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</si>
  <si>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</si>
  <si>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</si>
  <si>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</si>
  <si>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</si>
  <si>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</si>
  <si>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</si>
  <si>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</si>
  <si>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</si>
  <si>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</si>
  <si>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</si>
  <si>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</si>
  <si>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</si>
  <si>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</si>
  <si>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</si>
  <si>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</si>
  <si>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</si>
  <si>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</si>
  <si>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</si>
  <si>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</si>
  <si>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</si>
  <si>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</si>
  <si>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</si>
  <si>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</si>
  <si>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</si>
  <si>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</si>
  <si>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</si>
  <si>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</si>
  <si>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</si>
  <si>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</si>
  <si>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</si>
  <si>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</si>
  <si>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</si>
  <si>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</si>
  <si>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</si>
  <si>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</si>
  <si>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</si>
  <si>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</si>
  <si>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</si>
  <si>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</si>
  <si>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</si>
  <si>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</si>
  <si>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</si>
  <si>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</si>
  <si>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</si>
  <si>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</si>
  <si>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</si>
  <si>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</si>
  <si>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</si>
  <si>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</si>
  <si>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</si>
  <si>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</si>
  <si>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</si>
  <si>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</si>
  <si>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</si>
  <si>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</si>
  <si>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</si>
  <si>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</si>
  <si>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</si>
  <si>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</si>
  <si>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</si>
  <si>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</si>
  <si>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</si>
  <si>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</si>
  <si>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</si>
  <si>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</si>
  <si>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</si>
  <si>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</si>
  <si>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</si>
  <si>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</si>
  <si>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</si>
  <si>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</si>
  <si>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</si>
  <si>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</si>
  <si>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</si>
  <si>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</si>
  <si>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</si>
  <si>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</si>
  <si>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</si>
  <si>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</si>
  <si>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</si>
  <si>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</si>
  <si>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</si>
  <si>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</si>
  <si>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</si>
  <si>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</si>
  <si>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</si>
  <si>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</si>
  <si>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</si>
  <si>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</si>
  <si>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</si>
  <si>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</si>
  <si>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</si>
  <si>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</si>
  <si>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</si>
  <si>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</si>
  <si>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</si>
  <si>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</si>
  <si>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</si>
  <si>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</si>
  <si>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</si>
  <si>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</si>
  <si>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</si>
  <si>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</si>
  <si>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</si>
  <si>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</si>
  <si>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</si>
  <si>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</si>
  <si>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</si>
  <si>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</si>
  <si>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</si>
  <si>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</si>
  <si>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</si>
  <si>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</si>
  <si>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</si>
  <si>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</si>
  <si>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</si>
  <si>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</si>
  <si>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</si>
  <si>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</si>
  <si>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</si>
  <si>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</si>
  <si>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</si>
  <si>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</si>
  <si>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</si>
  <si>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</si>
  <si>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</si>
  <si>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</si>
  <si>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</si>
  <si>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</si>
  <si>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</si>
  <si>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</si>
  <si>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</si>
  <si>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</si>
  <si>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</si>
  <si>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</si>
  <si>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</si>
  <si>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</si>
  <si>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</si>
  <si>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</si>
  <si>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</si>
  <si>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</si>
  <si>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</si>
  <si>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</si>
  <si>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</si>
  <si>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</si>
  <si>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</si>
  <si>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</si>
  <si>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</si>
  <si>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</si>
  <si>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</si>
  <si>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</si>
  <si>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</si>
  <si>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</si>
  <si>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</si>
  <si>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</si>
  <si>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</si>
  <si>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</si>
  <si>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</si>
  <si>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</si>
  <si>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</si>
  <si>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</si>
  <si>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</si>
  <si>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</si>
  <si>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</si>
  <si>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</si>
  <si>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</si>
  <si>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</si>
  <si>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</si>
  <si>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</si>
  <si>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</si>
  <si>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</si>
  <si>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</si>
  <si>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一般店</t>
  </si>
  <si>
    <t>數位店</t>
  </si>
  <si>
    <t>StoreType</t>
  </si>
  <si>
    <t>Hardware</t>
  </si>
  <si>
    <t>V4</t>
  </si>
  <si>
    <t>D2</t>
  </si>
  <si>
    <t>V3</t>
  </si>
  <si>
    <t>D1*.16 .17, V2*18</t>
  </si>
  <si>
    <t>V1</t>
  </si>
  <si>
    <t>V2</t>
  </si>
  <si>
    <t>D1</t>
  </si>
  <si>
    <t>V2*.16, V3*.17</t>
  </si>
  <si>
    <t>V2*.16.17,V3*.18</t>
  </si>
  <si>
    <t>V4*.16,D2*.17.18</t>
  </si>
  <si>
    <t>V3*.16~18, D2*.19</t>
  </si>
  <si>
    <t>V4*.16 .17, D2*.18</t>
  </si>
  <si>
    <t>20260514~0520_Total_Amt</t>
  </si>
  <si>
    <t>20260514~0520_Total_Member_Amt</t>
  </si>
  <si>
    <t>20260514~0520_Total_Member_Amt_Mix</t>
  </si>
  <si>
    <t>20260521~0527_Total_Amt</t>
  </si>
  <si>
    <t>20260521~0527_Total_Member_Amt</t>
  </si>
  <si>
    <t>20260521~0527_Total_Member_Amt_Mix</t>
  </si>
  <si>
    <t>20260514~0519_Total_TC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</si>
</sst>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0" borderId="0"/>
  </cellStyleXfs>
  <cellXfs count="44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1" fillId="0" borderId="0" xfId="1" applyFont="1"/>
    <xf numFmtId="3" fontId="1" fillId="0" borderId="0" xfId="1" applyNumberFormat="1"/>
    <xf numFmtId="0" fontId="7" fillId="12" borderId="0" xfId="1" applyFont="1" applyFill="1" applyAlignment="1">
      <alignment horizontal="center"/>
    </xf>
    <xf numFmtId="0" fontId="1" fillId="13" borderId="0" xfId="1" applyFill="1" applyAlignment="1">
      <alignment horizontal="center"/>
    </xf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O991"/>
  <sheetViews>
    <sheetView tabSelected="1" zoomScale="125" workbookViewId="0">
      <pane xSplit="1" ySplit="2" topLeftCell="AE3" activePane="bottomRight" state="frozen"/>
      <selection pane="topRight" activeCell="B1" sqref="B1"/>
      <selection pane="bottomLeft" activeCell="A4" sqref="A4"/>
      <selection pane="bottomRight" activeCell="AM2" sqref="AM2"/>
    </sheetView>
  </sheetViews>
  <sheetFormatPr baseColWidth="10" defaultColWidth="12.6640625" defaultRowHeight="15.75" customHeight="1" x14ac:dyDescent="0.2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10" style="2" customWidth="1"/>
    <col min="6" max="6" width="15.83203125" style="23" customWidth="1"/>
    <col min="7" max="7" width="17.83203125" style="23" bestFit="1" customWidth="1"/>
    <col min="8" max="8" width="15.83203125" style="23" customWidth="1"/>
    <col min="9" max="11" width="18.1640625" style="16" customWidth="1"/>
    <col min="12" max="14" width="18.1640625" style="6" customWidth="1"/>
    <col min="15" max="17" width="18.1640625" style="10" customWidth="1"/>
    <col min="18" max="18" width="13.5" style="2" bestFit="1" customWidth="1"/>
    <col min="19" max="19" width="15" style="2" customWidth="1"/>
    <col min="20" max="20" width="15" style="40" customWidth="1"/>
    <col min="21" max="21" width="13.5" style="2" bestFit="1" customWidth="1"/>
    <col min="22" max="22" width="15" style="2" customWidth="1"/>
    <col min="23" max="23" width="15" style="40" customWidth="1"/>
    <col min="24" max="24" width="13.5" style="2" bestFit="1" customWidth="1"/>
    <col min="25" max="25" width="15" style="2" customWidth="1"/>
    <col min="26" max="26" width="15" style="40" customWidth="1"/>
    <col min="27" max="27" width="13.5" style="2" bestFit="1" customWidth="1"/>
    <col min="28" max="28" width="15" style="2" customWidth="1"/>
    <col min="29" max="29" width="15" style="40" customWidth="1"/>
    <col min="30" max="30" width="13.5" style="2" bestFit="1" customWidth="1"/>
    <col min="31" max="31" width="15" style="2" customWidth="1"/>
    <col min="32" max="32" width="15" style="40" customWidth="1"/>
    <col min="33" max="34" width="15" style="2" customWidth="1"/>
    <col min="35" max="35" width="15" style="40" customWidth="1"/>
    <col min="36" max="16384" width="12.6640625" style="2"/>
  </cols>
  <sheetData>
    <row r="1" spans="1:41" ht="15.75" customHeight="1" x14ac:dyDescent="0.2">
      <c r="F1" s="42" t="s">
        <v>0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 t="s">
        <v>1</v>
      </c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41" s="11" customFormat="1" ht="46" customHeight="1" x14ac:dyDescent="0.2">
      <c r="A2" s="26" t="s">
        <v>2</v>
      </c>
      <c r="B2" s="26" t="s">
        <v>430</v>
      </c>
      <c r="C2" s="26" t="s">
        <v>431</v>
      </c>
      <c r="D2" s="26" t="s">
        <v>3</v>
      </c>
      <c r="E2" s="27" t="s">
        <v>450</v>
      </c>
      <c r="F2" s="28" t="s">
        <v>4</v>
      </c>
      <c r="G2" s="29" t="s">
        <v>5</v>
      </c>
      <c r="H2" s="30" t="s">
        <v>6</v>
      </c>
      <c r="I2" s="31" t="s">
        <v>7</v>
      </c>
      <c r="J2" s="32" t="s">
        <v>8</v>
      </c>
      <c r="K2" s="32" t="s">
        <v>9</v>
      </c>
      <c r="L2" s="33" t="s">
        <v>10</v>
      </c>
      <c r="M2" s="33" t="s">
        <v>11</v>
      </c>
      <c r="N2" s="33" t="s">
        <v>12</v>
      </c>
      <c r="O2" s="34" t="s">
        <v>13</v>
      </c>
      <c r="P2" s="34" t="s">
        <v>14</v>
      </c>
      <c r="Q2" s="34" t="s">
        <v>15</v>
      </c>
      <c r="R2" s="37" t="s">
        <v>16</v>
      </c>
      <c r="S2" s="37" t="s">
        <v>17</v>
      </c>
      <c r="T2" s="38" t="s">
        <v>18</v>
      </c>
      <c r="U2" s="37" t="s">
        <v>19</v>
      </c>
      <c r="V2" s="37" t="s">
        <v>20</v>
      </c>
      <c r="W2" s="38" t="s">
        <v>21</v>
      </c>
      <c r="X2" s="37" t="s">
        <v>22</v>
      </c>
      <c r="Y2" s="37" t="s">
        <v>23</v>
      </c>
      <c r="Z2" s="38" t="s">
        <v>24</v>
      </c>
      <c r="AA2" s="37" t="s">
        <v>25</v>
      </c>
      <c r="AB2" s="37" t="s">
        <v>26</v>
      </c>
      <c r="AC2" s="38" t="s">
        <v>27</v>
      </c>
      <c r="AD2" s="37" t="s">
        <v>28</v>
      </c>
      <c r="AE2" s="37" t="s">
        <v>29</v>
      </c>
      <c r="AF2" s="38" t="s">
        <v>30</v>
      </c>
      <c r="AG2" s="37" t="s">
        <v>31</v>
      </c>
      <c r="AH2" s="37" t="s">
        <v>32</v>
      </c>
      <c r="AI2" s="38" t="s">
        <v>33</v>
      </c>
      <c r="AJ2" s="37" t="s">
        <v>444</v>
      </c>
      <c r="AK2" s="37" t="s">
        <v>445</v>
      </c>
      <c r="AL2" s="38" t="s">
        <v>446</v>
      </c>
      <c r="AM2" s="37" t="s">
        <v>447</v>
      </c>
      <c r="AN2" s="37" t="s">
        <v>448</v>
      </c>
      <c r="AO2" s="38" t="s">
        <v>449</v>
      </c>
    </row>
    <row r="3" spans="1:41" ht="15.75" customHeight="1" x14ac:dyDescent="0.2">
      <c r="A3" s="1" t="s">
        <v>34</v>
      </c>
      <c r="B3" s="1" t="s">
        <v>428</v>
      </c>
      <c r="C3" s="1" t="s">
        <v>432</v>
      </c>
      <c r="D3" s="1" t="s">
        <v>35</v>
      </c>
      <c r="E3" s="25">
        <v>393</v>
      </c>
      <c r="F3" s="19">
        <v>116232.000072</v>
      </c>
      <c r="G3" s="20">
        <f t="shared" ref="G3:G34" si="0">J3+M3+P3</f>
        <v>72840.999985999995</v>
      </c>
      <c r="H3" s="24">
        <f t="shared" ref="H3:H34" si="1">G3/F3</f>
        <v>0.62668628209854937</v>
      </c>
      <c r="I3" s="12">
        <v>200</v>
      </c>
      <c r="J3" s="12">
        <v>62744.999954999999</v>
      </c>
      <c r="K3" s="13">
        <f t="shared" ref="K3:K34" si="2">J3/F3</f>
        <v>0.53982552064949896</v>
      </c>
      <c r="L3" s="5">
        <v>29</v>
      </c>
      <c r="M3" s="5">
        <v>8563.0000280000004</v>
      </c>
      <c r="N3" s="17">
        <f t="shared" ref="N3:N34" si="3">M3/F3</f>
        <v>7.3671622467957568E-2</v>
      </c>
      <c r="O3" s="8">
        <v>5</v>
      </c>
      <c r="P3" s="8">
        <v>1533.0000030000001</v>
      </c>
      <c r="Q3" s="18">
        <f t="shared" ref="Q3:Q34" si="4">P3/F3</f>
        <v>1.3189138981092833E-2</v>
      </c>
      <c r="R3" s="36">
        <v>514158</v>
      </c>
      <c r="S3" s="36">
        <v>424889</v>
      </c>
      <c r="T3" s="39">
        <v>0.82640000000000002</v>
      </c>
      <c r="U3" s="36">
        <v>2737179</v>
      </c>
      <c r="V3" s="36">
        <v>2062829</v>
      </c>
      <c r="W3" s="39">
        <v>0.75360000000000005</v>
      </c>
      <c r="X3" s="36">
        <v>2187960</v>
      </c>
      <c r="Y3" s="36">
        <v>1614788</v>
      </c>
      <c r="Z3" s="39">
        <v>0.73799999999999999</v>
      </c>
      <c r="AA3" s="36">
        <v>1695971</v>
      </c>
      <c r="AB3" s="36">
        <v>974053</v>
      </c>
      <c r="AC3" s="39">
        <v>0.57430000000000003</v>
      </c>
      <c r="AD3" s="36">
        <v>1713518</v>
      </c>
      <c r="AE3" s="36">
        <v>951121</v>
      </c>
      <c r="AF3" s="39">
        <v>0.55510000000000004</v>
      </c>
      <c r="AG3" s="36">
        <v>1201474</v>
      </c>
      <c r="AH3" s="36">
        <v>666090</v>
      </c>
      <c r="AI3" s="39">
        <v>0.5544</v>
      </c>
      <c r="AJ3" s="36">
        <v>137106</v>
      </c>
      <c r="AK3" s="36">
        <v>83429</v>
      </c>
      <c r="AL3" s="39">
        <v>0.60850000000000004</v>
      </c>
      <c r="AM3" s="36">
        <v>129571</v>
      </c>
      <c r="AN3" s="36">
        <v>83675</v>
      </c>
      <c r="AO3" s="39">
        <v>0.64580000000000004</v>
      </c>
    </row>
    <row r="4" spans="1:41" ht="15.75" customHeight="1" x14ac:dyDescent="0.2">
      <c r="A4" s="1" t="s">
        <v>36</v>
      </c>
      <c r="B4" s="1" t="s">
        <v>428</v>
      </c>
      <c r="C4" s="1" t="s">
        <v>432</v>
      </c>
      <c r="D4" s="1" t="s">
        <v>37</v>
      </c>
      <c r="E4" s="25">
        <v>504</v>
      </c>
      <c r="F4" s="21">
        <v>145909.00046800001</v>
      </c>
      <c r="G4" s="20">
        <f t="shared" si="0"/>
        <v>90523.000496000008</v>
      </c>
      <c r="H4" s="24">
        <f t="shared" si="1"/>
        <v>0.62040724153855764</v>
      </c>
      <c r="I4" s="12">
        <v>248</v>
      </c>
      <c r="J4" s="12">
        <v>74150.000392000002</v>
      </c>
      <c r="K4" s="13">
        <f t="shared" si="2"/>
        <v>0.50819346410547295</v>
      </c>
      <c r="L4" s="4">
        <v>54</v>
      </c>
      <c r="M4" s="4">
        <v>15060.000120999999</v>
      </c>
      <c r="N4" s="17">
        <f t="shared" si="3"/>
        <v>0.10321501807767423</v>
      </c>
      <c r="O4" s="9">
        <v>4</v>
      </c>
      <c r="P4" s="9">
        <v>1312.9999829999999</v>
      </c>
      <c r="Q4" s="18">
        <f t="shared" si="4"/>
        <v>8.9987593554104305E-3</v>
      </c>
      <c r="R4" s="36">
        <v>1155348</v>
      </c>
      <c r="S4" s="36">
        <v>1031010</v>
      </c>
      <c r="T4" s="39">
        <v>0.89239999999999997</v>
      </c>
      <c r="U4" s="36">
        <v>2350663</v>
      </c>
      <c r="V4" s="36">
        <v>1943541</v>
      </c>
      <c r="W4" s="39">
        <v>0.82679999999999998</v>
      </c>
      <c r="X4" s="36">
        <v>2445458</v>
      </c>
      <c r="Y4" s="36">
        <v>1824661</v>
      </c>
      <c r="Z4" s="39">
        <v>0.74609999999999999</v>
      </c>
      <c r="AA4" s="36">
        <v>2869331</v>
      </c>
      <c r="AB4" s="36">
        <v>1419176</v>
      </c>
      <c r="AC4" s="39">
        <v>0.49459999999999998</v>
      </c>
      <c r="AD4" s="36">
        <v>2647040</v>
      </c>
      <c r="AE4" s="36">
        <v>1198903</v>
      </c>
      <c r="AF4" s="39">
        <v>0.45290000000000002</v>
      </c>
      <c r="AG4" s="36">
        <v>1890211</v>
      </c>
      <c r="AH4" s="36">
        <v>897222</v>
      </c>
      <c r="AI4" s="39">
        <v>0.47470000000000001</v>
      </c>
      <c r="AJ4" s="36">
        <v>166380</v>
      </c>
      <c r="AK4" s="36">
        <v>106525</v>
      </c>
      <c r="AL4" s="39">
        <v>0.64019999999999999</v>
      </c>
      <c r="AM4" s="36">
        <v>162773</v>
      </c>
      <c r="AN4" s="36">
        <v>101267</v>
      </c>
      <c r="AO4" s="39">
        <v>0.62209999999999999</v>
      </c>
    </row>
    <row r="5" spans="1:41" ht="15.75" customHeight="1" x14ac:dyDescent="0.2">
      <c r="A5" s="1" t="s">
        <v>38</v>
      </c>
      <c r="B5" s="1" t="s">
        <v>428</v>
      </c>
      <c r="C5" s="1" t="s">
        <v>432</v>
      </c>
      <c r="D5" s="1" t="s">
        <v>39</v>
      </c>
      <c r="E5" s="25">
        <v>557</v>
      </c>
      <c r="F5" s="21">
        <v>147537.00050600001</v>
      </c>
      <c r="G5" s="20">
        <f t="shared" si="0"/>
        <v>77264.000389000008</v>
      </c>
      <c r="H5" s="24">
        <f t="shared" si="1"/>
        <v>0.52369236275654019</v>
      </c>
      <c r="I5" s="12">
        <v>244</v>
      </c>
      <c r="J5" s="12">
        <v>64232.000350000002</v>
      </c>
      <c r="K5" s="13">
        <f t="shared" si="2"/>
        <v>0.43536197787474895</v>
      </c>
      <c r="L5" s="4">
        <v>39</v>
      </c>
      <c r="M5" s="4">
        <v>11806.000022</v>
      </c>
      <c r="N5" s="17">
        <f t="shared" si="3"/>
        <v>8.0020604875452081E-2</v>
      </c>
      <c r="O5" s="9">
        <v>7</v>
      </c>
      <c r="P5" s="9">
        <v>1226.0000170000001</v>
      </c>
      <c r="Q5" s="18">
        <f t="shared" si="4"/>
        <v>8.3097800063390969E-3</v>
      </c>
      <c r="R5" s="36">
        <v>2308350</v>
      </c>
      <c r="S5" s="36">
        <v>1929996</v>
      </c>
      <c r="T5" s="39">
        <v>0.83609999999999995</v>
      </c>
      <c r="U5" s="36">
        <v>2221742</v>
      </c>
      <c r="V5" s="36">
        <v>1755068</v>
      </c>
      <c r="W5" s="39">
        <v>0.79</v>
      </c>
      <c r="X5" s="36">
        <v>2750310</v>
      </c>
      <c r="Y5" s="36">
        <v>2051801</v>
      </c>
      <c r="Z5" s="39">
        <v>0.746</v>
      </c>
      <c r="AA5" s="36">
        <v>2124366</v>
      </c>
      <c r="AB5" s="36">
        <v>1254611</v>
      </c>
      <c r="AC5" s="39">
        <v>0.59060000000000001</v>
      </c>
      <c r="AD5" s="36">
        <v>2025547</v>
      </c>
      <c r="AE5" s="36">
        <v>1098754</v>
      </c>
      <c r="AF5" s="39">
        <v>0.54239999999999999</v>
      </c>
      <c r="AG5" s="36">
        <v>1411901</v>
      </c>
      <c r="AH5" s="36">
        <v>874528</v>
      </c>
      <c r="AI5" s="39">
        <v>0.61939999999999995</v>
      </c>
      <c r="AJ5" s="36">
        <v>164801</v>
      </c>
      <c r="AK5" s="36">
        <v>94748</v>
      </c>
      <c r="AL5" s="39">
        <v>0.57489999999999997</v>
      </c>
      <c r="AM5" s="36">
        <v>144995</v>
      </c>
      <c r="AN5" s="36">
        <v>85363</v>
      </c>
      <c r="AO5" s="39">
        <v>0.5887</v>
      </c>
    </row>
    <row r="6" spans="1:41" ht="15.75" customHeight="1" x14ac:dyDescent="0.2">
      <c r="A6" s="1" t="s">
        <v>40</v>
      </c>
      <c r="B6" s="1" t="s">
        <v>428</v>
      </c>
      <c r="C6" s="1" t="s">
        <v>432</v>
      </c>
      <c r="D6" s="1" t="s">
        <v>41</v>
      </c>
      <c r="E6" s="25">
        <v>580</v>
      </c>
      <c r="F6" s="21">
        <v>142756.00042699999</v>
      </c>
      <c r="G6" s="20">
        <f t="shared" si="0"/>
        <v>82216.000327999995</v>
      </c>
      <c r="H6" s="24">
        <f t="shared" si="1"/>
        <v>0.57591975175882115</v>
      </c>
      <c r="I6" s="12">
        <v>249</v>
      </c>
      <c r="J6" s="12">
        <v>63677.000389000001</v>
      </c>
      <c r="K6" s="13">
        <f t="shared" si="2"/>
        <v>0.4460548081939435</v>
      </c>
      <c r="L6" s="4">
        <v>56</v>
      </c>
      <c r="M6" s="4">
        <v>16339.999926</v>
      </c>
      <c r="N6" s="17">
        <f t="shared" si="3"/>
        <v>0.11446103755446453</v>
      </c>
      <c r="O6" s="9">
        <v>8</v>
      </c>
      <c r="P6" s="9">
        <v>2199.0000129999999</v>
      </c>
      <c r="Q6" s="18">
        <f t="shared" si="4"/>
        <v>1.5403906010413098E-2</v>
      </c>
      <c r="R6" s="36">
        <v>2404653</v>
      </c>
      <c r="S6" s="36">
        <v>1899875</v>
      </c>
      <c r="T6" s="39">
        <v>0.79010000000000002</v>
      </c>
      <c r="U6" s="36">
        <v>2289696</v>
      </c>
      <c r="V6" s="36">
        <v>1796955</v>
      </c>
      <c r="W6" s="39">
        <v>0.78480000000000005</v>
      </c>
      <c r="X6" s="36">
        <v>2277167</v>
      </c>
      <c r="Y6" s="36">
        <v>1880023</v>
      </c>
      <c r="Z6" s="39">
        <v>0.8256</v>
      </c>
      <c r="AA6" s="36">
        <v>2123002</v>
      </c>
      <c r="AB6" s="36">
        <v>1495202</v>
      </c>
      <c r="AC6" s="39">
        <v>0.70430000000000004</v>
      </c>
      <c r="AD6" s="36">
        <v>1734979</v>
      </c>
      <c r="AE6" s="36">
        <v>1251551</v>
      </c>
      <c r="AF6" s="39">
        <v>0.72140000000000004</v>
      </c>
      <c r="AG6" s="36">
        <v>1305099</v>
      </c>
      <c r="AH6" s="36">
        <v>991903</v>
      </c>
      <c r="AI6" s="39">
        <v>0.76</v>
      </c>
      <c r="AJ6" s="36">
        <v>159765</v>
      </c>
      <c r="AK6" s="36">
        <v>96864</v>
      </c>
      <c r="AL6" s="39">
        <v>0.60629999999999995</v>
      </c>
      <c r="AM6" s="36">
        <v>168410</v>
      </c>
      <c r="AN6" s="36">
        <v>105097</v>
      </c>
      <c r="AO6" s="39">
        <v>0.62409999999999999</v>
      </c>
    </row>
    <row r="7" spans="1:41" ht="15.75" customHeight="1" x14ac:dyDescent="0.2">
      <c r="A7" s="1" t="s">
        <v>42</v>
      </c>
      <c r="B7" s="1" t="s">
        <v>428</v>
      </c>
      <c r="C7" s="1" t="s">
        <v>432</v>
      </c>
      <c r="D7" s="1" t="s">
        <v>43</v>
      </c>
      <c r="E7" s="25">
        <v>466</v>
      </c>
      <c r="F7" s="21">
        <v>131340.000554</v>
      </c>
      <c r="G7" s="20">
        <f t="shared" si="0"/>
        <v>64993.000267000003</v>
      </c>
      <c r="H7" s="24">
        <f t="shared" si="1"/>
        <v>0.49484543926340513</v>
      </c>
      <c r="I7" s="12">
        <v>189</v>
      </c>
      <c r="J7" s="12">
        <v>54585.000267000003</v>
      </c>
      <c r="K7" s="13">
        <f t="shared" si="2"/>
        <v>0.41560073120722701</v>
      </c>
      <c r="L7" s="4">
        <v>27</v>
      </c>
      <c r="M7" s="4">
        <v>8331.0000080000009</v>
      </c>
      <c r="N7" s="17">
        <f t="shared" si="3"/>
        <v>6.3430790108568169E-2</v>
      </c>
      <c r="O7" s="9">
        <v>4</v>
      </c>
      <c r="P7" s="9">
        <v>2076.999992</v>
      </c>
      <c r="Q7" s="18">
        <f t="shared" si="4"/>
        <v>1.5813917947609939E-2</v>
      </c>
      <c r="R7" s="36">
        <v>1994559</v>
      </c>
      <c r="S7" s="36">
        <v>1611313</v>
      </c>
      <c r="T7" s="39">
        <v>0.80789999999999995</v>
      </c>
      <c r="U7" s="36">
        <v>1918610</v>
      </c>
      <c r="V7" s="36">
        <v>1469659</v>
      </c>
      <c r="W7" s="39">
        <v>0.76600000000000001</v>
      </c>
      <c r="X7" s="36">
        <v>2417894</v>
      </c>
      <c r="Y7" s="36">
        <v>1787411</v>
      </c>
      <c r="Z7" s="39">
        <v>0.73919999999999997</v>
      </c>
      <c r="AA7" s="36">
        <v>1780604</v>
      </c>
      <c r="AB7" s="36">
        <v>1076607</v>
      </c>
      <c r="AC7" s="39">
        <v>0.60460000000000003</v>
      </c>
      <c r="AD7" s="36">
        <v>1579499</v>
      </c>
      <c r="AE7" s="36">
        <v>909145</v>
      </c>
      <c r="AF7" s="39">
        <v>0.5756</v>
      </c>
      <c r="AG7" s="36">
        <v>1126987</v>
      </c>
      <c r="AH7" s="36">
        <v>698332</v>
      </c>
      <c r="AI7" s="39">
        <v>0.61960000000000004</v>
      </c>
      <c r="AJ7" s="36">
        <v>143830</v>
      </c>
      <c r="AK7" s="36">
        <v>86561</v>
      </c>
      <c r="AL7" s="39">
        <v>0.6018</v>
      </c>
      <c r="AM7" s="36">
        <v>137383</v>
      </c>
      <c r="AN7" s="36">
        <v>84572</v>
      </c>
      <c r="AO7" s="39">
        <v>0.61560000000000004</v>
      </c>
    </row>
    <row r="8" spans="1:41" ht="15.75" customHeight="1" x14ac:dyDescent="0.2">
      <c r="A8" s="1" t="s">
        <v>44</v>
      </c>
      <c r="B8" s="1" t="s">
        <v>428</v>
      </c>
      <c r="C8" s="1" t="s">
        <v>433</v>
      </c>
      <c r="D8" s="1" t="s">
        <v>45</v>
      </c>
      <c r="E8" s="25">
        <v>788</v>
      </c>
      <c r="F8" s="21">
        <v>188887.00043300001</v>
      </c>
      <c r="G8" s="20">
        <f t="shared" si="0"/>
        <v>104122.00068499999</v>
      </c>
      <c r="H8" s="24">
        <f t="shared" si="1"/>
        <v>0.55123963240621765</v>
      </c>
      <c r="I8" s="12">
        <v>350</v>
      </c>
      <c r="J8" s="12">
        <v>84300.000509999998</v>
      </c>
      <c r="K8" s="13">
        <f t="shared" si="2"/>
        <v>0.44629858230980801</v>
      </c>
      <c r="L8" s="4">
        <v>71</v>
      </c>
      <c r="M8" s="4">
        <v>17892.000185000001</v>
      </c>
      <c r="N8" s="17">
        <f t="shared" si="3"/>
        <v>9.4723300936458366E-2</v>
      </c>
      <c r="O8" s="9">
        <v>9</v>
      </c>
      <c r="P8" s="9">
        <v>1929.99999</v>
      </c>
      <c r="Q8" s="18">
        <f t="shared" si="4"/>
        <v>1.0217749159951264E-2</v>
      </c>
      <c r="R8" s="36">
        <v>2751026</v>
      </c>
      <c r="S8" s="36">
        <v>2274767</v>
      </c>
      <c r="T8" s="39">
        <v>0.82689999999999997</v>
      </c>
      <c r="U8" s="36">
        <v>2700939</v>
      </c>
      <c r="V8" s="36">
        <v>1979096</v>
      </c>
      <c r="W8" s="39">
        <v>0.73270000000000002</v>
      </c>
      <c r="X8" s="36">
        <v>2626245</v>
      </c>
      <c r="Y8" s="36">
        <v>1899267</v>
      </c>
      <c r="Z8" s="39">
        <v>0.72319999999999995</v>
      </c>
      <c r="AA8" s="36">
        <v>2865562</v>
      </c>
      <c r="AB8" s="36">
        <v>1642709</v>
      </c>
      <c r="AC8" s="39">
        <v>0.57330000000000003</v>
      </c>
      <c r="AD8" s="36">
        <v>2788662</v>
      </c>
      <c r="AE8" s="36">
        <v>1554031</v>
      </c>
      <c r="AF8" s="39">
        <v>0.55730000000000002</v>
      </c>
      <c r="AG8" s="36">
        <v>1934003</v>
      </c>
      <c r="AH8" s="36">
        <v>1106517</v>
      </c>
      <c r="AI8" s="39">
        <v>0.57210000000000005</v>
      </c>
      <c r="AJ8" s="36">
        <v>209385</v>
      </c>
      <c r="AK8" s="36">
        <v>123174</v>
      </c>
      <c r="AL8" s="39">
        <v>0.58830000000000005</v>
      </c>
      <c r="AM8" s="36">
        <v>192338</v>
      </c>
      <c r="AN8" s="36">
        <v>106582</v>
      </c>
      <c r="AO8" s="39">
        <v>0.55410000000000004</v>
      </c>
    </row>
    <row r="9" spans="1:41" ht="15.75" customHeight="1" x14ac:dyDescent="0.2">
      <c r="A9" s="1" t="s">
        <v>46</v>
      </c>
      <c r="B9" s="1" t="s">
        <v>428</v>
      </c>
      <c r="C9" s="1" t="s">
        <v>433</v>
      </c>
      <c r="D9" s="1" t="s">
        <v>47</v>
      </c>
      <c r="E9" s="25">
        <v>586</v>
      </c>
      <c r="F9" s="21">
        <v>164208.00040399999</v>
      </c>
      <c r="G9" s="20">
        <f t="shared" si="0"/>
        <v>80209.000191999992</v>
      </c>
      <c r="H9" s="24">
        <f t="shared" si="1"/>
        <v>0.48845975832275074</v>
      </c>
      <c r="I9" s="12">
        <v>235</v>
      </c>
      <c r="J9" s="12">
        <v>66286.000182999996</v>
      </c>
      <c r="K9" s="13">
        <f t="shared" si="2"/>
        <v>0.40367095403340236</v>
      </c>
      <c r="L9" s="4">
        <v>36</v>
      </c>
      <c r="M9" s="4">
        <v>11846.999980000001</v>
      </c>
      <c r="N9" s="17">
        <f t="shared" si="3"/>
        <v>7.2146301951505981E-2</v>
      </c>
      <c r="O9" s="9">
        <v>6</v>
      </c>
      <c r="P9" s="9">
        <v>2076.0000289999998</v>
      </c>
      <c r="Q9" s="18">
        <f t="shared" si="4"/>
        <v>1.2642502337842426E-2</v>
      </c>
      <c r="R9" s="36">
        <v>2553521</v>
      </c>
      <c r="S9" s="36">
        <v>2132458</v>
      </c>
      <c r="T9" s="39">
        <v>0.83509999999999995</v>
      </c>
      <c r="U9" s="36">
        <v>2447368</v>
      </c>
      <c r="V9" s="36">
        <v>1810534</v>
      </c>
      <c r="W9" s="39">
        <v>0.73980000000000001</v>
      </c>
      <c r="X9" s="36">
        <v>2646500</v>
      </c>
      <c r="Y9" s="36">
        <v>1896005</v>
      </c>
      <c r="Z9" s="39">
        <v>0.71640000000000004</v>
      </c>
      <c r="AA9" s="36">
        <v>2236382</v>
      </c>
      <c r="AB9" s="36">
        <v>1333818</v>
      </c>
      <c r="AC9" s="39">
        <v>0.59640000000000004</v>
      </c>
      <c r="AD9" s="36">
        <v>2146768</v>
      </c>
      <c r="AE9" s="36">
        <v>1169755</v>
      </c>
      <c r="AF9" s="39">
        <v>0.54490000000000005</v>
      </c>
      <c r="AG9" s="36">
        <v>1559424</v>
      </c>
      <c r="AH9" s="36">
        <v>920475</v>
      </c>
      <c r="AI9" s="39">
        <v>0.59030000000000005</v>
      </c>
      <c r="AJ9" s="36">
        <v>175121</v>
      </c>
      <c r="AK9" s="36">
        <v>105806</v>
      </c>
      <c r="AL9" s="39">
        <v>0.60419999999999996</v>
      </c>
      <c r="AM9" s="36">
        <v>197353</v>
      </c>
      <c r="AN9" s="36">
        <v>129364</v>
      </c>
      <c r="AO9" s="39">
        <v>0.65549999999999997</v>
      </c>
    </row>
    <row r="10" spans="1:41" ht="15.75" customHeight="1" x14ac:dyDescent="0.2">
      <c r="A10" s="1" t="s">
        <v>48</v>
      </c>
      <c r="B10" s="1" t="s">
        <v>428</v>
      </c>
      <c r="C10" s="1" t="s">
        <v>432</v>
      </c>
      <c r="D10" s="1" t="s">
        <v>49</v>
      </c>
      <c r="E10" s="25">
        <v>499</v>
      </c>
      <c r="F10" s="21">
        <v>133041.000459</v>
      </c>
      <c r="G10" s="20">
        <f t="shared" si="0"/>
        <v>57037.999925999997</v>
      </c>
      <c r="H10" s="24">
        <f t="shared" si="1"/>
        <v>0.42872497748224403</v>
      </c>
      <c r="I10" s="12">
        <v>194</v>
      </c>
      <c r="J10" s="12">
        <v>47423</v>
      </c>
      <c r="K10" s="13">
        <f t="shared" si="2"/>
        <v>0.35645402422101158</v>
      </c>
      <c r="L10" s="4">
        <v>30</v>
      </c>
      <c r="M10" s="4">
        <v>7660.9999550000002</v>
      </c>
      <c r="N10" s="17">
        <f t="shared" si="3"/>
        <v>5.7583751840177527E-2</v>
      </c>
      <c r="O10" s="9">
        <v>5</v>
      </c>
      <c r="P10" s="9">
        <v>1953.999971</v>
      </c>
      <c r="Q10" s="18">
        <f t="shared" si="4"/>
        <v>1.4687201421054971E-2</v>
      </c>
      <c r="R10" s="36">
        <v>2110634</v>
      </c>
      <c r="S10" s="36">
        <v>1412095</v>
      </c>
      <c r="T10" s="39">
        <v>0.66900000000000004</v>
      </c>
      <c r="U10" s="36">
        <v>1942765</v>
      </c>
      <c r="V10" s="36">
        <v>1238696</v>
      </c>
      <c r="W10" s="39">
        <v>0.63759999999999994</v>
      </c>
      <c r="X10" s="36">
        <v>2023206</v>
      </c>
      <c r="Y10" s="36">
        <v>1354085</v>
      </c>
      <c r="Z10" s="39">
        <v>0.66930000000000001</v>
      </c>
      <c r="AA10" s="36">
        <v>1901351</v>
      </c>
      <c r="AB10" s="36">
        <v>958451</v>
      </c>
      <c r="AC10" s="39">
        <v>0.50409999999999999</v>
      </c>
      <c r="AD10" s="36">
        <v>1788484</v>
      </c>
      <c r="AE10" s="36">
        <v>897921</v>
      </c>
      <c r="AF10" s="39">
        <v>0.50209999999999999</v>
      </c>
      <c r="AG10" s="36">
        <v>1208020</v>
      </c>
      <c r="AH10" s="36">
        <v>645238</v>
      </c>
      <c r="AI10" s="39">
        <v>0.53410000000000002</v>
      </c>
      <c r="AJ10" s="36">
        <v>143190</v>
      </c>
      <c r="AK10" s="36">
        <v>66043</v>
      </c>
      <c r="AL10" s="39">
        <v>0.4612</v>
      </c>
      <c r="AM10" s="36">
        <v>133833</v>
      </c>
      <c r="AN10" s="36">
        <v>78791</v>
      </c>
      <c r="AO10" s="39">
        <v>0.5887</v>
      </c>
    </row>
    <row r="11" spans="1:41" ht="15.75" customHeight="1" x14ac:dyDescent="0.2">
      <c r="A11" s="1" t="s">
        <v>50</v>
      </c>
      <c r="B11" s="1" t="s">
        <v>428</v>
      </c>
      <c r="C11" s="1" t="s">
        <v>432</v>
      </c>
      <c r="D11" s="1" t="s">
        <v>51</v>
      </c>
      <c r="E11" s="25">
        <v>441</v>
      </c>
      <c r="F11" s="21">
        <v>111958.000424</v>
      </c>
      <c r="G11" s="20">
        <f t="shared" si="0"/>
        <v>53982.000128000007</v>
      </c>
      <c r="H11" s="24">
        <f t="shared" si="1"/>
        <v>0.4821629532821497</v>
      </c>
      <c r="I11" s="12">
        <v>167</v>
      </c>
      <c r="J11" s="12">
        <v>43383.000047000001</v>
      </c>
      <c r="K11" s="13">
        <f t="shared" si="2"/>
        <v>0.38749352330965853</v>
      </c>
      <c r="L11" s="4">
        <v>35</v>
      </c>
      <c r="M11" s="4">
        <v>10033.000072000001</v>
      </c>
      <c r="N11" s="17">
        <f t="shared" si="3"/>
        <v>8.9613962682467366E-2</v>
      </c>
      <c r="O11" s="9">
        <v>2</v>
      </c>
      <c r="P11" s="9">
        <v>566.00000899999998</v>
      </c>
      <c r="Q11" s="18">
        <f t="shared" si="4"/>
        <v>5.0554672900237751E-3</v>
      </c>
      <c r="R11" s="36">
        <v>1794561</v>
      </c>
      <c r="S11" s="36">
        <v>1467530</v>
      </c>
      <c r="T11" s="39">
        <v>0.81779999999999997</v>
      </c>
      <c r="U11" s="36">
        <v>1737734</v>
      </c>
      <c r="V11" s="36">
        <v>1261680</v>
      </c>
      <c r="W11" s="39">
        <v>0.72599999999999998</v>
      </c>
      <c r="X11" s="36">
        <v>2136385</v>
      </c>
      <c r="Y11" s="36">
        <v>1593986</v>
      </c>
      <c r="Z11" s="39">
        <v>0.74609999999999999</v>
      </c>
      <c r="AA11" s="36">
        <v>1910354</v>
      </c>
      <c r="AB11" s="36">
        <v>1117296</v>
      </c>
      <c r="AC11" s="39">
        <v>0.58489999999999998</v>
      </c>
      <c r="AD11" s="36">
        <v>2042289</v>
      </c>
      <c r="AE11" s="36">
        <v>973943</v>
      </c>
      <c r="AF11" s="39">
        <v>0.47689999999999999</v>
      </c>
      <c r="AG11" s="36">
        <v>1456005</v>
      </c>
      <c r="AH11" s="36">
        <v>764699</v>
      </c>
      <c r="AI11" s="39">
        <v>0.5252</v>
      </c>
      <c r="AJ11" s="36">
        <v>121424</v>
      </c>
      <c r="AK11" s="36">
        <v>64180</v>
      </c>
      <c r="AL11" s="39">
        <v>0.52859999999999996</v>
      </c>
      <c r="AM11" s="36">
        <v>116659</v>
      </c>
      <c r="AN11" s="36">
        <v>61038</v>
      </c>
      <c r="AO11" s="39">
        <v>0.5232</v>
      </c>
    </row>
    <row r="12" spans="1:41" ht="15.75" customHeight="1" x14ac:dyDescent="0.2">
      <c r="A12" s="1" t="s">
        <v>52</v>
      </c>
      <c r="B12" s="1" t="s">
        <v>428</v>
      </c>
      <c r="C12" s="1" t="s">
        <v>432</v>
      </c>
      <c r="D12" s="1" t="s">
        <v>53</v>
      </c>
      <c r="E12" s="25">
        <v>808</v>
      </c>
      <c r="F12" s="21">
        <v>184831.00070599999</v>
      </c>
      <c r="G12" s="20">
        <f t="shared" si="0"/>
        <v>94310.000402999998</v>
      </c>
      <c r="H12" s="24">
        <f t="shared" si="1"/>
        <v>0.51024990419769178</v>
      </c>
      <c r="I12" s="12">
        <v>353</v>
      </c>
      <c r="J12" s="12">
        <v>80882.000354999996</v>
      </c>
      <c r="K12" s="13">
        <f t="shared" si="2"/>
        <v>0.43759975353731018</v>
      </c>
      <c r="L12" s="4">
        <v>53</v>
      </c>
      <c r="M12" s="4">
        <v>11903.000040000001</v>
      </c>
      <c r="N12" s="17">
        <f t="shared" si="3"/>
        <v>6.4399370205939735E-2</v>
      </c>
      <c r="O12" s="9">
        <v>8</v>
      </c>
      <c r="P12" s="9">
        <v>1525.000008</v>
      </c>
      <c r="Q12" s="18">
        <f t="shared" si="4"/>
        <v>8.2507804544418896E-3</v>
      </c>
      <c r="R12" s="36">
        <v>2990837</v>
      </c>
      <c r="S12" s="36">
        <v>1950204</v>
      </c>
      <c r="T12" s="39">
        <v>0.65210000000000001</v>
      </c>
      <c r="U12" s="36">
        <v>2673268</v>
      </c>
      <c r="V12" s="36">
        <v>1636321</v>
      </c>
      <c r="W12" s="39">
        <v>0.61209999999999998</v>
      </c>
      <c r="X12" s="36">
        <v>2625146</v>
      </c>
      <c r="Y12" s="36">
        <v>1363178</v>
      </c>
      <c r="Z12" s="39">
        <v>0.51929999999999998</v>
      </c>
      <c r="AA12" s="36">
        <v>2730160</v>
      </c>
      <c r="AB12" s="36">
        <v>1447675</v>
      </c>
      <c r="AC12" s="39">
        <v>0.53029999999999999</v>
      </c>
      <c r="AD12" s="36">
        <v>2490977</v>
      </c>
      <c r="AE12" s="36">
        <v>1324176</v>
      </c>
      <c r="AF12" s="39">
        <v>0.53159999999999996</v>
      </c>
      <c r="AG12" s="36">
        <v>1624600</v>
      </c>
      <c r="AH12" s="36">
        <v>904859</v>
      </c>
      <c r="AI12" s="39">
        <v>0.55700000000000005</v>
      </c>
      <c r="AJ12" s="36">
        <v>202103</v>
      </c>
      <c r="AK12" s="36">
        <v>114491</v>
      </c>
      <c r="AL12" s="39">
        <v>0.5665</v>
      </c>
      <c r="AM12" s="36">
        <v>183455</v>
      </c>
      <c r="AN12" s="36">
        <v>103690</v>
      </c>
      <c r="AO12" s="39">
        <v>0.56520000000000004</v>
      </c>
    </row>
    <row r="13" spans="1:41" ht="15.75" customHeight="1" x14ac:dyDescent="0.2">
      <c r="A13" s="1" t="s">
        <v>54</v>
      </c>
      <c r="B13" s="1" t="s">
        <v>428</v>
      </c>
      <c r="C13" s="1" t="s">
        <v>433</v>
      </c>
      <c r="D13" s="1" t="s">
        <v>55</v>
      </c>
      <c r="E13" s="25">
        <v>510</v>
      </c>
      <c r="F13" s="21">
        <v>150406.00090700001</v>
      </c>
      <c r="G13" s="20">
        <f t="shared" si="0"/>
        <v>87670.000424000013</v>
      </c>
      <c r="H13" s="24">
        <f t="shared" si="1"/>
        <v>0.58288897979681464</v>
      </c>
      <c r="I13" s="12">
        <v>222</v>
      </c>
      <c r="J13" s="12">
        <v>67052.000367000001</v>
      </c>
      <c r="K13" s="13">
        <f t="shared" si="2"/>
        <v>0.44580668299571385</v>
      </c>
      <c r="L13" s="4">
        <v>44</v>
      </c>
      <c r="M13" s="4">
        <v>16095.000024000001</v>
      </c>
      <c r="N13" s="17">
        <f t="shared" si="3"/>
        <v>0.10701035814356877</v>
      </c>
      <c r="O13" s="9">
        <v>14</v>
      </c>
      <c r="P13" s="9">
        <v>4523.0000330000003</v>
      </c>
      <c r="Q13" s="18">
        <f t="shared" si="4"/>
        <v>3.0071938657531959E-2</v>
      </c>
      <c r="R13" s="36">
        <v>2568466</v>
      </c>
      <c r="S13" s="36">
        <v>1748243</v>
      </c>
      <c r="T13" s="39">
        <v>0.68069999999999997</v>
      </c>
      <c r="U13" s="36">
        <v>2398007</v>
      </c>
      <c r="V13" s="36">
        <v>1603013</v>
      </c>
      <c r="W13" s="39">
        <v>0.66849999999999998</v>
      </c>
      <c r="X13" s="36">
        <v>2726745</v>
      </c>
      <c r="Y13" s="36">
        <v>1903357</v>
      </c>
      <c r="Z13" s="39">
        <v>0.69799999999999995</v>
      </c>
      <c r="AA13" s="36">
        <v>2424405</v>
      </c>
      <c r="AB13" s="36">
        <v>1317988</v>
      </c>
      <c r="AC13" s="39">
        <v>0.54359999999999997</v>
      </c>
      <c r="AD13" s="36">
        <v>2140200</v>
      </c>
      <c r="AE13" s="36">
        <v>1089480</v>
      </c>
      <c r="AF13" s="39">
        <v>0.5091</v>
      </c>
      <c r="AG13" s="36">
        <v>1513442</v>
      </c>
      <c r="AH13" s="36">
        <v>893432</v>
      </c>
      <c r="AI13" s="39">
        <v>0.59030000000000005</v>
      </c>
      <c r="AJ13" s="36">
        <v>166491</v>
      </c>
      <c r="AK13" s="36">
        <v>106056</v>
      </c>
      <c r="AL13" s="39">
        <v>0.63700000000000001</v>
      </c>
      <c r="AM13" s="36">
        <v>182771</v>
      </c>
      <c r="AN13" s="36">
        <v>111750</v>
      </c>
      <c r="AO13" s="39">
        <v>0.61140000000000005</v>
      </c>
    </row>
    <row r="14" spans="1:41" ht="15.75" customHeight="1" x14ac:dyDescent="0.2">
      <c r="A14" s="1" t="s">
        <v>56</v>
      </c>
      <c r="B14" s="1" t="s">
        <v>428</v>
      </c>
      <c r="C14" s="1" t="s">
        <v>433</v>
      </c>
      <c r="D14" s="1" t="s">
        <v>57</v>
      </c>
      <c r="E14" s="25">
        <v>418</v>
      </c>
      <c r="F14" s="21">
        <v>112997.000273</v>
      </c>
      <c r="G14" s="20">
        <f t="shared" si="0"/>
        <v>59931.000139999996</v>
      </c>
      <c r="H14" s="24">
        <f t="shared" si="1"/>
        <v>0.5303769126189819</v>
      </c>
      <c r="I14" s="12">
        <v>181</v>
      </c>
      <c r="J14" s="12">
        <v>49339.000037999998</v>
      </c>
      <c r="K14" s="13">
        <f t="shared" si="2"/>
        <v>0.43663991007546488</v>
      </c>
      <c r="L14" s="4">
        <v>37</v>
      </c>
      <c r="M14" s="4">
        <v>9809.0000779999991</v>
      </c>
      <c r="N14" s="17">
        <f t="shared" si="3"/>
        <v>8.6807614842000405E-2</v>
      </c>
      <c r="O14" s="9">
        <v>4</v>
      </c>
      <c r="P14" s="9">
        <v>783.00002400000005</v>
      </c>
      <c r="Q14" s="18">
        <f t="shared" si="4"/>
        <v>6.9293877015166525E-3</v>
      </c>
      <c r="R14" s="36">
        <v>1438432</v>
      </c>
      <c r="S14" s="36">
        <v>1195557</v>
      </c>
      <c r="T14" s="39">
        <v>0.83120000000000005</v>
      </c>
      <c r="U14" s="36">
        <v>1490360</v>
      </c>
      <c r="V14" s="36">
        <v>1181448</v>
      </c>
      <c r="W14" s="39">
        <v>0.79269999999999996</v>
      </c>
      <c r="X14" s="36">
        <v>1789956</v>
      </c>
      <c r="Y14" s="36">
        <v>1406466</v>
      </c>
      <c r="Z14" s="39">
        <v>0.78580000000000005</v>
      </c>
      <c r="AA14" s="36">
        <v>1580040</v>
      </c>
      <c r="AB14" s="36">
        <v>895804</v>
      </c>
      <c r="AC14" s="39">
        <v>0.56689999999999996</v>
      </c>
      <c r="AD14" s="36">
        <v>1398228</v>
      </c>
      <c r="AE14" s="36">
        <v>711749</v>
      </c>
      <c r="AF14" s="39">
        <v>0.50900000000000001</v>
      </c>
      <c r="AG14" s="36">
        <v>1001029</v>
      </c>
      <c r="AH14" s="36">
        <v>572482</v>
      </c>
      <c r="AI14" s="39">
        <v>0.57189999999999996</v>
      </c>
      <c r="AJ14" s="36">
        <v>129638</v>
      </c>
      <c r="AK14" s="36">
        <v>74158</v>
      </c>
      <c r="AL14" s="39">
        <v>0.57199999999999995</v>
      </c>
      <c r="AM14" s="36">
        <v>107861</v>
      </c>
      <c r="AN14" s="36">
        <v>63659</v>
      </c>
      <c r="AO14" s="39">
        <v>0.59019999999999995</v>
      </c>
    </row>
    <row r="15" spans="1:41" ht="15.75" customHeight="1" x14ac:dyDescent="0.2">
      <c r="A15" s="1" t="s">
        <v>58</v>
      </c>
      <c r="B15" s="1" t="s">
        <v>428</v>
      </c>
      <c r="C15" s="1" t="s">
        <v>432</v>
      </c>
      <c r="D15" s="1" t="s">
        <v>59</v>
      </c>
      <c r="E15" s="25">
        <v>439</v>
      </c>
      <c r="F15" s="21">
        <v>104045.000849</v>
      </c>
      <c r="G15" s="20">
        <f t="shared" si="0"/>
        <v>54193.000401999998</v>
      </c>
      <c r="H15" s="24">
        <f t="shared" si="1"/>
        <v>0.52086116545522487</v>
      </c>
      <c r="I15" s="12">
        <v>181</v>
      </c>
      <c r="J15" s="12">
        <v>46016.000340999999</v>
      </c>
      <c r="K15" s="13">
        <f t="shared" si="2"/>
        <v>0.44227017122891654</v>
      </c>
      <c r="L15" s="4">
        <v>31</v>
      </c>
      <c r="M15" s="4">
        <v>7306.0000680000003</v>
      </c>
      <c r="N15" s="17">
        <f t="shared" si="3"/>
        <v>7.0219616592662265E-2</v>
      </c>
      <c r="O15" s="9">
        <v>3</v>
      </c>
      <c r="P15" s="9">
        <v>870.99999300000002</v>
      </c>
      <c r="Q15" s="18">
        <f t="shared" si="4"/>
        <v>8.3713776336460221E-3</v>
      </c>
      <c r="R15" s="36">
        <v>1905353</v>
      </c>
      <c r="S15" s="36">
        <v>1198511</v>
      </c>
      <c r="T15" s="39">
        <v>0.629</v>
      </c>
      <c r="U15" s="36">
        <v>1972817</v>
      </c>
      <c r="V15" s="36">
        <v>1152159</v>
      </c>
      <c r="W15" s="39">
        <v>0.58399999999999996</v>
      </c>
      <c r="X15" s="36">
        <v>2005605</v>
      </c>
      <c r="Y15" s="36">
        <v>1265694</v>
      </c>
      <c r="Z15" s="39">
        <v>0.63109999999999999</v>
      </c>
      <c r="AA15" s="36">
        <v>1825348</v>
      </c>
      <c r="AB15" s="36">
        <v>976941</v>
      </c>
      <c r="AC15" s="39">
        <v>0.53520000000000001</v>
      </c>
      <c r="AD15" s="36">
        <v>1693072</v>
      </c>
      <c r="AE15" s="36">
        <v>975196</v>
      </c>
      <c r="AF15" s="39">
        <v>0.57599999999999996</v>
      </c>
      <c r="AG15" s="36">
        <v>1190440</v>
      </c>
      <c r="AH15" s="36">
        <v>694017</v>
      </c>
      <c r="AI15" s="39">
        <v>0.58299999999999996</v>
      </c>
      <c r="AJ15" s="36">
        <v>112240</v>
      </c>
      <c r="AK15" s="36">
        <v>64926</v>
      </c>
      <c r="AL15" s="39">
        <v>0.57850000000000001</v>
      </c>
      <c r="AM15" s="36">
        <v>104202</v>
      </c>
      <c r="AN15" s="36">
        <v>60666</v>
      </c>
      <c r="AO15" s="39">
        <v>0.58220000000000005</v>
      </c>
    </row>
    <row r="16" spans="1:41" ht="15.75" customHeight="1" x14ac:dyDescent="0.2">
      <c r="A16" s="1" t="s">
        <v>60</v>
      </c>
      <c r="B16" s="1" t="s">
        <v>428</v>
      </c>
      <c r="C16" s="1" t="s">
        <v>434</v>
      </c>
      <c r="D16" s="1" t="s">
        <v>61</v>
      </c>
      <c r="E16" s="25">
        <v>447</v>
      </c>
      <c r="F16" s="21">
        <v>140380.00077899999</v>
      </c>
      <c r="G16" s="20">
        <f t="shared" si="0"/>
        <v>64246.000287999996</v>
      </c>
      <c r="H16" s="24">
        <f t="shared" si="1"/>
        <v>0.45765778552133196</v>
      </c>
      <c r="I16" s="12">
        <v>182</v>
      </c>
      <c r="J16" s="12">
        <v>55254.000187999998</v>
      </c>
      <c r="K16" s="13">
        <f t="shared" si="2"/>
        <v>0.39360307651647813</v>
      </c>
      <c r="L16" s="4">
        <v>27</v>
      </c>
      <c r="M16" s="4">
        <v>8352.0000789999995</v>
      </c>
      <c r="N16" s="17">
        <f t="shared" si="3"/>
        <v>5.9495654884263317E-2</v>
      </c>
      <c r="O16" s="9">
        <v>4</v>
      </c>
      <c r="P16" s="9">
        <v>640.00002099999995</v>
      </c>
      <c r="Q16" s="18">
        <f t="shared" si="4"/>
        <v>4.5590541205905175E-3</v>
      </c>
      <c r="R16" s="36">
        <v>1946187</v>
      </c>
      <c r="S16" s="36">
        <v>1234908</v>
      </c>
      <c r="T16" s="39">
        <v>0.63449999999999995</v>
      </c>
      <c r="U16" s="36">
        <v>2059200</v>
      </c>
      <c r="V16" s="36">
        <v>1153533</v>
      </c>
      <c r="W16" s="39">
        <v>0.56020000000000003</v>
      </c>
      <c r="X16" s="36">
        <v>2363675</v>
      </c>
      <c r="Y16" s="36">
        <v>1504899</v>
      </c>
      <c r="Z16" s="39">
        <v>0.63670000000000004</v>
      </c>
      <c r="AA16" s="36">
        <v>2226764</v>
      </c>
      <c r="AB16" s="36">
        <v>922420</v>
      </c>
      <c r="AC16" s="39">
        <v>0.41420000000000001</v>
      </c>
      <c r="AD16" s="36">
        <v>1781788</v>
      </c>
      <c r="AE16" s="36">
        <v>872759</v>
      </c>
      <c r="AF16" s="39">
        <v>0.48980000000000001</v>
      </c>
      <c r="AG16" s="36">
        <v>1268309</v>
      </c>
      <c r="AH16" s="36">
        <v>728785</v>
      </c>
      <c r="AI16" s="39">
        <v>0.5746</v>
      </c>
      <c r="AJ16" s="36">
        <v>151636</v>
      </c>
      <c r="AK16" s="36">
        <v>81906</v>
      </c>
      <c r="AL16" s="39">
        <v>0.54020000000000001</v>
      </c>
      <c r="AM16" s="36">
        <v>140141</v>
      </c>
      <c r="AN16" s="36">
        <v>73792</v>
      </c>
      <c r="AO16" s="39">
        <v>0.52659999999999996</v>
      </c>
    </row>
    <row r="17" spans="1:41" ht="15.75" customHeight="1" x14ac:dyDescent="0.2">
      <c r="A17" s="1" t="s">
        <v>62</v>
      </c>
      <c r="B17" s="1" t="s">
        <v>428</v>
      </c>
      <c r="C17" s="1" t="s">
        <v>432</v>
      </c>
      <c r="D17" s="1" t="s">
        <v>63</v>
      </c>
      <c r="E17" s="25">
        <v>495</v>
      </c>
      <c r="F17" s="21">
        <v>136914.00034100001</v>
      </c>
      <c r="G17" s="20">
        <f t="shared" si="0"/>
        <v>61636.000005000002</v>
      </c>
      <c r="H17" s="24">
        <f t="shared" si="1"/>
        <v>0.4501804041331674</v>
      </c>
      <c r="I17" s="12">
        <v>188</v>
      </c>
      <c r="J17" s="12">
        <v>51072.999966000003</v>
      </c>
      <c r="K17" s="13">
        <f t="shared" si="2"/>
        <v>0.3730297839431822</v>
      </c>
      <c r="L17" s="4">
        <v>32</v>
      </c>
      <c r="M17" s="4">
        <v>9150.0000299999992</v>
      </c>
      <c r="N17" s="17">
        <f t="shared" si="3"/>
        <v>6.6830273070766139E-2</v>
      </c>
      <c r="O17" s="9">
        <v>5</v>
      </c>
      <c r="P17" s="9">
        <v>1413.0000090000001</v>
      </c>
      <c r="Q17" s="18">
        <f t="shared" si="4"/>
        <v>1.0320347119219083E-2</v>
      </c>
      <c r="R17" s="36">
        <v>2462462</v>
      </c>
      <c r="S17" s="36">
        <v>1547081</v>
      </c>
      <c r="T17" s="39">
        <v>0.62829999999999997</v>
      </c>
      <c r="U17" s="36">
        <v>2430568</v>
      </c>
      <c r="V17" s="36">
        <v>1428868</v>
      </c>
      <c r="W17" s="39">
        <v>0.58789999999999998</v>
      </c>
      <c r="X17" s="36">
        <v>2312457</v>
      </c>
      <c r="Y17" s="36">
        <v>1396735</v>
      </c>
      <c r="Z17" s="39">
        <v>0.60399999999999998</v>
      </c>
      <c r="AA17" s="36">
        <v>2169185</v>
      </c>
      <c r="AB17" s="36">
        <v>1047866</v>
      </c>
      <c r="AC17" s="39">
        <v>0.48309999999999997</v>
      </c>
      <c r="AD17" s="36">
        <v>1962588</v>
      </c>
      <c r="AE17" s="36">
        <v>924685</v>
      </c>
      <c r="AF17" s="39">
        <v>0.47120000000000001</v>
      </c>
      <c r="AG17" s="36">
        <v>1352486</v>
      </c>
      <c r="AH17" s="36">
        <v>700100</v>
      </c>
      <c r="AI17" s="39">
        <v>0.51759999999999995</v>
      </c>
      <c r="AJ17" s="36">
        <v>152562</v>
      </c>
      <c r="AK17" s="36">
        <v>88864</v>
      </c>
      <c r="AL17" s="39">
        <v>0.58250000000000002</v>
      </c>
      <c r="AM17" s="36">
        <v>198034</v>
      </c>
      <c r="AN17" s="36">
        <v>123082</v>
      </c>
      <c r="AO17" s="39">
        <v>0.62150000000000005</v>
      </c>
    </row>
    <row r="18" spans="1:41" ht="15.75" customHeight="1" x14ac:dyDescent="0.2">
      <c r="A18" s="1" t="s">
        <v>64</v>
      </c>
      <c r="B18" s="1" t="s">
        <v>428</v>
      </c>
      <c r="C18" s="1" t="s">
        <v>432</v>
      </c>
      <c r="D18" s="1" t="s">
        <v>65</v>
      </c>
      <c r="E18" s="25">
        <v>474</v>
      </c>
      <c r="F18" s="21">
        <v>117540.00058399999</v>
      </c>
      <c r="G18" s="20">
        <f t="shared" si="0"/>
        <v>67049.000283999994</v>
      </c>
      <c r="H18" s="24">
        <f t="shared" si="1"/>
        <v>0.57043559597469462</v>
      </c>
      <c r="I18" s="12">
        <v>209</v>
      </c>
      <c r="J18" s="12">
        <v>53525.000226999997</v>
      </c>
      <c r="K18" s="13">
        <f t="shared" si="2"/>
        <v>0.4553768926413127</v>
      </c>
      <c r="L18" s="4">
        <v>46</v>
      </c>
      <c r="M18" s="4">
        <v>11532.000043</v>
      </c>
      <c r="N18" s="17">
        <f t="shared" si="3"/>
        <v>9.8111281144316928E-2</v>
      </c>
      <c r="O18" s="9">
        <v>6</v>
      </c>
      <c r="P18" s="9">
        <v>1992.000014</v>
      </c>
      <c r="Q18" s="18">
        <f t="shared" si="4"/>
        <v>1.6947422189065045E-2</v>
      </c>
      <c r="R18" s="36">
        <v>2586110</v>
      </c>
      <c r="S18" s="36">
        <v>1652095</v>
      </c>
      <c r="T18" s="39">
        <v>0.63880000000000003</v>
      </c>
      <c r="U18" s="36">
        <v>2293453</v>
      </c>
      <c r="V18" s="36">
        <v>1382123</v>
      </c>
      <c r="W18" s="39">
        <v>0.60260000000000002</v>
      </c>
      <c r="X18" s="36">
        <v>2326696</v>
      </c>
      <c r="Y18" s="36">
        <v>1439930</v>
      </c>
      <c r="Z18" s="39">
        <v>0.61890000000000001</v>
      </c>
      <c r="AA18" s="36">
        <v>2250592</v>
      </c>
      <c r="AB18" s="36">
        <v>1233602</v>
      </c>
      <c r="AC18" s="39">
        <v>0.54810000000000003</v>
      </c>
      <c r="AD18" s="36">
        <v>1895954</v>
      </c>
      <c r="AE18" s="36">
        <v>1056878</v>
      </c>
      <c r="AF18" s="39">
        <v>0.55740000000000001</v>
      </c>
      <c r="AG18" s="36">
        <v>1484769</v>
      </c>
      <c r="AH18" s="36">
        <v>916617</v>
      </c>
      <c r="AI18" s="39">
        <v>0.61729999999999996</v>
      </c>
      <c r="AJ18" s="36">
        <v>134808</v>
      </c>
      <c r="AK18" s="36">
        <v>79891</v>
      </c>
      <c r="AL18" s="39">
        <v>0.59260000000000002</v>
      </c>
      <c r="AM18" s="36">
        <v>111185</v>
      </c>
      <c r="AN18" s="36">
        <v>61830</v>
      </c>
      <c r="AO18" s="39">
        <v>0.55610000000000004</v>
      </c>
    </row>
    <row r="19" spans="1:41" ht="15.75" customHeight="1" x14ac:dyDescent="0.2">
      <c r="A19" s="1" t="s">
        <v>66</v>
      </c>
      <c r="B19" s="1" t="s">
        <v>428</v>
      </c>
      <c r="C19" s="1" t="s">
        <v>433</v>
      </c>
      <c r="D19" s="1" t="s">
        <v>67</v>
      </c>
      <c r="E19" s="25">
        <v>268</v>
      </c>
      <c r="F19" s="21">
        <v>79132.000260000001</v>
      </c>
      <c r="G19" s="20">
        <f t="shared" si="0"/>
        <v>38304.000031000003</v>
      </c>
      <c r="H19" s="24">
        <f t="shared" si="1"/>
        <v>0.48405196260863487</v>
      </c>
      <c r="I19" s="12">
        <v>117</v>
      </c>
      <c r="J19" s="12">
        <v>32958.000022</v>
      </c>
      <c r="K19" s="13">
        <f t="shared" si="2"/>
        <v>0.41649395836970593</v>
      </c>
      <c r="L19" s="4">
        <v>12</v>
      </c>
      <c r="M19" s="4">
        <v>4825.0000209999998</v>
      </c>
      <c r="N19" s="17">
        <f t="shared" si="3"/>
        <v>6.0974068709835995E-2</v>
      </c>
      <c r="O19" s="9">
        <v>2</v>
      </c>
      <c r="P19" s="9">
        <v>520.99998800000003</v>
      </c>
      <c r="Q19" s="18">
        <f t="shared" si="4"/>
        <v>6.5839355290928676E-3</v>
      </c>
      <c r="R19" s="36">
        <v>1979478</v>
      </c>
      <c r="S19" s="36">
        <v>1272126</v>
      </c>
      <c r="T19" s="39">
        <v>0.64270000000000005</v>
      </c>
      <c r="U19" s="36">
        <v>1781451</v>
      </c>
      <c r="V19" s="36">
        <v>1200935</v>
      </c>
      <c r="W19" s="39">
        <v>0.67410000000000003</v>
      </c>
      <c r="X19" s="36">
        <v>2208645</v>
      </c>
      <c r="Y19" s="36">
        <v>1519007</v>
      </c>
      <c r="Z19" s="39">
        <v>0.68779999999999997</v>
      </c>
      <c r="AA19" s="36">
        <v>1652867</v>
      </c>
      <c r="AB19" s="36">
        <v>956452</v>
      </c>
      <c r="AC19" s="39">
        <v>0.57869999999999999</v>
      </c>
      <c r="AD19" s="36">
        <v>1528785</v>
      </c>
      <c r="AE19" s="36">
        <v>888954</v>
      </c>
      <c r="AF19" s="39">
        <v>0.58150000000000002</v>
      </c>
      <c r="AG19" s="36">
        <v>1031256</v>
      </c>
      <c r="AH19" s="36">
        <v>637310</v>
      </c>
      <c r="AI19" s="39">
        <v>0.61799999999999999</v>
      </c>
      <c r="AJ19" s="36">
        <v>90348</v>
      </c>
      <c r="AK19" s="36">
        <v>57852</v>
      </c>
      <c r="AL19" s="39">
        <v>0.64029999999999998</v>
      </c>
      <c r="AM19" s="36">
        <v>98031</v>
      </c>
      <c r="AN19" s="36">
        <v>58482</v>
      </c>
      <c r="AO19" s="39">
        <v>0.59660000000000002</v>
      </c>
    </row>
    <row r="20" spans="1:41" ht="15.75" customHeight="1" x14ac:dyDescent="0.2">
      <c r="A20" s="1" t="s">
        <v>68</v>
      </c>
      <c r="B20" s="1" t="s">
        <v>428</v>
      </c>
      <c r="C20" s="1" t="s">
        <v>433</v>
      </c>
      <c r="D20" s="1" t="s">
        <v>69</v>
      </c>
      <c r="E20" s="25">
        <v>594</v>
      </c>
      <c r="F20" s="21">
        <v>170405.00076</v>
      </c>
      <c r="G20" s="20">
        <f t="shared" si="0"/>
        <v>66795.000279</v>
      </c>
      <c r="H20" s="24">
        <f t="shared" si="1"/>
        <v>0.39197793480881882</v>
      </c>
      <c r="I20" s="12">
        <v>202</v>
      </c>
      <c r="J20" s="12">
        <v>56190.000285000002</v>
      </c>
      <c r="K20" s="13">
        <f t="shared" si="2"/>
        <v>0.32974384574627902</v>
      </c>
      <c r="L20" s="4">
        <v>30</v>
      </c>
      <c r="M20" s="4">
        <v>8772.9999609999995</v>
      </c>
      <c r="N20" s="17">
        <f t="shared" si="3"/>
        <v>5.1483230667367416E-2</v>
      </c>
      <c r="O20" s="9">
        <v>6</v>
      </c>
      <c r="P20" s="9">
        <v>1832.000033</v>
      </c>
      <c r="Q20" s="18">
        <f t="shared" si="4"/>
        <v>1.0750858395172369E-2</v>
      </c>
      <c r="R20" s="36">
        <v>2286259</v>
      </c>
      <c r="S20" s="36">
        <v>1284277</v>
      </c>
      <c r="T20" s="39">
        <v>0.56169999999999998</v>
      </c>
      <c r="U20" s="36">
        <v>2154407</v>
      </c>
      <c r="V20" s="36">
        <v>1221781</v>
      </c>
      <c r="W20" s="39">
        <v>0.56710000000000005</v>
      </c>
      <c r="X20" s="36">
        <v>2575694</v>
      </c>
      <c r="Y20" s="36">
        <v>1520552</v>
      </c>
      <c r="Z20" s="39">
        <v>0.59030000000000005</v>
      </c>
      <c r="AA20" s="36">
        <v>2026663</v>
      </c>
      <c r="AB20" s="36">
        <v>994010</v>
      </c>
      <c r="AC20" s="39">
        <v>0.49049999999999999</v>
      </c>
      <c r="AD20" s="36">
        <v>1850153</v>
      </c>
      <c r="AE20" s="36">
        <v>864561</v>
      </c>
      <c r="AF20" s="39">
        <v>0.46729999999999999</v>
      </c>
      <c r="AG20" s="36">
        <v>1361634</v>
      </c>
      <c r="AH20" s="36">
        <v>723406</v>
      </c>
      <c r="AI20" s="39">
        <v>0.53129999999999999</v>
      </c>
      <c r="AJ20" s="36">
        <v>181730</v>
      </c>
      <c r="AK20" s="36">
        <v>107919</v>
      </c>
      <c r="AL20" s="39">
        <v>0.59379999999999999</v>
      </c>
      <c r="AM20" s="36">
        <v>184961</v>
      </c>
      <c r="AN20" s="36">
        <v>101469</v>
      </c>
      <c r="AO20" s="39">
        <v>0.54859999999999998</v>
      </c>
    </row>
    <row r="21" spans="1:41" ht="15.75" customHeight="1" x14ac:dyDescent="0.2">
      <c r="A21" s="1" t="s">
        <v>70</v>
      </c>
      <c r="B21" s="1" t="s">
        <v>428</v>
      </c>
      <c r="C21" s="1" t="s">
        <v>433</v>
      </c>
      <c r="D21" s="1" t="s">
        <v>71</v>
      </c>
      <c r="E21" s="25">
        <v>324</v>
      </c>
      <c r="F21" s="21">
        <v>91595.000543999995</v>
      </c>
      <c r="G21" s="20">
        <f t="shared" si="0"/>
        <v>44775.000305999994</v>
      </c>
      <c r="H21" s="24">
        <f t="shared" si="1"/>
        <v>0.48883672733307293</v>
      </c>
      <c r="I21" s="12">
        <v>139</v>
      </c>
      <c r="J21" s="12">
        <v>40286.000252999998</v>
      </c>
      <c r="K21" s="13">
        <f t="shared" si="2"/>
        <v>0.43982750165111456</v>
      </c>
      <c r="L21" s="4">
        <v>9</v>
      </c>
      <c r="M21" s="4">
        <v>2886.0000540000001</v>
      </c>
      <c r="N21" s="17">
        <f t="shared" si="3"/>
        <v>3.1508270504498073E-2</v>
      </c>
      <c r="O21" s="9">
        <v>8</v>
      </c>
      <c r="P21" s="9">
        <v>1602.9999989999999</v>
      </c>
      <c r="Q21" s="18">
        <f t="shared" si="4"/>
        <v>1.7500955177460347E-2</v>
      </c>
      <c r="R21" s="36">
        <v>1304166</v>
      </c>
      <c r="S21" s="36">
        <v>869802</v>
      </c>
      <c r="T21" s="39">
        <v>0.66690000000000005</v>
      </c>
      <c r="U21" s="36">
        <v>1239717</v>
      </c>
      <c r="V21" s="36">
        <v>848063</v>
      </c>
      <c r="W21" s="39">
        <v>0.68410000000000004</v>
      </c>
      <c r="X21" s="36">
        <v>1593396</v>
      </c>
      <c r="Y21" s="36">
        <v>1077960</v>
      </c>
      <c r="Z21" s="39">
        <v>0.67649999999999999</v>
      </c>
      <c r="AA21" s="36">
        <v>1182388</v>
      </c>
      <c r="AB21" s="36">
        <v>720371</v>
      </c>
      <c r="AC21" s="39">
        <v>0.60929999999999995</v>
      </c>
      <c r="AD21" s="36">
        <v>1127464</v>
      </c>
      <c r="AE21" s="36">
        <v>666439</v>
      </c>
      <c r="AF21" s="39">
        <v>0.59109999999999996</v>
      </c>
      <c r="AG21" s="36">
        <v>780199</v>
      </c>
      <c r="AH21" s="36">
        <v>489049</v>
      </c>
      <c r="AI21" s="39">
        <v>0.62680000000000002</v>
      </c>
      <c r="AJ21" s="36">
        <v>97808</v>
      </c>
      <c r="AK21" s="36">
        <v>52451</v>
      </c>
      <c r="AL21" s="39">
        <v>0.5363</v>
      </c>
      <c r="AM21" s="36">
        <v>87521</v>
      </c>
      <c r="AN21" s="36">
        <v>47149</v>
      </c>
      <c r="AO21" s="39">
        <v>0.53869999999999996</v>
      </c>
    </row>
    <row r="22" spans="1:41" ht="15.75" customHeight="1" x14ac:dyDescent="0.2">
      <c r="A22" s="1" t="s">
        <v>72</v>
      </c>
      <c r="B22" s="1" t="s">
        <v>428</v>
      </c>
      <c r="C22" s="1" t="s">
        <v>432</v>
      </c>
      <c r="D22" s="1" t="s">
        <v>73</v>
      </c>
      <c r="E22" s="25">
        <v>219</v>
      </c>
      <c r="F22" s="21">
        <v>51231.000171</v>
      </c>
      <c r="G22" s="20">
        <f t="shared" si="0"/>
        <v>26154.999995000002</v>
      </c>
      <c r="H22" s="24">
        <f t="shared" si="1"/>
        <v>0.5105307315433868</v>
      </c>
      <c r="I22" s="12">
        <v>83</v>
      </c>
      <c r="J22" s="12">
        <v>19869.999983000002</v>
      </c>
      <c r="K22" s="13">
        <f t="shared" si="2"/>
        <v>0.38785110414939122</v>
      </c>
      <c r="L22" s="4">
        <v>17</v>
      </c>
      <c r="M22" s="4">
        <v>4863.9999829999997</v>
      </c>
      <c r="N22" s="17">
        <f t="shared" si="3"/>
        <v>9.4942514625223587E-2</v>
      </c>
      <c r="O22" s="9">
        <v>5</v>
      </c>
      <c r="P22" s="9">
        <v>1421.000029</v>
      </c>
      <c r="Q22" s="18">
        <f t="shared" si="4"/>
        <v>2.7737112768771912E-2</v>
      </c>
      <c r="R22" s="36">
        <v>2212284</v>
      </c>
      <c r="S22" s="36">
        <v>1388336</v>
      </c>
      <c r="T22" s="39">
        <v>0.62760000000000005</v>
      </c>
      <c r="U22" s="36">
        <v>1952249</v>
      </c>
      <c r="V22" s="36">
        <v>1192141</v>
      </c>
      <c r="W22" s="39">
        <v>0.61070000000000002</v>
      </c>
      <c r="X22" s="36">
        <v>1900459</v>
      </c>
      <c r="Y22" s="36">
        <v>1138495</v>
      </c>
      <c r="Z22" s="39">
        <v>0.59909999999999997</v>
      </c>
      <c r="AA22" s="36">
        <v>1792705</v>
      </c>
      <c r="AB22" s="36">
        <v>1102833</v>
      </c>
      <c r="AC22" s="39">
        <v>0.61519999999999997</v>
      </c>
      <c r="AD22" s="36">
        <v>1656033</v>
      </c>
      <c r="AE22" s="36">
        <v>1030824</v>
      </c>
      <c r="AF22" s="39">
        <v>0.62250000000000005</v>
      </c>
      <c r="AG22" s="36">
        <v>1230814</v>
      </c>
      <c r="AH22" s="36">
        <v>801223</v>
      </c>
      <c r="AI22" s="39">
        <v>0.65100000000000002</v>
      </c>
      <c r="AJ22" s="36">
        <v>56135</v>
      </c>
      <c r="AK22" s="36">
        <v>30898</v>
      </c>
      <c r="AL22" s="39">
        <v>0.5504</v>
      </c>
      <c r="AM22" s="36">
        <v>58436</v>
      </c>
      <c r="AN22" s="36">
        <v>33297</v>
      </c>
      <c r="AO22" s="39">
        <v>0.56979999999999997</v>
      </c>
    </row>
    <row r="23" spans="1:41" ht="15.75" customHeight="1" x14ac:dyDescent="0.2">
      <c r="A23" s="1" t="s">
        <v>74</v>
      </c>
      <c r="B23" s="1" t="s">
        <v>428</v>
      </c>
      <c r="C23" s="1" t="s">
        <v>432</v>
      </c>
      <c r="D23" s="1" t="s">
        <v>75</v>
      </c>
      <c r="E23" s="25">
        <v>265</v>
      </c>
      <c r="F23" s="21">
        <v>60951.999761999999</v>
      </c>
      <c r="G23" s="20">
        <f t="shared" si="0"/>
        <v>31921.000012</v>
      </c>
      <c r="H23" s="24">
        <f t="shared" si="1"/>
        <v>0.52370718166167329</v>
      </c>
      <c r="I23" s="12">
        <v>100</v>
      </c>
      <c r="J23" s="12">
        <v>25016.999975999999</v>
      </c>
      <c r="K23" s="13">
        <f t="shared" si="2"/>
        <v>0.4104377226946479</v>
      </c>
      <c r="L23" s="4">
        <v>29</v>
      </c>
      <c r="M23" s="4">
        <v>6745.0000440000003</v>
      </c>
      <c r="N23" s="17">
        <f t="shared" si="3"/>
        <v>0.1106608490342775</v>
      </c>
      <c r="O23" s="9">
        <v>1</v>
      </c>
      <c r="P23" s="9">
        <v>158.99999199999999</v>
      </c>
      <c r="Q23" s="18">
        <f t="shared" si="4"/>
        <v>2.6086099327478863E-3</v>
      </c>
      <c r="R23" s="36">
        <v>1756691</v>
      </c>
      <c r="S23" s="36">
        <v>1029614</v>
      </c>
      <c r="T23" s="39">
        <v>0.58609999999999995</v>
      </c>
      <c r="U23" s="36">
        <v>1434140</v>
      </c>
      <c r="V23" s="36">
        <v>857788</v>
      </c>
      <c r="W23" s="39">
        <v>0.59809999999999997</v>
      </c>
      <c r="X23" s="36">
        <v>1326466</v>
      </c>
      <c r="Y23" s="36">
        <v>799585</v>
      </c>
      <c r="Z23" s="39">
        <v>0.6028</v>
      </c>
      <c r="AA23" s="36">
        <v>1484083</v>
      </c>
      <c r="AB23" s="36">
        <v>749309</v>
      </c>
      <c r="AC23" s="39">
        <v>0.50490000000000002</v>
      </c>
      <c r="AD23" s="36">
        <v>1356037</v>
      </c>
      <c r="AE23" s="36">
        <v>726134</v>
      </c>
      <c r="AF23" s="39">
        <v>0.53549999999999998</v>
      </c>
      <c r="AG23" s="36">
        <v>923629</v>
      </c>
      <c r="AH23" s="36">
        <v>497213</v>
      </c>
      <c r="AI23" s="39">
        <v>0.5383</v>
      </c>
      <c r="AJ23" s="36">
        <v>70992</v>
      </c>
      <c r="AK23" s="36">
        <v>39968</v>
      </c>
      <c r="AL23" s="39">
        <v>0.56299999999999994</v>
      </c>
      <c r="AM23" s="36">
        <v>68330</v>
      </c>
      <c r="AN23" s="36">
        <v>34494</v>
      </c>
      <c r="AO23" s="39">
        <v>0.50480000000000003</v>
      </c>
    </row>
    <row r="24" spans="1:41" ht="15.75" customHeight="1" x14ac:dyDescent="0.2">
      <c r="A24" s="1" t="s">
        <v>76</v>
      </c>
      <c r="B24" s="1" t="s">
        <v>428</v>
      </c>
      <c r="C24" s="1" t="s">
        <v>433</v>
      </c>
      <c r="D24" s="1" t="s">
        <v>77</v>
      </c>
      <c r="E24" s="25">
        <v>600</v>
      </c>
      <c r="F24" s="21">
        <v>171445.001101</v>
      </c>
      <c r="G24" s="20">
        <f t="shared" si="0"/>
        <v>102164.00052500001</v>
      </c>
      <c r="H24" s="24">
        <f t="shared" si="1"/>
        <v>0.59589955886094426</v>
      </c>
      <c r="I24" s="12">
        <v>271</v>
      </c>
      <c r="J24" s="12">
        <v>78352.000427999999</v>
      </c>
      <c r="K24" s="13">
        <f t="shared" si="2"/>
        <v>0.45700953614764211</v>
      </c>
      <c r="L24" s="4">
        <v>80</v>
      </c>
      <c r="M24" s="4">
        <v>21810.000126999999</v>
      </c>
      <c r="N24" s="17">
        <f t="shared" si="3"/>
        <v>0.12721280869630899</v>
      </c>
      <c r="O24" s="9">
        <v>7</v>
      </c>
      <c r="P24" s="9">
        <v>2001.9999700000001</v>
      </c>
      <c r="Q24" s="18">
        <f t="shared" si="4"/>
        <v>1.1677214016993131E-2</v>
      </c>
      <c r="R24" s="36">
        <v>3045305</v>
      </c>
      <c r="S24" s="36">
        <v>1777824</v>
      </c>
      <c r="T24" s="39">
        <v>0.58379999999999999</v>
      </c>
      <c r="U24" s="36">
        <v>2584871</v>
      </c>
      <c r="V24" s="36">
        <v>1465188</v>
      </c>
      <c r="W24" s="39">
        <v>0.56679999999999997</v>
      </c>
      <c r="X24" s="36">
        <v>2663323</v>
      </c>
      <c r="Y24" s="36">
        <v>1650521</v>
      </c>
      <c r="Z24" s="39">
        <v>0.61970000000000003</v>
      </c>
      <c r="AA24" s="36">
        <v>2700257</v>
      </c>
      <c r="AB24" s="36">
        <v>1449995</v>
      </c>
      <c r="AC24" s="39">
        <v>0.53700000000000003</v>
      </c>
      <c r="AD24" s="36">
        <v>2606739</v>
      </c>
      <c r="AE24" s="36">
        <v>1381473</v>
      </c>
      <c r="AF24" s="39">
        <v>0.53</v>
      </c>
      <c r="AG24" s="36">
        <v>1894858</v>
      </c>
      <c r="AH24" s="36">
        <v>1096580</v>
      </c>
      <c r="AI24" s="39">
        <v>0.57869999999999999</v>
      </c>
      <c r="AJ24" s="36">
        <v>184738</v>
      </c>
      <c r="AK24" s="36">
        <v>121652</v>
      </c>
      <c r="AL24" s="39">
        <v>0.65849999999999997</v>
      </c>
      <c r="AM24" s="36">
        <v>153427</v>
      </c>
      <c r="AN24" s="36">
        <v>93960</v>
      </c>
      <c r="AO24" s="39">
        <v>0.61240000000000006</v>
      </c>
    </row>
    <row r="25" spans="1:41" ht="15.75" customHeight="1" x14ac:dyDescent="0.2">
      <c r="A25" s="1" t="s">
        <v>78</v>
      </c>
      <c r="B25" s="1" t="s">
        <v>428</v>
      </c>
      <c r="C25" s="1" t="s">
        <v>432</v>
      </c>
      <c r="D25" s="1" t="s">
        <v>79</v>
      </c>
      <c r="E25" s="25">
        <v>510</v>
      </c>
      <c r="F25" s="21">
        <v>194699.00084600001</v>
      </c>
      <c r="G25" s="20">
        <f t="shared" si="0"/>
        <v>102826.000375</v>
      </c>
      <c r="H25" s="24">
        <f t="shared" si="1"/>
        <v>0.52812803315992218</v>
      </c>
      <c r="I25" s="12">
        <v>212</v>
      </c>
      <c r="J25" s="12">
        <v>97631.000373000003</v>
      </c>
      <c r="K25" s="13">
        <f t="shared" si="2"/>
        <v>0.50144582123573733</v>
      </c>
      <c r="L25" s="4">
        <v>14</v>
      </c>
      <c r="M25" s="4">
        <v>3264.9999929999999</v>
      </c>
      <c r="N25" s="17">
        <f t="shared" si="3"/>
        <v>1.6769474824282735E-2</v>
      </c>
      <c r="O25" s="9">
        <v>10</v>
      </c>
      <c r="P25" s="9">
        <v>1930.0000090000001</v>
      </c>
      <c r="Q25" s="18">
        <f t="shared" si="4"/>
        <v>9.9127370999020255E-3</v>
      </c>
      <c r="R25" s="36">
        <v>3433309</v>
      </c>
      <c r="S25" s="36">
        <v>2215664</v>
      </c>
      <c r="T25" s="39">
        <v>0.64529999999999998</v>
      </c>
      <c r="U25" s="36">
        <v>3137755</v>
      </c>
      <c r="V25" s="36">
        <v>1936234</v>
      </c>
      <c r="W25" s="39">
        <v>0.61709999999999998</v>
      </c>
      <c r="X25" s="36">
        <v>3939743</v>
      </c>
      <c r="Y25" s="36">
        <v>2460424</v>
      </c>
      <c r="Z25" s="39">
        <v>0.62450000000000006</v>
      </c>
      <c r="AA25" s="36">
        <v>3033791</v>
      </c>
      <c r="AB25" s="36">
        <v>1628791</v>
      </c>
      <c r="AC25" s="39">
        <v>0.53690000000000004</v>
      </c>
      <c r="AD25" s="36">
        <v>2814726</v>
      </c>
      <c r="AE25" s="36">
        <v>1523768</v>
      </c>
      <c r="AF25" s="39">
        <v>0.54139999999999999</v>
      </c>
      <c r="AG25" s="36">
        <v>2015849</v>
      </c>
      <c r="AH25" s="36">
        <v>1144871</v>
      </c>
      <c r="AI25" s="39">
        <v>0.56789999999999996</v>
      </c>
      <c r="AJ25" s="36">
        <v>213797</v>
      </c>
      <c r="AK25" s="36">
        <v>130126</v>
      </c>
      <c r="AL25" s="39">
        <v>0.60860000000000003</v>
      </c>
      <c r="AM25" s="36">
        <v>189530</v>
      </c>
      <c r="AN25" s="36">
        <v>96341</v>
      </c>
      <c r="AO25" s="39">
        <v>0.50829999999999997</v>
      </c>
    </row>
    <row r="26" spans="1:41" ht="15.75" customHeight="1" x14ac:dyDescent="0.2">
      <c r="A26" s="1" t="s">
        <v>80</v>
      </c>
      <c r="B26" s="1" t="s">
        <v>428</v>
      </c>
      <c r="C26" s="1" t="s">
        <v>432</v>
      </c>
      <c r="D26" s="1" t="s">
        <v>81</v>
      </c>
      <c r="E26" s="25">
        <v>803</v>
      </c>
      <c r="F26" s="21">
        <v>211774.00043499999</v>
      </c>
      <c r="G26" s="20">
        <f t="shared" si="0"/>
        <v>122996.00026300001</v>
      </c>
      <c r="H26" s="24">
        <f t="shared" si="1"/>
        <v>0.58078895431146793</v>
      </c>
      <c r="I26" s="12">
        <v>383</v>
      </c>
      <c r="J26" s="12">
        <v>103557.00012700001</v>
      </c>
      <c r="K26" s="13">
        <f t="shared" si="2"/>
        <v>0.48899770469597781</v>
      </c>
      <c r="L26" s="4">
        <v>61</v>
      </c>
      <c r="M26" s="4">
        <v>17017.000125999999</v>
      </c>
      <c r="N26" s="17">
        <f t="shared" si="3"/>
        <v>8.0354529314485154E-2</v>
      </c>
      <c r="O26" s="9">
        <v>13</v>
      </c>
      <c r="P26" s="9">
        <v>2422.0000100000002</v>
      </c>
      <c r="Q26" s="18">
        <f t="shared" si="4"/>
        <v>1.1436720301004972E-2</v>
      </c>
      <c r="R26" s="36">
        <v>3622999</v>
      </c>
      <c r="S26" s="36">
        <v>2289625</v>
      </c>
      <c r="T26" s="39">
        <v>0.63200000000000001</v>
      </c>
      <c r="U26" s="36">
        <v>3665101</v>
      </c>
      <c r="V26" s="36">
        <v>2287905</v>
      </c>
      <c r="W26" s="39">
        <v>0.62419999999999998</v>
      </c>
      <c r="X26" s="36">
        <v>3754460</v>
      </c>
      <c r="Y26" s="36">
        <v>2458717</v>
      </c>
      <c r="Z26" s="39">
        <v>0.65490000000000004</v>
      </c>
      <c r="AA26" s="36">
        <v>3285032</v>
      </c>
      <c r="AB26" s="36">
        <v>1806994</v>
      </c>
      <c r="AC26" s="39">
        <v>0.55010000000000003</v>
      </c>
      <c r="AD26" s="36">
        <v>3058771</v>
      </c>
      <c r="AE26" s="36">
        <v>1696377</v>
      </c>
      <c r="AF26" s="39">
        <v>0.55459999999999998</v>
      </c>
      <c r="AG26" s="36">
        <v>2320579</v>
      </c>
      <c r="AH26" s="36">
        <v>1455429</v>
      </c>
      <c r="AI26" s="39">
        <v>0.62719999999999998</v>
      </c>
      <c r="AJ26" s="36">
        <v>233489</v>
      </c>
      <c r="AK26" s="36">
        <v>138670</v>
      </c>
      <c r="AL26" s="39">
        <v>0.59389999999999998</v>
      </c>
      <c r="AM26" s="36">
        <v>217242</v>
      </c>
      <c r="AN26" s="36">
        <v>130942</v>
      </c>
      <c r="AO26" s="39">
        <v>0.60270000000000001</v>
      </c>
    </row>
    <row r="27" spans="1:41" ht="15.75" customHeight="1" x14ac:dyDescent="0.2">
      <c r="A27" s="1" t="s">
        <v>82</v>
      </c>
      <c r="B27" s="1" t="s">
        <v>428</v>
      </c>
      <c r="C27" s="1" t="s">
        <v>432</v>
      </c>
      <c r="D27" s="1" t="s">
        <v>83</v>
      </c>
      <c r="E27" s="25">
        <v>350</v>
      </c>
      <c r="F27" s="21">
        <v>91894.000518000001</v>
      </c>
      <c r="G27" s="20">
        <f t="shared" si="0"/>
        <v>48878.000255999999</v>
      </c>
      <c r="H27" s="24">
        <f t="shared" si="1"/>
        <v>0.53189544453912285</v>
      </c>
      <c r="I27" s="12">
        <v>157</v>
      </c>
      <c r="J27" s="12">
        <v>39110.000189999999</v>
      </c>
      <c r="K27" s="13">
        <f t="shared" si="2"/>
        <v>0.4255990594548032</v>
      </c>
      <c r="L27" s="4">
        <v>31</v>
      </c>
      <c r="M27" s="4">
        <v>9213.0000839999993</v>
      </c>
      <c r="N27" s="17">
        <f t="shared" si="3"/>
        <v>0.10025681798666906</v>
      </c>
      <c r="O27" s="9">
        <v>2</v>
      </c>
      <c r="P27" s="9">
        <v>554.99998200000005</v>
      </c>
      <c r="Q27" s="18">
        <f t="shared" si="4"/>
        <v>6.0395670976506003E-3</v>
      </c>
      <c r="R27" s="36">
        <v>1955888</v>
      </c>
      <c r="S27" s="36">
        <v>1124600</v>
      </c>
      <c r="T27" s="39">
        <v>0.57499999999999996</v>
      </c>
      <c r="U27" s="36">
        <v>1987968</v>
      </c>
      <c r="V27" s="36">
        <v>1098966</v>
      </c>
      <c r="W27" s="39">
        <v>0.55279999999999996</v>
      </c>
      <c r="X27" s="36">
        <v>2407509</v>
      </c>
      <c r="Y27" s="36">
        <v>1370245</v>
      </c>
      <c r="Z27" s="39">
        <v>0.56920000000000004</v>
      </c>
      <c r="AA27" s="36">
        <v>1651264</v>
      </c>
      <c r="AB27" s="36">
        <v>910817</v>
      </c>
      <c r="AC27" s="39">
        <v>0.55159999999999998</v>
      </c>
      <c r="AD27" s="36">
        <v>1633958</v>
      </c>
      <c r="AE27" s="36">
        <v>904628</v>
      </c>
      <c r="AF27" s="39">
        <v>0.55359999999999998</v>
      </c>
      <c r="AG27" s="36">
        <v>1174768</v>
      </c>
      <c r="AH27" s="36">
        <v>755848</v>
      </c>
      <c r="AI27" s="39">
        <v>0.64339999999999997</v>
      </c>
      <c r="AJ27" s="36">
        <v>107815</v>
      </c>
      <c r="AK27" s="36">
        <v>61239</v>
      </c>
      <c r="AL27" s="39">
        <v>0.56799999999999995</v>
      </c>
      <c r="AM27" s="36">
        <v>90248</v>
      </c>
      <c r="AN27" s="36">
        <v>49086</v>
      </c>
      <c r="AO27" s="39">
        <v>0.54390000000000005</v>
      </c>
    </row>
    <row r="28" spans="1:41" ht="15.75" customHeight="1" x14ac:dyDescent="0.2">
      <c r="A28" s="1" t="s">
        <v>84</v>
      </c>
      <c r="B28" s="1" t="s">
        <v>428</v>
      </c>
      <c r="C28" s="1" t="s">
        <v>432</v>
      </c>
      <c r="D28" s="1" t="s">
        <v>85</v>
      </c>
      <c r="E28" s="25">
        <v>420</v>
      </c>
      <c r="F28" s="21">
        <v>98274.000241999995</v>
      </c>
      <c r="G28" s="20">
        <f t="shared" si="0"/>
        <v>55634.000257</v>
      </c>
      <c r="H28" s="24">
        <f t="shared" si="1"/>
        <v>0.566111078413427</v>
      </c>
      <c r="I28" s="12">
        <v>199</v>
      </c>
      <c r="J28" s="12">
        <v>46382.000285000002</v>
      </c>
      <c r="K28" s="13">
        <f t="shared" si="2"/>
        <v>0.47196613723654474</v>
      </c>
      <c r="L28" s="4">
        <v>31</v>
      </c>
      <c r="M28" s="4">
        <v>7018.9999690000004</v>
      </c>
      <c r="N28" s="17">
        <f t="shared" si="3"/>
        <v>7.1422756290735023E-2</v>
      </c>
      <c r="O28" s="9">
        <v>10</v>
      </c>
      <c r="P28" s="9">
        <v>2233.0000030000001</v>
      </c>
      <c r="Q28" s="18">
        <f t="shared" si="4"/>
        <v>2.2722184886147214E-2</v>
      </c>
      <c r="R28" s="36">
        <v>2179085</v>
      </c>
      <c r="S28" s="36">
        <v>1110817</v>
      </c>
      <c r="T28" s="39">
        <v>0.50980000000000003</v>
      </c>
      <c r="U28" s="36">
        <v>1917148</v>
      </c>
      <c r="V28" s="36">
        <v>1028512</v>
      </c>
      <c r="W28" s="39">
        <v>0.53649999999999998</v>
      </c>
      <c r="X28" s="36">
        <v>2064749</v>
      </c>
      <c r="Y28" s="36">
        <v>1191279</v>
      </c>
      <c r="Z28" s="39">
        <v>0.57699999999999996</v>
      </c>
      <c r="AA28" s="36">
        <v>1589658</v>
      </c>
      <c r="AB28" s="36">
        <v>904792</v>
      </c>
      <c r="AC28" s="39">
        <v>0.56920000000000004</v>
      </c>
      <c r="AD28" s="36">
        <v>1494296</v>
      </c>
      <c r="AE28" s="36">
        <v>890719</v>
      </c>
      <c r="AF28" s="39">
        <v>0.59609999999999996</v>
      </c>
      <c r="AG28" s="36">
        <v>1079979</v>
      </c>
      <c r="AH28" s="36">
        <v>668822</v>
      </c>
      <c r="AI28" s="39">
        <v>0.61929999999999996</v>
      </c>
      <c r="AJ28" s="36">
        <v>114879</v>
      </c>
      <c r="AK28" s="36">
        <v>65806</v>
      </c>
      <c r="AL28" s="39">
        <v>0.57279999999999998</v>
      </c>
      <c r="AM28" s="36">
        <v>110877</v>
      </c>
      <c r="AN28" s="36">
        <v>59812</v>
      </c>
      <c r="AO28" s="39">
        <v>0.53939999999999999</v>
      </c>
    </row>
    <row r="29" spans="1:41" ht="15.75" customHeight="1" x14ac:dyDescent="0.2">
      <c r="A29" s="1" t="s">
        <v>86</v>
      </c>
      <c r="B29" s="1" t="s">
        <v>429</v>
      </c>
      <c r="C29" s="1" t="s">
        <v>432</v>
      </c>
      <c r="D29" s="1" t="s">
        <v>87</v>
      </c>
      <c r="E29" s="25">
        <v>794</v>
      </c>
      <c r="F29" s="21">
        <v>173838.00021299999</v>
      </c>
      <c r="G29" s="20">
        <f t="shared" si="0"/>
        <v>151673.00016499998</v>
      </c>
      <c r="H29" s="24">
        <f t="shared" si="1"/>
        <v>0.87249623200426996</v>
      </c>
      <c r="I29" s="12">
        <v>657</v>
      </c>
      <c r="J29" s="12">
        <v>138326.00013299999</v>
      </c>
      <c r="K29" s="13">
        <f t="shared" si="2"/>
        <v>0.79571785204335121</v>
      </c>
      <c r="L29" s="4">
        <v>54</v>
      </c>
      <c r="M29" s="4">
        <v>12460.000040999999</v>
      </c>
      <c r="N29" s="17">
        <f t="shared" si="3"/>
        <v>7.1675928311031117E-2</v>
      </c>
      <c r="O29" s="9">
        <v>5</v>
      </c>
      <c r="P29" s="9">
        <v>886.99999100000002</v>
      </c>
      <c r="Q29" s="18">
        <f t="shared" si="4"/>
        <v>5.1024516498876992E-3</v>
      </c>
      <c r="R29" s="36">
        <v>2480012</v>
      </c>
      <c r="S29" s="36">
        <v>1960906</v>
      </c>
      <c r="T29" s="39">
        <v>0.79069999999999996</v>
      </c>
      <c r="U29" s="36">
        <v>2229424</v>
      </c>
      <c r="V29" s="36">
        <v>1728499</v>
      </c>
      <c r="W29" s="39">
        <v>0.77529999999999999</v>
      </c>
      <c r="X29" s="36">
        <v>2079859</v>
      </c>
      <c r="Y29" s="36">
        <v>1641966</v>
      </c>
      <c r="Z29" s="39">
        <v>0.78949999999999998</v>
      </c>
      <c r="AA29" s="36">
        <v>2155829</v>
      </c>
      <c r="AB29" s="36">
        <v>1478440</v>
      </c>
      <c r="AC29" s="39">
        <v>0.68579999999999997</v>
      </c>
      <c r="AD29" s="36">
        <v>1955661</v>
      </c>
      <c r="AE29" s="36">
        <v>1512909</v>
      </c>
      <c r="AF29" s="39">
        <v>0.77359999999999995</v>
      </c>
      <c r="AG29" s="36">
        <v>1335223</v>
      </c>
      <c r="AH29" s="36">
        <v>1045681</v>
      </c>
      <c r="AI29" s="39">
        <v>0.78320000000000001</v>
      </c>
      <c r="AJ29" s="36">
        <v>194837</v>
      </c>
      <c r="AK29" s="36">
        <v>188922</v>
      </c>
      <c r="AL29" s="39">
        <v>0.96960000000000002</v>
      </c>
      <c r="AM29" s="36">
        <v>177365</v>
      </c>
      <c r="AN29" s="36">
        <v>167449</v>
      </c>
      <c r="AO29" s="39">
        <v>0.94410000000000005</v>
      </c>
    </row>
    <row r="30" spans="1:41" ht="15.75" customHeight="1" x14ac:dyDescent="0.2">
      <c r="A30" s="1" t="s">
        <v>88</v>
      </c>
      <c r="B30" s="1" t="s">
        <v>428</v>
      </c>
      <c r="C30" s="1" t="s">
        <v>432</v>
      </c>
      <c r="D30" s="1" t="s">
        <v>89</v>
      </c>
      <c r="E30" s="25">
        <v>502</v>
      </c>
      <c r="F30" s="21">
        <v>144454.000157</v>
      </c>
      <c r="G30" s="20">
        <f t="shared" si="0"/>
        <v>76305.999905000004</v>
      </c>
      <c r="H30" s="24">
        <f t="shared" si="1"/>
        <v>0.52823736152731482</v>
      </c>
      <c r="I30" s="12">
        <v>234</v>
      </c>
      <c r="J30" s="12">
        <v>68980.999953000006</v>
      </c>
      <c r="K30" s="13">
        <f t="shared" si="2"/>
        <v>0.47752917799457212</v>
      </c>
      <c r="L30" s="4">
        <v>20</v>
      </c>
      <c r="M30" s="4">
        <v>5260.9999950000001</v>
      </c>
      <c r="N30" s="17">
        <f t="shared" si="3"/>
        <v>3.6419898301757486E-2</v>
      </c>
      <c r="O30" s="9">
        <v>7</v>
      </c>
      <c r="P30" s="9">
        <v>2063.999957</v>
      </c>
      <c r="Q30" s="18">
        <f t="shared" si="4"/>
        <v>1.4288285230985222E-2</v>
      </c>
      <c r="R30" s="36">
        <v>2431524</v>
      </c>
      <c r="S30" s="36">
        <v>1388388</v>
      </c>
      <c r="T30" s="39">
        <v>0.57099999999999995</v>
      </c>
      <c r="U30" s="36">
        <v>2514470</v>
      </c>
      <c r="V30" s="36">
        <v>1475237</v>
      </c>
      <c r="W30" s="39">
        <v>0.5867</v>
      </c>
      <c r="X30" s="36">
        <v>2663019</v>
      </c>
      <c r="Y30" s="36">
        <v>1598973</v>
      </c>
      <c r="Z30" s="39">
        <v>0.60040000000000004</v>
      </c>
      <c r="AA30" s="36">
        <v>2175569</v>
      </c>
      <c r="AB30" s="36">
        <v>1116907</v>
      </c>
      <c r="AC30" s="39">
        <v>0.51339999999999997</v>
      </c>
      <c r="AD30" s="36">
        <v>2148003</v>
      </c>
      <c r="AE30" s="36">
        <v>1179245</v>
      </c>
      <c r="AF30" s="39">
        <v>0.54900000000000004</v>
      </c>
      <c r="AG30" s="36">
        <v>1508647</v>
      </c>
      <c r="AH30" s="36">
        <v>968539</v>
      </c>
      <c r="AI30" s="39">
        <v>0.64200000000000002</v>
      </c>
      <c r="AJ30" s="36">
        <v>164504</v>
      </c>
      <c r="AK30" s="36">
        <v>93801</v>
      </c>
      <c r="AL30" s="39">
        <v>0.57020000000000004</v>
      </c>
      <c r="AM30" s="36">
        <v>123987</v>
      </c>
      <c r="AN30" s="36">
        <v>73184</v>
      </c>
      <c r="AO30" s="39">
        <v>0.59030000000000005</v>
      </c>
    </row>
    <row r="31" spans="1:41" ht="15.75" customHeight="1" x14ac:dyDescent="0.2">
      <c r="A31" s="1" t="s">
        <v>90</v>
      </c>
      <c r="B31" s="1" t="s">
        <v>428</v>
      </c>
      <c r="C31" s="1" t="s">
        <v>432</v>
      </c>
      <c r="D31" s="1" t="s">
        <v>91</v>
      </c>
      <c r="E31" s="25">
        <v>492</v>
      </c>
      <c r="F31" s="21">
        <v>139542.00050600001</v>
      </c>
      <c r="G31" s="20">
        <f t="shared" si="0"/>
        <v>77694.000251000005</v>
      </c>
      <c r="H31" s="24">
        <f t="shared" si="1"/>
        <v>0.55677860407096091</v>
      </c>
      <c r="I31" s="12">
        <v>236</v>
      </c>
      <c r="J31" s="12">
        <v>68439.000188000005</v>
      </c>
      <c r="K31" s="13">
        <f t="shared" si="2"/>
        <v>0.49045448638997602</v>
      </c>
      <c r="L31" s="4">
        <v>34</v>
      </c>
      <c r="M31" s="4">
        <v>8847.0000749999999</v>
      </c>
      <c r="N31" s="17">
        <f t="shared" si="3"/>
        <v>6.3400266893977902E-2</v>
      </c>
      <c r="O31" s="9">
        <v>3</v>
      </c>
      <c r="P31" s="9">
        <v>407.99998799999997</v>
      </c>
      <c r="Q31" s="18">
        <f t="shared" si="4"/>
        <v>2.9238507870070047E-3</v>
      </c>
      <c r="R31" s="36">
        <v>2456143</v>
      </c>
      <c r="S31" s="36">
        <v>1201351</v>
      </c>
      <c r="T31" s="39">
        <v>0.48909999999999998</v>
      </c>
      <c r="U31" s="36">
        <v>2348692</v>
      </c>
      <c r="V31" s="36">
        <v>1163269</v>
      </c>
      <c r="W31" s="39">
        <v>0.49530000000000002</v>
      </c>
      <c r="X31" s="36">
        <v>2688509</v>
      </c>
      <c r="Y31" s="36">
        <v>1384488</v>
      </c>
      <c r="Z31" s="39">
        <v>0.51500000000000001</v>
      </c>
      <c r="AA31" s="36">
        <v>1865586</v>
      </c>
      <c r="AB31" s="36">
        <v>897012</v>
      </c>
      <c r="AC31" s="39">
        <v>0.48080000000000001</v>
      </c>
      <c r="AD31" s="36">
        <v>1762398</v>
      </c>
      <c r="AE31" s="36">
        <v>908770</v>
      </c>
      <c r="AF31" s="39">
        <v>0.51559999999999995</v>
      </c>
      <c r="AG31" s="36">
        <v>1263474</v>
      </c>
      <c r="AH31" s="36">
        <v>749272</v>
      </c>
      <c r="AI31" s="39">
        <v>0.59299999999999997</v>
      </c>
      <c r="AJ31" s="36">
        <v>152377</v>
      </c>
      <c r="AK31" s="36">
        <v>91364</v>
      </c>
      <c r="AL31" s="39">
        <v>0.59960000000000002</v>
      </c>
      <c r="AM31" s="36">
        <v>144824</v>
      </c>
      <c r="AN31" s="36">
        <v>81975</v>
      </c>
      <c r="AO31" s="39">
        <v>0.56599999999999995</v>
      </c>
    </row>
    <row r="32" spans="1:41" ht="15.75" customHeight="1" x14ac:dyDescent="0.2">
      <c r="A32" s="1" t="s">
        <v>92</v>
      </c>
      <c r="B32" s="1" t="s">
        <v>428</v>
      </c>
      <c r="C32" s="1" t="s">
        <v>435</v>
      </c>
      <c r="D32" s="1" t="s">
        <v>93</v>
      </c>
      <c r="E32" s="25">
        <v>759</v>
      </c>
      <c r="F32" s="21">
        <v>185583.000719</v>
      </c>
      <c r="G32" s="20">
        <f t="shared" si="0"/>
        <v>94306.00063000001</v>
      </c>
      <c r="H32" s="24">
        <f t="shared" si="1"/>
        <v>0.50816077046190877</v>
      </c>
      <c r="I32" s="12">
        <v>293</v>
      </c>
      <c r="J32" s="12">
        <v>72837.000486000004</v>
      </c>
      <c r="K32" s="13">
        <f t="shared" si="2"/>
        <v>0.39247668269081365</v>
      </c>
      <c r="L32" s="4">
        <v>63</v>
      </c>
      <c r="M32" s="4">
        <v>15179.000062999999</v>
      </c>
      <c r="N32" s="17">
        <f t="shared" si="3"/>
        <v>8.1790896818094025E-2</v>
      </c>
      <c r="O32" s="9">
        <v>26</v>
      </c>
      <c r="P32" s="9">
        <v>6290.0000810000001</v>
      </c>
      <c r="Q32" s="18">
        <f t="shared" si="4"/>
        <v>3.3893190953001057E-2</v>
      </c>
      <c r="R32" s="36">
        <v>2126127</v>
      </c>
      <c r="S32" s="36">
        <v>1313516</v>
      </c>
      <c r="T32" s="39">
        <v>0.61780000000000002</v>
      </c>
      <c r="U32" s="36">
        <v>2202734</v>
      </c>
      <c r="V32" s="36">
        <v>1296517</v>
      </c>
      <c r="W32" s="39">
        <v>0.58860000000000001</v>
      </c>
      <c r="X32" s="36">
        <v>2098763</v>
      </c>
      <c r="Y32" s="36">
        <v>1070714</v>
      </c>
      <c r="Z32" s="39">
        <v>0.51019999999999999</v>
      </c>
      <c r="AA32" s="36">
        <v>2084036</v>
      </c>
      <c r="AB32" s="36">
        <v>1057004</v>
      </c>
      <c r="AC32" s="39">
        <v>0.50719999999999998</v>
      </c>
      <c r="AD32" s="36">
        <v>1872408</v>
      </c>
      <c r="AE32" s="36">
        <v>965433</v>
      </c>
      <c r="AF32" s="39">
        <v>0.51559999999999995</v>
      </c>
      <c r="AG32" s="36">
        <v>1265525</v>
      </c>
      <c r="AH32" s="36">
        <v>677595</v>
      </c>
      <c r="AI32" s="39">
        <v>0.53539999999999999</v>
      </c>
      <c r="AJ32" s="36">
        <v>184129</v>
      </c>
      <c r="AK32" s="36">
        <v>99798</v>
      </c>
      <c r="AL32" s="39">
        <v>0.54200000000000004</v>
      </c>
      <c r="AM32" s="36">
        <v>178839</v>
      </c>
      <c r="AN32" s="36">
        <v>107579</v>
      </c>
      <c r="AO32" s="39">
        <v>0.60150000000000003</v>
      </c>
    </row>
    <row r="33" spans="1:41" ht="15.75" customHeight="1" x14ac:dyDescent="0.2">
      <c r="A33" s="1" t="s">
        <v>94</v>
      </c>
      <c r="B33" s="1" t="s">
        <v>428</v>
      </c>
      <c r="C33" s="1" t="s">
        <v>432</v>
      </c>
      <c r="D33" s="1" t="s">
        <v>95</v>
      </c>
      <c r="E33" s="25">
        <v>598</v>
      </c>
      <c r="F33" s="21">
        <v>153508.00064899999</v>
      </c>
      <c r="G33" s="20">
        <f t="shared" si="0"/>
        <v>75936.000262000001</v>
      </c>
      <c r="H33" s="24">
        <f t="shared" si="1"/>
        <v>0.49467128710528663</v>
      </c>
      <c r="I33" s="12">
        <v>255</v>
      </c>
      <c r="J33" s="12">
        <v>66307.000188000005</v>
      </c>
      <c r="K33" s="13">
        <f t="shared" si="2"/>
        <v>0.4319449143215191</v>
      </c>
      <c r="L33" s="4">
        <v>32</v>
      </c>
      <c r="M33" s="4">
        <v>8198.0000889999992</v>
      </c>
      <c r="N33" s="17">
        <f t="shared" si="3"/>
        <v>5.3404383187459645E-2</v>
      </c>
      <c r="O33" s="9">
        <v>8</v>
      </c>
      <c r="P33" s="9">
        <v>1430.9999849999999</v>
      </c>
      <c r="Q33" s="18">
        <f t="shared" si="4"/>
        <v>9.3219895963078721E-3</v>
      </c>
      <c r="R33" s="36">
        <v>2997900</v>
      </c>
      <c r="S33" s="36">
        <v>1757042</v>
      </c>
      <c r="T33" s="39">
        <v>0.58609999999999995</v>
      </c>
      <c r="U33" s="36">
        <v>2656696</v>
      </c>
      <c r="V33" s="36">
        <v>1541642</v>
      </c>
      <c r="W33" s="39">
        <v>0.58030000000000004</v>
      </c>
      <c r="X33" s="36">
        <v>2757141</v>
      </c>
      <c r="Y33" s="36">
        <v>1647775</v>
      </c>
      <c r="Z33" s="39">
        <v>0.59760000000000002</v>
      </c>
      <c r="AA33" s="36">
        <v>2722674</v>
      </c>
      <c r="AB33" s="36">
        <v>1363264</v>
      </c>
      <c r="AC33" s="39">
        <v>0.50070000000000003</v>
      </c>
      <c r="AD33" s="36">
        <v>2565797</v>
      </c>
      <c r="AE33" s="36">
        <v>1296769</v>
      </c>
      <c r="AF33" s="39">
        <v>0.50539999999999996</v>
      </c>
      <c r="AG33" s="36">
        <v>1733787</v>
      </c>
      <c r="AH33" s="36">
        <v>952932</v>
      </c>
      <c r="AI33" s="39">
        <v>0.54959999999999998</v>
      </c>
      <c r="AJ33" s="36">
        <v>165961</v>
      </c>
      <c r="AK33" s="36">
        <v>100420</v>
      </c>
      <c r="AL33" s="39">
        <v>0.60509999999999997</v>
      </c>
      <c r="AM33" s="36">
        <v>169442</v>
      </c>
      <c r="AN33" s="36">
        <v>110128</v>
      </c>
      <c r="AO33" s="39">
        <v>0.64990000000000003</v>
      </c>
    </row>
    <row r="34" spans="1:41" ht="15.75" customHeight="1" x14ac:dyDescent="0.2">
      <c r="A34" s="1" t="s">
        <v>96</v>
      </c>
      <c r="B34" s="1" t="s">
        <v>428</v>
      </c>
      <c r="C34" s="1" t="s">
        <v>432</v>
      </c>
      <c r="D34" s="1" t="s">
        <v>97</v>
      </c>
      <c r="E34" s="25">
        <v>345</v>
      </c>
      <c r="F34" s="21">
        <v>100798.000246</v>
      </c>
      <c r="G34" s="20">
        <f t="shared" si="0"/>
        <v>54093.000146999992</v>
      </c>
      <c r="H34" s="24">
        <f t="shared" si="1"/>
        <v>0.53664755267946485</v>
      </c>
      <c r="I34" s="12">
        <v>158</v>
      </c>
      <c r="J34" s="12">
        <v>46565.000163999997</v>
      </c>
      <c r="K34" s="13">
        <f t="shared" si="2"/>
        <v>0.46196353152202396</v>
      </c>
      <c r="L34" s="4">
        <v>16</v>
      </c>
      <c r="M34" s="4">
        <v>6634.9999710000002</v>
      </c>
      <c r="N34" s="17">
        <f t="shared" si="3"/>
        <v>6.5824718296068577E-2</v>
      </c>
      <c r="O34" s="9">
        <v>2</v>
      </c>
      <c r="P34" s="9">
        <v>893.00001199999997</v>
      </c>
      <c r="Q34" s="18">
        <f t="shared" si="4"/>
        <v>8.8593028613723635E-3</v>
      </c>
      <c r="R34" s="36">
        <v>1912112</v>
      </c>
      <c r="S34" s="36">
        <v>1326113</v>
      </c>
      <c r="T34" s="39">
        <v>0.69350000000000001</v>
      </c>
      <c r="U34" s="36">
        <v>1811710</v>
      </c>
      <c r="V34" s="36">
        <v>1222373</v>
      </c>
      <c r="W34" s="39">
        <v>0.67469999999999997</v>
      </c>
      <c r="X34" s="36">
        <v>2059140</v>
      </c>
      <c r="Y34" s="36">
        <v>1447584</v>
      </c>
      <c r="Z34" s="39">
        <v>0.70299999999999996</v>
      </c>
      <c r="AA34" s="36">
        <v>1765839</v>
      </c>
      <c r="AB34" s="36">
        <v>1129253</v>
      </c>
      <c r="AC34" s="39">
        <v>0.63949999999999996</v>
      </c>
      <c r="AD34" s="36">
        <v>1573840</v>
      </c>
      <c r="AE34" s="36">
        <v>981217</v>
      </c>
      <c r="AF34" s="39">
        <v>0.62350000000000005</v>
      </c>
      <c r="AG34" s="36">
        <v>1094984</v>
      </c>
      <c r="AH34" s="36">
        <v>747741</v>
      </c>
      <c r="AI34" s="39">
        <v>0.68289999999999995</v>
      </c>
      <c r="AJ34" s="36">
        <v>105570</v>
      </c>
      <c r="AK34" s="36">
        <v>59729</v>
      </c>
      <c r="AL34" s="39">
        <v>0.56579999999999997</v>
      </c>
      <c r="AM34" s="36">
        <v>105689</v>
      </c>
      <c r="AN34" s="36">
        <v>61444</v>
      </c>
      <c r="AO34" s="39">
        <v>0.58140000000000003</v>
      </c>
    </row>
    <row r="35" spans="1:41" ht="15.75" customHeight="1" x14ac:dyDescent="0.2">
      <c r="A35" s="1" t="s">
        <v>98</v>
      </c>
      <c r="B35" s="1" t="s">
        <v>428</v>
      </c>
      <c r="C35" s="1" t="s">
        <v>432</v>
      </c>
      <c r="D35" s="1" t="s">
        <v>99</v>
      </c>
      <c r="E35" s="25">
        <v>583</v>
      </c>
      <c r="F35" s="21">
        <v>128197.00073499999</v>
      </c>
      <c r="G35" s="20">
        <f t="shared" ref="G35:G66" si="5">J35+M35+P35</f>
        <v>50078.000465999998</v>
      </c>
      <c r="H35" s="24">
        <f t="shared" ref="H35:H66" si="6">G35/F35</f>
        <v>0.39063316753812199</v>
      </c>
      <c r="I35" s="12">
        <v>196</v>
      </c>
      <c r="J35" s="12">
        <v>40268.000318999999</v>
      </c>
      <c r="K35" s="13">
        <f t="shared" ref="K35:K66" si="7">J35/F35</f>
        <v>0.31411031528139438</v>
      </c>
      <c r="L35" s="4">
        <v>30</v>
      </c>
      <c r="M35" s="4">
        <v>6245.0000659999996</v>
      </c>
      <c r="N35" s="17">
        <f t="shared" ref="N35:N66" si="8">M35/F35</f>
        <v>4.8714088708746266E-2</v>
      </c>
      <c r="O35" s="9">
        <v>15</v>
      </c>
      <c r="P35" s="9">
        <v>3565.0000810000001</v>
      </c>
      <c r="Q35" s="18">
        <f t="shared" ref="Q35:Q66" si="9">P35/F35</f>
        <v>2.7808763547981303E-2</v>
      </c>
      <c r="R35" s="36">
        <v>2994332</v>
      </c>
      <c r="S35" s="36">
        <v>1607625</v>
      </c>
      <c r="T35" s="39">
        <v>0.53690000000000004</v>
      </c>
      <c r="U35" s="36">
        <v>2504500</v>
      </c>
      <c r="V35" s="36">
        <v>1286357</v>
      </c>
      <c r="W35" s="39">
        <v>0.51359999999999995</v>
      </c>
      <c r="X35" s="36">
        <v>2212617</v>
      </c>
      <c r="Y35" s="36">
        <v>1093283</v>
      </c>
      <c r="Z35" s="39">
        <v>0.49409999999999998</v>
      </c>
      <c r="AA35" s="36">
        <v>2555071</v>
      </c>
      <c r="AB35" s="36">
        <v>1414352</v>
      </c>
      <c r="AC35" s="39">
        <v>0.55349999999999999</v>
      </c>
      <c r="AD35" s="36">
        <v>2019358</v>
      </c>
      <c r="AE35" s="36">
        <v>1088857</v>
      </c>
      <c r="AF35" s="39">
        <v>0.53920000000000001</v>
      </c>
      <c r="AG35" s="36">
        <v>1412997</v>
      </c>
      <c r="AH35" s="36">
        <v>793483</v>
      </c>
      <c r="AI35" s="39">
        <v>0.56159999999999999</v>
      </c>
      <c r="AJ35" s="36">
        <v>143400</v>
      </c>
      <c r="AK35" s="36">
        <v>67980</v>
      </c>
      <c r="AL35" s="39">
        <v>0.47410000000000002</v>
      </c>
      <c r="AM35" s="36">
        <v>126110</v>
      </c>
      <c r="AN35" s="36">
        <v>60632</v>
      </c>
      <c r="AO35" s="39">
        <v>0.48080000000000001</v>
      </c>
    </row>
    <row r="36" spans="1:41" ht="15.75" customHeight="1" x14ac:dyDescent="0.2">
      <c r="A36" s="1" t="s">
        <v>100</v>
      </c>
      <c r="B36" s="1" t="s">
        <v>428</v>
      </c>
      <c r="C36" s="1" t="s">
        <v>432</v>
      </c>
      <c r="D36" s="1" t="s">
        <v>101</v>
      </c>
      <c r="E36" s="25">
        <v>304</v>
      </c>
      <c r="F36" s="21">
        <v>86660.000411999994</v>
      </c>
      <c r="G36" s="20">
        <f t="shared" si="5"/>
        <v>39336.000091999995</v>
      </c>
      <c r="H36" s="24">
        <f t="shared" si="6"/>
        <v>0.45391183827588644</v>
      </c>
      <c r="I36" s="12">
        <v>124</v>
      </c>
      <c r="J36" s="12">
        <v>33208.000036999998</v>
      </c>
      <c r="K36" s="13">
        <f t="shared" si="7"/>
        <v>0.38319870619803986</v>
      </c>
      <c r="L36" s="4">
        <v>14</v>
      </c>
      <c r="M36" s="4">
        <v>5435.0000309999996</v>
      </c>
      <c r="N36" s="17">
        <f t="shared" si="8"/>
        <v>6.2716362856691188E-2</v>
      </c>
      <c r="O36" s="9">
        <v>4</v>
      </c>
      <c r="P36" s="9">
        <v>693.00002400000005</v>
      </c>
      <c r="Q36" s="18">
        <f t="shared" si="9"/>
        <v>7.9967692211554489E-3</v>
      </c>
      <c r="R36" s="36">
        <v>1535954</v>
      </c>
      <c r="S36" s="36">
        <v>897007</v>
      </c>
      <c r="T36" s="39">
        <v>0.58399999999999996</v>
      </c>
      <c r="U36" s="36">
        <v>1670766</v>
      </c>
      <c r="V36" s="36">
        <v>969916</v>
      </c>
      <c r="W36" s="39">
        <v>0.58050000000000002</v>
      </c>
      <c r="X36" s="36">
        <v>1690748</v>
      </c>
      <c r="Y36" s="36">
        <v>978551</v>
      </c>
      <c r="Z36" s="39">
        <v>0.57879999999999998</v>
      </c>
      <c r="AA36" s="36">
        <v>1484177</v>
      </c>
      <c r="AB36" s="36">
        <v>761601</v>
      </c>
      <c r="AC36" s="39">
        <v>0.5131</v>
      </c>
      <c r="AD36" s="36">
        <v>1331872</v>
      </c>
      <c r="AE36" s="36">
        <v>775902</v>
      </c>
      <c r="AF36" s="39">
        <v>0.58260000000000001</v>
      </c>
      <c r="AG36" s="36">
        <v>998842</v>
      </c>
      <c r="AH36" s="36">
        <v>554201</v>
      </c>
      <c r="AI36" s="39">
        <v>0.55479999999999996</v>
      </c>
      <c r="AJ36" s="36">
        <v>95799</v>
      </c>
      <c r="AK36" s="36">
        <v>51164</v>
      </c>
      <c r="AL36" s="39">
        <v>0.53410000000000002</v>
      </c>
      <c r="AM36" s="36">
        <v>100890</v>
      </c>
      <c r="AN36" s="36">
        <v>50050</v>
      </c>
      <c r="AO36" s="39">
        <v>0.49609999999999999</v>
      </c>
    </row>
    <row r="37" spans="1:41" ht="15.75" customHeight="1" x14ac:dyDescent="0.2">
      <c r="A37" s="1" t="s">
        <v>102</v>
      </c>
      <c r="B37" s="1" t="s">
        <v>428</v>
      </c>
      <c r="C37" s="1" t="s">
        <v>432</v>
      </c>
      <c r="D37" s="1" t="s">
        <v>103</v>
      </c>
      <c r="E37" s="25">
        <v>440</v>
      </c>
      <c r="F37" s="21">
        <v>114054.000007</v>
      </c>
      <c r="G37" s="20">
        <f t="shared" si="5"/>
        <v>59995.000201000003</v>
      </c>
      <c r="H37" s="24">
        <f t="shared" si="6"/>
        <v>0.52602276287826688</v>
      </c>
      <c r="I37" s="12">
        <v>203</v>
      </c>
      <c r="J37" s="12">
        <v>52823.000168999999</v>
      </c>
      <c r="K37" s="13">
        <f t="shared" si="7"/>
        <v>0.46314026834445104</v>
      </c>
      <c r="L37" s="4">
        <v>25</v>
      </c>
      <c r="M37" s="4">
        <v>5421.0000030000001</v>
      </c>
      <c r="N37" s="17">
        <f t="shared" si="8"/>
        <v>4.7530117336238006E-2</v>
      </c>
      <c r="O37" s="9">
        <v>11</v>
      </c>
      <c r="P37" s="9">
        <v>1751.000029</v>
      </c>
      <c r="Q37" s="18">
        <f t="shared" si="9"/>
        <v>1.5352377197577757E-2</v>
      </c>
      <c r="R37" s="36">
        <v>2353676</v>
      </c>
      <c r="S37" s="36">
        <v>1340878</v>
      </c>
      <c r="T37" s="39">
        <v>0.56969999999999998</v>
      </c>
      <c r="U37" s="36">
        <v>2359833</v>
      </c>
      <c r="V37" s="36">
        <v>1311442</v>
      </c>
      <c r="W37" s="39">
        <v>0.55569999999999997</v>
      </c>
      <c r="X37" s="36">
        <v>2550172</v>
      </c>
      <c r="Y37" s="36">
        <v>1495120</v>
      </c>
      <c r="Z37" s="39">
        <v>0.58630000000000004</v>
      </c>
      <c r="AA37" s="36">
        <v>2007532</v>
      </c>
      <c r="AB37" s="36">
        <v>994806</v>
      </c>
      <c r="AC37" s="39">
        <v>0.4955</v>
      </c>
      <c r="AD37" s="36">
        <v>1914303</v>
      </c>
      <c r="AE37" s="36">
        <v>1060789</v>
      </c>
      <c r="AF37" s="39">
        <v>0.55410000000000004</v>
      </c>
      <c r="AG37" s="36">
        <v>1383075</v>
      </c>
      <c r="AH37" s="36">
        <v>834388</v>
      </c>
      <c r="AI37" s="39">
        <v>0.60329999999999995</v>
      </c>
      <c r="AJ37" s="36">
        <v>133357</v>
      </c>
      <c r="AK37" s="36">
        <v>73713</v>
      </c>
      <c r="AL37" s="39">
        <v>0.55279999999999996</v>
      </c>
      <c r="AM37" s="36">
        <v>133334</v>
      </c>
      <c r="AN37" s="36">
        <v>78411</v>
      </c>
      <c r="AO37" s="39">
        <v>0.58809999999999996</v>
      </c>
    </row>
    <row r="38" spans="1:41" ht="15.75" customHeight="1" x14ac:dyDescent="0.2">
      <c r="A38" s="1" t="s">
        <v>104</v>
      </c>
      <c r="B38" s="1" t="s">
        <v>429</v>
      </c>
      <c r="C38" s="1" t="s">
        <v>432</v>
      </c>
      <c r="D38" s="1" t="s">
        <v>105</v>
      </c>
      <c r="E38" s="25">
        <v>1985</v>
      </c>
      <c r="F38" s="21">
        <v>529958.00212700001</v>
      </c>
      <c r="G38" s="20">
        <f t="shared" si="5"/>
        <v>240281.00071399999</v>
      </c>
      <c r="H38" s="24">
        <f t="shared" si="6"/>
        <v>0.45339630640470763</v>
      </c>
      <c r="I38" s="12">
        <v>944</v>
      </c>
      <c r="J38" s="12">
        <v>222060.00059099999</v>
      </c>
      <c r="K38" s="13">
        <f t="shared" si="7"/>
        <v>0.41901433641865299</v>
      </c>
      <c r="L38" s="4">
        <v>71</v>
      </c>
      <c r="M38" s="4">
        <v>16449.000097</v>
      </c>
      <c r="N38" s="17">
        <f t="shared" si="8"/>
        <v>3.1038308754621154E-2</v>
      </c>
      <c r="O38" s="9">
        <v>8</v>
      </c>
      <c r="P38" s="9">
        <v>1772.0000259999999</v>
      </c>
      <c r="Q38" s="18">
        <f t="shared" si="9"/>
        <v>3.3436612314334956E-3</v>
      </c>
      <c r="R38" s="36">
        <v>5940080</v>
      </c>
      <c r="S38" s="36">
        <v>4057309</v>
      </c>
      <c r="T38" s="39">
        <v>0.68300000000000005</v>
      </c>
      <c r="U38" s="36">
        <v>5494436</v>
      </c>
      <c r="V38" s="36">
        <v>3551542</v>
      </c>
      <c r="W38" s="39">
        <v>0.64639999999999997</v>
      </c>
      <c r="X38" s="36">
        <v>5322667</v>
      </c>
      <c r="Y38" s="36">
        <v>3653643</v>
      </c>
      <c r="Z38" s="39">
        <v>0.68640000000000001</v>
      </c>
      <c r="AA38" s="36">
        <v>5426115</v>
      </c>
      <c r="AB38" s="36">
        <v>3112738</v>
      </c>
      <c r="AC38" s="39">
        <v>0.57369999999999999</v>
      </c>
      <c r="AD38" s="36">
        <v>4753308</v>
      </c>
      <c r="AE38" s="36">
        <v>2943206</v>
      </c>
      <c r="AF38" s="39">
        <v>0.61919999999999997</v>
      </c>
      <c r="AG38" s="36">
        <v>3352733</v>
      </c>
      <c r="AH38" s="36">
        <v>2256855</v>
      </c>
      <c r="AI38" s="39">
        <v>0.67310000000000003</v>
      </c>
      <c r="AJ38" s="36">
        <v>584706</v>
      </c>
      <c r="AK38" s="36">
        <v>572016</v>
      </c>
      <c r="AL38" s="39">
        <v>0.97829999999999995</v>
      </c>
      <c r="AM38" s="36">
        <v>686292</v>
      </c>
      <c r="AN38" s="36">
        <v>664873</v>
      </c>
      <c r="AO38" s="39">
        <v>0.96879999999999999</v>
      </c>
    </row>
    <row r="39" spans="1:41" ht="15.75" customHeight="1" x14ac:dyDescent="0.2">
      <c r="A39" s="1" t="s">
        <v>106</v>
      </c>
      <c r="B39" s="1" t="s">
        <v>428</v>
      </c>
      <c r="C39" s="1" t="s">
        <v>432</v>
      </c>
      <c r="D39" s="1" t="s">
        <v>107</v>
      </c>
      <c r="E39" s="25">
        <v>334</v>
      </c>
      <c r="F39" s="21">
        <v>95508.000541000001</v>
      </c>
      <c r="G39" s="20">
        <f t="shared" si="5"/>
        <v>46611.000054000004</v>
      </c>
      <c r="H39" s="24">
        <f t="shared" si="6"/>
        <v>0.48803241393364394</v>
      </c>
      <c r="I39" s="12">
        <v>134</v>
      </c>
      <c r="J39" s="12">
        <v>37556.000007000002</v>
      </c>
      <c r="K39" s="13">
        <f t="shared" si="7"/>
        <v>0.39322360215129659</v>
      </c>
      <c r="L39" s="4">
        <v>28</v>
      </c>
      <c r="M39" s="4">
        <v>7728.0000689999997</v>
      </c>
      <c r="N39" s="17">
        <f t="shared" si="8"/>
        <v>8.0914688038961693E-2</v>
      </c>
      <c r="O39" s="9">
        <v>3</v>
      </c>
      <c r="P39" s="9">
        <v>1326.9999780000001</v>
      </c>
      <c r="Q39" s="18">
        <f t="shared" si="9"/>
        <v>1.3894123743385675E-2</v>
      </c>
      <c r="R39" s="36">
        <v>2071667</v>
      </c>
      <c r="S39" s="36">
        <v>1193144</v>
      </c>
      <c r="T39" s="39">
        <v>0.57589999999999997</v>
      </c>
      <c r="U39" s="36">
        <v>2111452</v>
      </c>
      <c r="V39" s="36">
        <v>1204224</v>
      </c>
      <c r="W39" s="39">
        <v>0.57030000000000003</v>
      </c>
      <c r="X39" s="36">
        <v>2730682</v>
      </c>
      <c r="Y39" s="36">
        <v>1732646</v>
      </c>
      <c r="Z39" s="39">
        <v>0.63449999999999995</v>
      </c>
      <c r="AA39" s="36">
        <v>1896740</v>
      </c>
      <c r="AB39" s="36">
        <v>1102563</v>
      </c>
      <c r="AC39" s="39">
        <v>0.58130000000000004</v>
      </c>
      <c r="AD39" s="36">
        <v>1914693</v>
      </c>
      <c r="AE39" s="36">
        <v>1090404</v>
      </c>
      <c r="AF39" s="39">
        <v>0.56950000000000001</v>
      </c>
      <c r="AG39" s="36">
        <v>1418800</v>
      </c>
      <c r="AH39" s="36">
        <v>893241</v>
      </c>
      <c r="AI39" s="39">
        <v>0.62960000000000005</v>
      </c>
      <c r="AJ39" s="36">
        <v>107318</v>
      </c>
      <c r="AK39" s="36">
        <v>62141</v>
      </c>
      <c r="AL39" s="39">
        <v>0.57899999999999996</v>
      </c>
      <c r="AM39" s="36">
        <v>95338</v>
      </c>
      <c r="AN39" s="36">
        <v>56567</v>
      </c>
      <c r="AO39" s="39">
        <v>0.59330000000000005</v>
      </c>
    </row>
    <row r="40" spans="1:41" ht="15.75" customHeight="1" x14ac:dyDescent="0.2">
      <c r="A40" s="1" t="s">
        <v>108</v>
      </c>
      <c r="B40" s="1" t="s">
        <v>428</v>
      </c>
      <c r="C40" s="1" t="s">
        <v>434</v>
      </c>
      <c r="D40" s="1" t="s">
        <v>109</v>
      </c>
      <c r="E40" s="25">
        <v>377</v>
      </c>
      <c r="F40" s="21">
        <v>108404.000631</v>
      </c>
      <c r="G40" s="20">
        <f t="shared" si="5"/>
        <v>50872.000306000002</v>
      </c>
      <c r="H40" s="24">
        <f t="shared" si="6"/>
        <v>0.46928157641676804</v>
      </c>
      <c r="I40" s="12">
        <v>158</v>
      </c>
      <c r="J40" s="12">
        <v>44736.000266000003</v>
      </c>
      <c r="K40" s="13">
        <f t="shared" si="7"/>
        <v>0.41267849900003567</v>
      </c>
      <c r="L40" s="4">
        <v>14</v>
      </c>
      <c r="M40" s="4">
        <v>4787.9999980000002</v>
      </c>
      <c r="N40" s="17">
        <f t="shared" si="8"/>
        <v>4.4168111602246429E-2</v>
      </c>
      <c r="O40" s="9">
        <v>6</v>
      </c>
      <c r="P40" s="9">
        <v>1348.0000419999999</v>
      </c>
      <c r="Q40" s="18">
        <f t="shared" si="9"/>
        <v>1.2434965814485964E-2</v>
      </c>
      <c r="R40" s="36">
        <v>2601107</v>
      </c>
      <c r="S40" s="36">
        <v>1194275</v>
      </c>
      <c r="T40" s="39">
        <v>0.45910000000000001</v>
      </c>
      <c r="U40" s="36">
        <v>2430683</v>
      </c>
      <c r="V40" s="36">
        <v>1087770</v>
      </c>
      <c r="W40" s="39">
        <v>0.44750000000000001</v>
      </c>
      <c r="X40" s="36">
        <v>2794486</v>
      </c>
      <c r="Y40" s="36">
        <v>1406635</v>
      </c>
      <c r="Z40" s="39">
        <v>0.50339999999999996</v>
      </c>
      <c r="AA40" s="36">
        <v>2085011</v>
      </c>
      <c r="AB40" s="36">
        <v>914403</v>
      </c>
      <c r="AC40" s="39">
        <v>0.43859999999999999</v>
      </c>
      <c r="AD40" s="36">
        <v>1867228</v>
      </c>
      <c r="AE40" s="36">
        <v>826700</v>
      </c>
      <c r="AF40" s="39">
        <v>0.44269999999999998</v>
      </c>
      <c r="AG40" s="36">
        <v>1369738</v>
      </c>
      <c r="AH40" s="36">
        <v>654374</v>
      </c>
      <c r="AI40" s="39">
        <v>0.47770000000000001</v>
      </c>
      <c r="AJ40" s="36">
        <v>115473</v>
      </c>
      <c r="AK40" s="36">
        <v>58477</v>
      </c>
      <c r="AL40" s="39">
        <v>0.50639999999999996</v>
      </c>
      <c r="AM40" s="36">
        <v>92608</v>
      </c>
      <c r="AN40" s="36">
        <v>54356</v>
      </c>
      <c r="AO40" s="39">
        <v>0.58689999999999998</v>
      </c>
    </row>
    <row r="41" spans="1:41" ht="15.75" customHeight="1" x14ac:dyDescent="0.2">
      <c r="A41" s="1" t="s">
        <v>110</v>
      </c>
      <c r="B41" s="1" t="s">
        <v>428</v>
      </c>
      <c r="C41" s="1" t="s">
        <v>432</v>
      </c>
      <c r="D41" s="1" t="s">
        <v>111</v>
      </c>
      <c r="E41" s="25">
        <v>542</v>
      </c>
      <c r="F41" s="21">
        <v>145092.00103099999</v>
      </c>
      <c r="G41" s="20">
        <f t="shared" si="5"/>
        <v>83100.000560999993</v>
      </c>
      <c r="H41" s="24">
        <f t="shared" si="6"/>
        <v>0.57274005438277098</v>
      </c>
      <c r="I41" s="12">
        <v>261</v>
      </c>
      <c r="J41" s="12">
        <v>71034.000434999994</v>
      </c>
      <c r="K41" s="13">
        <f t="shared" si="7"/>
        <v>0.48957902524084046</v>
      </c>
      <c r="L41" s="4">
        <v>41</v>
      </c>
      <c r="M41" s="4">
        <v>10869.00009</v>
      </c>
      <c r="N41" s="17">
        <f t="shared" si="8"/>
        <v>7.4911090982043571E-2</v>
      </c>
      <c r="O41" s="9">
        <v>7</v>
      </c>
      <c r="P41" s="9">
        <v>1197.0000359999999</v>
      </c>
      <c r="Q41" s="18">
        <f t="shared" si="9"/>
        <v>8.2499381598869249E-3</v>
      </c>
      <c r="R41" s="36">
        <v>2758806</v>
      </c>
      <c r="S41" s="36">
        <v>1889852</v>
      </c>
      <c r="T41" s="39">
        <v>0.68500000000000005</v>
      </c>
      <c r="U41" s="36">
        <v>2414890</v>
      </c>
      <c r="V41" s="36">
        <v>1551906</v>
      </c>
      <c r="W41" s="39">
        <v>0.64259999999999995</v>
      </c>
      <c r="X41" s="36">
        <v>2751123</v>
      </c>
      <c r="Y41" s="36">
        <v>1919424</v>
      </c>
      <c r="Z41" s="39">
        <v>0.69769999999999999</v>
      </c>
      <c r="AA41" s="36">
        <v>2187032</v>
      </c>
      <c r="AB41" s="36">
        <v>1394947</v>
      </c>
      <c r="AC41" s="39">
        <v>0.63780000000000003</v>
      </c>
      <c r="AD41" s="36">
        <v>2158023</v>
      </c>
      <c r="AE41" s="36">
        <v>1147426</v>
      </c>
      <c r="AF41" s="39">
        <v>0.53169999999999995</v>
      </c>
      <c r="AG41" s="36">
        <v>1384244</v>
      </c>
      <c r="AH41" s="36">
        <v>926319</v>
      </c>
      <c r="AI41" s="39">
        <v>0.66920000000000002</v>
      </c>
      <c r="AJ41" s="36">
        <v>164324</v>
      </c>
      <c r="AK41" s="36">
        <v>100206</v>
      </c>
      <c r="AL41" s="39">
        <v>0.60980000000000001</v>
      </c>
      <c r="AM41" s="36">
        <v>147751</v>
      </c>
      <c r="AN41" s="36">
        <v>83723</v>
      </c>
      <c r="AO41" s="39">
        <v>0.56659999999999999</v>
      </c>
    </row>
    <row r="42" spans="1:41" ht="15.75" customHeight="1" x14ac:dyDescent="0.2">
      <c r="A42" s="1" t="s">
        <v>112</v>
      </c>
      <c r="B42" s="1" t="s">
        <v>428</v>
      </c>
      <c r="C42" s="1" t="s">
        <v>432</v>
      </c>
      <c r="D42" s="1" t="s">
        <v>113</v>
      </c>
      <c r="E42" s="25">
        <v>743</v>
      </c>
      <c r="F42" s="21">
        <v>194663.000421</v>
      </c>
      <c r="G42" s="20">
        <f t="shared" si="5"/>
        <v>107624.000384</v>
      </c>
      <c r="H42" s="24">
        <f t="shared" si="6"/>
        <v>0.55287342818738172</v>
      </c>
      <c r="I42" s="12">
        <v>337</v>
      </c>
      <c r="J42" s="12">
        <v>89249.000182999996</v>
      </c>
      <c r="K42" s="13">
        <f t="shared" si="7"/>
        <v>0.4584795261039854</v>
      </c>
      <c r="L42" s="4">
        <v>51</v>
      </c>
      <c r="M42" s="4">
        <v>16016.000124</v>
      </c>
      <c r="N42" s="17">
        <f t="shared" si="8"/>
        <v>8.2275522771980317E-2</v>
      </c>
      <c r="O42" s="9">
        <v>10</v>
      </c>
      <c r="P42" s="9">
        <v>2359.0000770000001</v>
      </c>
      <c r="Q42" s="18">
        <f t="shared" si="9"/>
        <v>1.2118379311415947E-2</v>
      </c>
      <c r="R42" s="36">
        <v>3085365</v>
      </c>
      <c r="S42" s="36">
        <v>1849947</v>
      </c>
      <c r="T42" s="39">
        <v>0.59960000000000002</v>
      </c>
      <c r="U42" s="36">
        <v>2806098</v>
      </c>
      <c r="V42" s="36">
        <v>1576764</v>
      </c>
      <c r="W42" s="39">
        <v>0.56189999999999996</v>
      </c>
      <c r="X42" s="36">
        <v>3108937</v>
      </c>
      <c r="Y42" s="36">
        <v>1699795</v>
      </c>
      <c r="Z42" s="39">
        <v>0.54669999999999996</v>
      </c>
      <c r="AA42" s="36">
        <v>3194839</v>
      </c>
      <c r="AB42" s="36">
        <v>1389410</v>
      </c>
      <c r="AC42" s="39">
        <v>0.43490000000000001</v>
      </c>
      <c r="AD42" s="36">
        <v>2890324</v>
      </c>
      <c r="AE42" s="36">
        <v>1453657</v>
      </c>
      <c r="AF42" s="39">
        <v>0.50290000000000001</v>
      </c>
      <c r="AG42" s="36">
        <v>2169782</v>
      </c>
      <c r="AH42" s="36">
        <v>1219478</v>
      </c>
      <c r="AI42" s="39">
        <v>0.56200000000000006</v>
      </c>
      <c r="AJ42" s="36">
        <v>215530</v>
      </c>
      <c r="AK42" s="36">
        <v>132038</v>
      </c>
      <c r="AL42" s="39">
        <v>0.61260000000000003</v>
      </c>
      <c r="AM42" s="36">
        <v>175027</v>
      </c>
      <c r="AN42" s="36">
        <v>102375</v>
      </c>
      <c r="AO42" s="39">
        <v>0.58489999999999998</v>
      </c>
    </row>
    <row r="43" spans="1:41" ht="15.75" customHeight="1" x14ac:dyDescent="0.2">
      <c r="A43" s="1" t="s">
        <v>114</v>
      </c>
      <c r="B43" s="1" t="s">
        <v>428</v>
      </c>
      <c r="C43" s="1" t="s">
        <v>432</v>
      </c>
      <c r="D43" s="1" t="s">
        <v>115</v>
      </c>
      <c r="E43" s="25">
        <v>614</v>
      </c>
      <c r="F43" s="21">
        <v>156696.00055900001</v>
      </c>
      <c r="G43" s="20">
        <f t="shared" si="5"/>
        <v>48104.000104999999</v>
      </c>
      <c r="H43" s="24">
        <f t="shared" si="6"/>
        <v>0.30698932923235411</v>
      </c>
      <c r="I43" s="12">
        <v>176</v>
      </c>
      <c r="J43" s="12">
        <v>42396.000116000003</v>
      </c>
      <c r="K43" s="13">
        <f t="shared" si="7"/>
        <v>0.27056210729537311</v>
      </c>
      <c r="L43" s="4">
        <v>22</v>
      </c>
      <c r="M43" s="4">
        <v>4265.9999980000002</v>
      </c>
      <c r="N43" s="17">
        <f t="shared" si="8"/>
        <v>2.7224689735420166E-2</v>
      </c>
      <c r="O43" s="9">
        <v>6</v>
      </c>
      <c r="P43" s="9">
        <v>1441.9999909999999</v>
      </c>
      <c r="Q43" s="18">
        <f t="shared" si="9"/>
        <v>9.2025322015608837E-3</v>
      </c>
      <c r="R43" s="36">
        <v>2542568</v>
      </c>
      <c r="S43" s="36">
        <v>1318235</v>
      </c>
      <c r="T43" s="39">
        <v>0.51849999999999996</v>
      </c>
      <c r="U43" s="36">
        <v>2182143</v>
      </c>
      <c r="V43" s="36">
        <v>1100711</v>
      </c>
      <c r="W43" s="39">
        <v>0.50439999999999996</v>
      </c>
      <c r="X43" s="36">
        <v>2098888</v>
      </c>
      <c r="Y43" s="36">
        <v>1106404</v>
      </c>
      <c r="Z43" s="39">
        <v>0.52710000000000001</v>
      </c>
      <c r="AA43" s="36">
        <v>2152064</v>
      </c>
      <c r="AB43" s="36">
        <v>1006837</v>
      </c>
      <c r="AC43" s="39">
        <v>0.46779999999999999</v>
      </c>
      <c r="AD43" s="36">
        <v>1868761</v>
      </c>
      <c r="AE43" s="36">
        <v>854837</v>
      </c>
      <c r="AF43" s="39">
        <v>0.45739999999999997</v>
      </c>
      <c r="AG43" s="36">
        <v>1242415</v>
      </c>
      <c r="AH43" s="36">
        <v>602035</v>
      </c>
      <c r="AI43" s="39">
        <v>0.48459999999999998</v>
      </c>
      <c r="AJ43" s="36">
        <v>162996</v>
      </c>
      <c r="AK43" s="36">
        <v>95158</v>
      </c>
      <c r="AL43" s="39">
        <v>0.58379999999999999</v>
      </c>
      <c r="AM43" s="36">
        <v>155856</v>
      </c>
      <c r="AN43" s="36">
        <v>94779</v>
      </c>
      <c r="AO43" s="39">
        <v>0.60809999999999997</v>
      </c>
    </row>
    <row r="44" spans="1:41" ht="15.75" customHeight="1" x14ac:dyDescent="0.2">
      <c r="A44" s="1" t="s">
        <v>116</v>
      </c>
      <c r="B44" s="1" t="s">
        <v>428</v>
      </c>
      <c r="C44" s="1" t="s">
        <v>434</v>
      </c>
      <c r="D44" s="1" t="s">
        <v>117</v>
      </c>
      <c r="E44" s="25">
        <v>533</v>
      </c>
      <c r="F44" s="21">
        <v>141247.00042500001</v>
      </c>
      <c r="G44" s="20">
        <f t="shared" si="5"/>
        <v>69429.000142999983</v>
      </c>
      <c r="H44" s="24">
        <f t="shared" si="6"/>
        <v>0.49154318275145048</v>
      </c>
      <c r="I44" s="12">
        <v>230</v>
      </c>
      <c r="J44" s="12">
        <v>60909.000056999997</v>
      </c>
      <c r="K44" s="13">
        <f t="shared" si="7"/>
        <v>0.43122331712340856</v>
      </c>
      <c r="L44" s="4">
        <v>29</v>
      </c>
      <c r="M44" s="4">
        <v>6435.0000639999998</v>
      </c>
      <c r="N44" s="17">
        <f t="shared" si="8"/>
        <v>4.5558490053860548E-2</v>
      </c>
      <c r="O44" s="9">
        <v>8</v>
      </c>
      <c r="P44" s="9">
        <v>2085.0000220000002</v>
      </c>
      <c r="Q44" s="18">
        <f t="shared" si="9"/>
        <v>1.4761375574181508E-2</v>
      </c>
      <c r="R44" s="36">
        <v>2302124</v>
      </c>
      <c r="S44" s="36">
        <v>1501138</v>
      </c>
      <c r="T44" s="39">
        <v>0.65210000000000001</v>
      </c>
      <c r="U44" s="36">
        <v>2256431</v>
      </c>
      <c r="V44" s="36">
        <v>1436580</v>
      </c>
      <c r="W44" s="39">
        <v>0.63670000000000004</v>
      </c>
      <c r="X44" s="36">
        <v>2537335</v>
      </c>
      <c r="Y44" s="36">
        <v>1642561</v>
      </c>
      <c r="Z44" s="39">
        <v>0.64739999999999998</v>
      </c>
      <c r="AA44" s="36">
        <v>2131933</v>
      </c>
      <c r="AB44" s="36">
        <v>1194366</v>
      </c>
      <c r="AC44" s="39">
        <v>0.56020000000000003</v>
      </c>
      <c r="AD44" s="36">
        <v>2004666</v>
      </c>
      <c r="AE44" s="36">
        <v>1059919</v>
      </c>
      <c r="AF44" s="39">
        <v>0.52869999999999995</v>
      </c>
      <c r="AG44" s="36">
        <v>1481064</v>
      </c>
      <c r="AH44" s="36">
        <v>890083</v>
      </c>
      <c r="AI44" s="39">
        <v>0.60099999999999998</v>
      </c>
      <c r="AJ44" s="36">
        <v>158391</v>
      </c>
      <c r="AK44" s="36">
        <v>95239</v>
      </c>
      <c r="AL44" s="39">
        <v>0.60129999999999995</v>
      </c>
      <c r="AM44" s="36">
        <v>150675</v>
      </c>
      <c r="AN44" s="36">
        <v>83716</v>
      </c>
      <c r="AO44" s="39">
        <v>0.55559999999999998</v>
      </c>
    </row>
    <row r="45" spans="1:41" ht="15.75" customHeight="1" x14ac:dyDescent="0.2">
      <c r="A45" s="1" t="s">
        <v>118</v>
      </c>
      <c r="B45" s="1" t="s">
        <v>428</v>
      </c>
      <c r="C45" s="1" t="s">
        <v>432</v>
      </c>
      <c r="D45" s="1" t="s">
        <v>119</v>
      </c>
      <c r="E45" s="25">
        <v>503</v>
      </c>
      <c r="F45" s="21">
        <v>115439.000272</v>
      </c>
      <c r="G45" s="20">
        <f t="shared" si="5"/>
        <v>65878.000083999999</v>
      </c>
      <c r="H45" s="24">
        <f t="shared" si="6"/>
        <v>0.57067368851754396</v>
      </c>
      <c r="I45" s="12">
        <v>233</v>
      </c>
      <c r="J45" s="12">
        <v>53385.000109000001</v>
      </c>
      <c r="K45" s="13">
        <f t="shared" si="7"/>
        <v>0.4624520307973306</v>
      </c>
      <c r="L45" s="4">
        <v>53</v>
      </c>
      <c r="M45" s="4">
        <v>11098.999986999999</v>
      </c>
      <c r="N45" s="17">
        <f t="shared" si="8"/>
        <v>9.6146016171729506E-2</v>
      </c>
      <c r="O45" s="9">
        <v>4</v>
      </c>
      <c r="P45" s="9">
        <v>1393.999988</v>
      </c>
      <c r="Q45" s="18">
        <f t="shared" si="9"/>
        <v>1.2075641548483835E-2</v>
      </c>
      <c r="R45" s="36">
        <v>2705777</v>
      </c>
      <c r="S45" s="36">
        <v>1496466</v>
      </c>
      <c r="T45" s="39">
        <v>0.55310000000000004</v>
      </c>
      <c r="U45" s="36">
        <v>2606751</v>
      </c>
      <c r="V45" s="36">
        <v>1348421</v>
      </c>
      <c r="W45" s="39">
        <v>0.51729999999999998</v>
      </c>
      <c r="X45" s="36">
        <v>2929715</v>
      </c>
      <c r="Y45" s="36">
        <v>1641388</v>
      </c>
      <c r="Z45" s="39">
        <v>0.56030000000000002</v>
      </c>
      <c r="AA45" s="36">
        <v>2326040</v>
      </c>
      <c r="AB45" s="36">
        <v>1191567</v>
      </c>
      <c r="AC45" s="39">
        <v>0.51229999999999998</v>
      </c>
      <c r="AD45" s="36">
        <v>2131188</v>
      </c>
      <c r="AE45" s="36">
        <v>1075262</v>
      </c>
      <c r="AF45" s="39">
        <v>0.50449999999999995</v>
      </c>
      <c r="AG45" s="36">
        <v>1383419</v>
      </c>
      <c r="AH45" s="36">
        <v>761041</v>
      </c>
      <c r="AI45" s="39">
        <v>0.55010000000000003</v>
      </c>
      <c r="AJ45" s="36">
        <v>130065</v>
      </c>
      <c r="AK45" s="36">
        <v>75616</v>
      </c>
      <c r="AL45" s="39">
        <v>0.58140000000000003</v>
      </c>
      <c r="AM45" s="36">
        <v>120653</v>
      </c>
      <c r="AN45" s="36">
        <v>69094</v>
      </c>
      <c r="AO45" s="39">
        <v>0.57269999999999999</v>
      </c>
    </row>
    <row r="46" spans="1:41" ht="15.75" customHeight="1" x14ac:dyDescent="0.2">
      <c r="A46" s="1" t="s">
        <v>120</v>
      </c>
      <c r="B46" s="1" t="s">
        <v>428</v>
      </c>
      <c r="C46" s="1" t="s">
        <v>432</v>
      </c>
      <c r="D46" s="1" t="s">
        <v>121</v>
      </c>
      <c r="E46" s="25">
        <v>385</v>
      </c>
      <c r="F46" s="21">
        <v>117517.000917</v>
      </c>
      <c r="G46" s="20">
        <f t="shared" si="5"/>
        <v>61747.000268999996</v>
      </c>
      <c r="H46" s="24">
        <f t="shared" si="6"/>
        <v>0.52543036145562216</v>
      </c>
      <c r="I46" s="12">
        <v>166</v>
      </c>
      <c r="J46" s="12">
        <v>52494.000206999997</v>
      </c>
      <c r="K46" s="13">
        <f t="shared" si="7"/>
        <v>0.4466928171871532</v>
      </c>
      <c r="L46" s="4">
        <v>24</v>
      </c>
      <c r="M46" s="4">
        <v>9145.0000710000004</v>
      </c>
      <c r="N46" s="17">
        <f t="shared" si="8"/>
        <v>7.7818528380067656E-2</v>
      </c>
      <c r="O46" s="9">
        <v>1</v>
      </c>
      <c r="P46" s="9">
        <v>107.99999099999999</v>
      </c>
      <c r="Q46" s="18">
        <f t="shared" si="9"/>
        <v>9.1901588840135836E-4</v>
      </c>
      <c r="R46" s="36">
        <v>2445966</v>
      </c>
      <c r="S46" s="36">
        <v>1431719</v>
      </c>
      <c r="T46" s="39">
        <v>0.58530000000000004</v>
      </c>
      <c r="U46" s="36">
        <v>2428870</v>
      </c>
      <c r="V46" s="36">
        <v>1308577</v>
      </c>
      <c r="W46" s="39">
        <v>0.53879999999999995</v>
      </c>
      <c r="X46" s="36">
        <v>3006786</v>
      </c>
      <c r="Y46" s="36">
        <v>1716645</v>
      </c>
      <c r="Z46" s="39">
        <v>0.57089999999999996</v>
      </c>
      <c r="AA46" s="36">
        <v>2077680</v>
      </c>
      <c r="AB46" s="36">
        <v>1101228</v>
      </c>
      <c r="AC46" s="39">
        <v>0.53</v>
      </c>
      <c r="AD46" s="36">
        <v>2187081</v>
      </c>
      <c r="AE46" s="36">
        <v>1124609</v>
      </c>
      <c r="AF46" s="39">
        <v>0.51419999999999999</v>
      </c>
      <c r="AG46" s="36">
        <v>1606014</v>
      </c>
      <c r="AH46" s="36">
        <v>925401</v>
      </c>
      <c r="AI46" s="39">
        <v>0.57620000000000005</v>
      </c>
      <c r="AJ46" s="36">
        <v>125190</v>
      </c>
      <c r="AK46" s="36">
        <v>73610</v>
      </c>
      <c r="AL46" s="39">
        <v>0.58799999999999997</v>
      </c>
      <c r="AM46" s="36">
        <v>108219</v>
      </c>
      <c r="AN46" s="36">
        <v>55602</v>
      </c>
      <c r="AO46" s="39">
        <v>0.51380000000000003</v>
      </c>
    </row>
    <row r="47" spans="1:41" ht="15.75" customHeight="1" x14ac:dyDescent="0.2">
      <c r="A47" s="1" t="s">
        <v>122</v>
      </c>
      <c r="B47" s="1" t="s">
        <v>428</v>
      </c>
      <c r="C47" s="1" t="s">
        <v>436</v>
      </c>
      <c r="D47" s="1" t="s">
        <v>123</v>
      </c>
      <c r="E47" s="25">
        <v>454</v>
      </c>
      <c r="F47" s="21">
        <v>115183.00026</v>
      </c>
      <c r="G47" s="20">
        <f t="shared" si="5"/>
        <v>58128.000137000003</v>
      </c>
      <c r="H47" s="24">
        <f t="shared" si="6"/>
        <v>0.50465780545557049</v>
      </c>
      <c r="I47" s="12">
        <v>237</v>
      </c>
      <c r="J47" s="12">
        <v>56489.000135000002</v>
      </c>
      <c r="K47" s="13">
        <f t="shared" si="7"/>
        <v>0.4904282750708755</v>
      </c>
      <c r="L47" s="4">
        <v>0</v>
      </c>
      <c r="M47" s="4">
        <v>0</v>
      </c>
      <c r="N47" s="17">
        <f t="shared" si="8"/>
        <v>0</v>
      </c>
      <c r="O47" s="9">
        <v>7</v>
      </c>
      <c r="P47" s="9">
        <v>1639.000002</v>
      </c>
      <c r="Q47" s="18">
        <f t="shared" si="9"/>
        <v>1.4229530384694981E-2</v>
      </c>
      <c r="R47" s="36">
        <v>1787550</v>
      </c>
      <c r="S47" s="36">
        <v>733204</v>
      </c>
      <c r="T47" s="39">
        <v>0.41020000000000001</v>
      </c>
      <c r="U47" s="36">
        <v>1630472</v>
      </c>
      <c r="V47" s="36">
        <v>573009</v>
      </c>
      <c r="W47" s="39">
        <v>0.35139999999999999</v>
      </c>
      <c r="X47" s="36">
        <v>1872068</v>
      </c>
      <c r="Y47" s="36">
        <v>717701</v>
      </c>
      <c r="Z47" s="39">
        <v>0.38340000000000002</v>
      </c>
      <c r="AA47" s="36">
        <v>1386852</v>
      </c>
      <c r="AB47" s="36">
        <v>346510</v>
      </c>
      <c r="AC47" s="39">
        <v>0.24990000000000001</v>
      </c>
      <c r="AD47" s="36">
        <v>1377919</v>
      </c>
      <c r="AE47" s="36">
        <v>358303</v>
      </c>
      <c r="AF47" s="39">
        <v>0.26</v>
      </c>
      <c r="AG47" s="36">
        <v>864855</v>
      </c>
      <c r="AH47" s="36">
        <v>261116</v>
      </c>
      <c r="AI47" s="39">
        <v>0.3019</v>
      </c>
      <c r="AJ47" s="36">
        <v>123188</v>
      </c>
      <c r="AK47" s="36">
        <v>61072</v>
      </c>
      <c r="AL47" s="39">
        <v>0.49580000000000002</v>
      </c>
      <c r="AM47" s="36">
        <v>115441</v>
      </c>
      <c r="AN47" s="36">
        <v>67024</v>
      </c>
      <c r="AO47" s="39">
        <v>0.5806</v>
      </c>
    </row>
    <row r="48" spans="1:41" ht="15.75" customHeight="1" x14ac:dyDescent="0.2">
      <c r="A48" s="1" t="s">
        <v>124</v>
      </c>
      <c r="B48" s="1" t="s">
        <v>428</v>
      </c>
      <c r="C48" s="1" t="s">
        <v>433</v>
      </c>
      <c r="D48" s="1" t="s">
        <v>125</v>
      </c>
      <c r="E48" s="25">
        <v>492</v>
      </c>
      <c r="F48" s="21">
        <v>122644.000182</v>
      </c>
      <c r="G48" s="20">
        <f t="shared" si="5"/>
        <v>70340.999987000003</v>
      </c>
      <c r="H48" s="24">
        <f t="shared" si="6"/>
        <v>0.57353804411643516</v>
      </c>
      <c r="I48" s="12">
        <v>234</v>
      </c>
      <c r="J48" s="12">
        <v>56933.999965000003</v>
      </c>
      <c r="K48" s="13">
        <f t="shared" si="7"/>
        <v>0.46422164867838345</v>
      </c>
      <c r="L48" s="4">
        <v>39</v>
      </c>
      <c r="M48" s="4">
        <v>11490.000019999999</v>
      </c>
      <c r="N48" s="17">
        <f t="shared" si="8"/>
        <v>9.3685789789546864E-2</v>
      </c>
      <c r="O48" s="9">
        <v>6</v>
      </c>
      <c r="P48" s="9">
        <v>1917.000002</v>
      </c>
      <c r="Q48" s="18">
        <f t="shared" si="9"/>
        <v>1.5630605648504856E-2</v>
      </c>
      <c r="R48" s="36">
        <v>2773071</v>
      </c>
      <c r="S48" s="36">
        <v>1733241</v>
      </c>
      <c r="T48" s="39">
        <v>0.625</v>
      </c>
      <c r="U48" s="36">
        <v>2705506</v>
      </c>
      <c r="V48" s="36">
        <v>1670045</v>
      </c>
      <c r="W48" s="39">
        <v>0.61729999999999996</v>
      </c>
      <c r="X48" s="36">
        <v>2573357</v>
      </c>
      <c r="Y48" s="36">
        <v>1689788</v>
      </c>
      <c r="Z48" s="39">
        <v>0.65659999999999996</v>
      </c>
      <c r="AA48" s="36">
        <v>2493326</v>
      </c>
      <c r="AB48" s="36">
        <v>1420927</v>
      </c>
      <c r="AC48" s="39">
        <v>0.56989999999999996</v>
      </c>
      <c r="AD48" s="36">
        <v>2233708</v>
      </c>
      <c r="AE48" s="36">
        <v>1316473</v>
      </c>
      <c r="AF48" s="39">
        <v>0.58940000000000003</v>
      </c>
      <c r="AG48" s="36">
        <v>1641804</v>
      </c>
      <c r="AH48" s="36">
        <v>1017771</v>
      </c>
      <c r="AI48" s="39">
        <v>0.61990000000000001</v>
      </c>
      <c r="AJ48" s="36">
        <v>133612</v>
      </c>
      <c r="AK48" s="36">
        <v>76145</v>
      </c>
      <c r="AL48" s="39">
        <v>0.56989999999999996</v>
      </c>
      <c r="AM48" s="36">
        <v>138513</v>
      </c>
      <c r="AN48" s="36">
        <v>79516</v>
      </c>
      <c r="AO48" s="39">
        <v>0.57410000000000005</v>
      </c>
    </row>
    <row r="49" spans="1:41" ht="15.75" customHeight="1" x14ac:dyDescent="0.2">
      <c r="A49" s="1" t="s">
        <v>126</v>
      </c>
      <c r="B49" s="1" t="s">
        <v>428</v>
      </c>
      <c r="C49" s="1" t="s">
        <v>437</v>
      </c>
      <c r="D49" s="35" t="s">
        <v>127</v>
      </c>
      <c r="E49" s="25">
        <v>679</v>
      </c>
      <c r="F49" s="21">
        <v>176515.000761</v>
      </c>
      <c r="G49" s="20">
        <f t="shared" si="5"/>
        <v>89951.000354999996</v>
      </c>
      <c r="H49" s="24">
        <f t="shared" si="6"/>
        <v>0.50959408530265926</v>
      </c>
      <c r="I49" s="12">
        <v>343</v>
      </c>
      <c r="J49" s="12">
        <v>89108.000323999993</v>
      </c>
      <c r="K49" s="13">
        <f t="shared" si="7"/>
        <v>0.50481828705681264</v>
      </c>
      <c r="L49" s="4">
        <v>0</v>
      </c>
      <c r="M49" s="4">
        <v>0</v>
      </c>
      <c r="N49" s="17">
        <f t="shared" si="8"/>
        <v>0</v>
      </c>
      <c r="O49" s="9">
        <v>3</v>
      </c>
      <c r="P49" s="9">
        <v>843.00003100000004</v>
      </c>
      <c r="Q49" s="18">
        <f t="shared" si="9"/>
        <v>4.7757982458466281E-3</v>
      </c>
      <c r="R49" s="36">
        <v>1941459</v>
      </c>
      <c r="S49" s="36">
        <v>1430978</v>
      </c>
      <c r="T49" s="39">
        <v>0.73709999999999998</v>
      </c>
      <c r="U49" s="36">
        <v>1837372</v>
      </c>
      <c r="V49" s="36">
        <v>1402755</v>
      </c>
      <c r="W49" s="39">
        <v>0.76349999999999996</v>
      </c>
      <c r="X49" s="36">
        <v>1844008</v>
      </c>
      <c r="Y49" s="36">
        <v>1388136</v>
      </c>
      <c r="Z49" s="39">
        <v>0.75280000000000002</v>
      </c>
      <c r="AA49" s="36">
        <v>1455808</v>
      </c>
      <c r="AB49" s="36">
        <v>919170</v>
      </c>
      <c r="AC49" s="39">
        <v>0.63139999999999996</v>
      </c>
      <c r="AD49" s="36">
        <v>1654890</v>
      </c>
      <c r="AE49" s="36">
        <v>1028768</v>
      </c>
      <c r="AF49" s="39">
        <v>0.62170000000000003</v>
      </c>
      <c r="AG49" s="36">
        <v>1036382</v>
      </c>
      <c r="AH49" s="36">
        <v>659795</v>
      </c>
      <c r="AI49" s="39">
        <v>0.63660000000000005</v>
      </c>
      <c r="AJ49" s="36">
        <v>178691</v>
      </c>
      <c r="AK49" s="36">
        <v>112611</v>
      </c>
      <c r="AL49" s="39">
        <v>0.63019999999999998</v>
      </c>
      <c r="AM49" s="36">
        <v>180535</v>
      </c>
      <c r="AN49" s="36">
        <v>109825</v>
      </c>
      <c r="AO49" s="39">
        <v>0.60829999999999995</v>
      </c>
    </row>
    <row r="50" spans="1:41" ht="15.75" customHeight="1" x14ac:dyDescent="0.2">
      <c r="A50" s="1" t="s">
        <v>128</v>
      </c>
      <c r="B50" s="1" t="s">
        <v>428</v>
      </c>
      <c r="C50" s="1" t="s">
        <v>437</v>
      </c>
      <c r="D50" s="1" t="s">
        <v>129</v>
      </c>
      <c r="E50" s="25">
        <v>315</v>
      </c>
      <c r="F50" s="21">
        <v>78777.000408000007</v>
      </c>
      <c r="G50" s="20">
        <f t="shared" si="5"/>
        <v>47593.000311999996</v>
      </c>
      <c r="H50" s="24">
        <f t="shared" si="6"/>
        <v>0.60414841978632638</v>
      </c>
      <c r="I50" s="12">
        <v>161</v>
      </c>
      <c r="J50" s="12">
        <v>41991.000269999997</v>
      </c>
      <c r="K50" s="13">
        <f t="shared" si="7"/>
        <v>0.53303629298553112</v>
      </c>
      <c r="L50" s="4">
        <v>23</v>
      </c>
      <c r="M50" s="4">
        <v>5194.0000229999996</v>
      </c>
      <c r="N50" s="17">
        <f t="shared" si="8"/>
        <v>6.5932949923192749E-2</v>
      </c>
      <c r="O50" s="9">
        <v>2</v>
      </c>
      <c r="P50" s="9">
        <v>408.00001900000001</v>
      </c>
      <c r="Q50" s="18">
        <f t="shared" si="9"/>
        <v>5.1791768776025468E-3</v>
      </c>
      <c r="R50" s="36">
        <v>2452127</v>
      </c>
      <c r="S50" s="36">
        <v>1294617</v>
      </c>
      <c r="T50" s="39">
        <v>0.52800000000000002</v>
      </c>
      <c r="U50" s="36">
        <v>2575071</v>
      </c>
      <c r="V50" s="36">
        <v>1223456</v>
      </c>
      <c r="W50" s="39">
        <v>0.47510000000000002</v>
      </c>
      <c r="X50" s="36">
        <v>2447263</v>
      </c>
      <c r="Y50" s="36">
        <v>1330608</v>
      </c>
      <c r="Z50" s="39">
        <v>0.54369999999999996</v>
      </c>
      <c r="AA50" s="36">
        <v>2152010</v>
      </c>
      <c r="AB50" s="36">
        <v>1070924</v>
      </c>
      <c r="AC50" s="39">
        <v>0.49759999999999999</v>
      </c>
      <c r="AD50" s="36">
        <v>2109586</v>
      </c>
      <c r="AE50" s="36">
        <v>1064575</v>
      </c>
      <c r="AF50" s="39">
        <v>0.50460000000000005</v>
      </c>
      <c r="AG50" s="36">
        <v>1337123</v>
      </c>
      <c r="AH50" s="36">
        <v>742126</v>
      </c>
      <c r="AI50" s="39">
        <v>0.55500000000000005</v>
      </c>
      <c r="AJ50" s="36">
        <v>88070</v>
      </c>
      <c r="AK50" s="36">
        <v>57055</v>
      </c>
      <c r="AL50" s="39">
        <v>0.64780000000000004</v>
      </c>
      <c r="AM50" s="36">
        <v>83752</v>
      </c>
      <c r="AN50" s="36">
        <v>56026</v>
      </c>
      <c r="AO50" s="39">
        <v>0.66900000000000004</v>
      </c>
    </row>
    <row r="51" spans="1:41" ht="15.75" customHeight="1" x14ac:dyDescent="0.2">
      <c r="A51" s="1" t="s">
        <v>130</v>
      </c>
      <c r="B51" s="1" t="s">
        <v>428</v>
      </c>
      <c r="C51" s="1" t="s">
        <v>434</v>
      </c>
      <c r="D51" s="1" t="s">
        <v>131</v>
      </c>
      <c r="E51" s="25">
        <v>306</v>
      </c>
      <c r="F51" s="21">
        <v>80985.000020000007</v>
      </c>
      <c r="G51" s="20">
        <f t="shared" si="5"/>
        <v>43043.999866000006</v>
      </c>
      <c r="H51" s="24">
        <f t="shared" si="6"/>
        <v>0.53150583262789264</v>
      </c>
      <c r="I51" s="12">
        <v>131</v>
      </c>
      <c r="J51" s="12">
        <v>35200.999849</v>
      </c>
      <c r="K51" s="13">
        <f t="shared" si="7"/>
        <v>0.4346607376712574</v>
      </c>
      <c r="L51" s="4">
        <v>23</v>
      </c>
      <c r="M51" s="4">
        <v>6568.0000120000004</v>
      </c>
      <c r="N51" s="17">
        <f t="shared" si="8"/>
        <v>8.110143866614769E-2</v>
      </c>
      <c r="O51" s="9">
        <v>4</v>
      </c>
      <c r="P51" s="9">
        <v>1275.0000050000001</v>
      </c>
      <c r="Q51" s="18">
        <f t="shared" si="9"/>
        <v>1.5743656290487459E-2</v>
      </c>
      <c r="R51" s="36">
        <v>1584009</v>
      </c>
      <c r="S51" s="36">
        <v>770779</v>
      </c>
      <c r="T51" s="39">
        <v>0.48659999999999998</v>
      </c>
      <c r="U51" s="36">
        <v>1530616</v>
      </c>
      <c r="V51" s="36">
        <v>760400</v>
      </c>
      <c r="W51" s="39">
        <v>0.49680000000000002</v>
      </c>
      <c r="X51" s="36">
        <v>1735446</v>
      </c>
      <c r="Y51" s="36">
        <v>919457</v>
      </c>
      <c r="Z51" s="39">
        <v>0.52980000000000005</v>
      </c>
      <c r="AA51" s="36">
        <v>1299219</v>
      </c>
      <c r="AB51" s="36">
        <v>544170</v>
      </c>
      <c r="AC51" s="39">
        <v>0.41880000000000001</v>
      </c>
      <c r="AD51" s="36">
        <v>1123018</v>
      </c>
      <c r="AE51" s="36">
        <v>462537</v>
      </c>
      <c r="AF51" s="39">
        <v>0.41189999999999999</v>
      </c>
      <c r="AG51" s="36">
        <v>805784</v>
      </c>
      <c r="AH51" s="36">
        <v>391526</v>
      </c>
      <c r="AI51" s="39">
        <v>0.4859</v>
      </c>
      <c r="AJ51" s="36">
        <v>87225</v>
      </c>
      <c r="AK51" s="36">
        <v>48966</v>
      </c>
      <c r="AL51" s="39">
        <v>0.56140000000000001</v>
      </c>
      <c r="AM51" s="36">
        <v>94597</v>
      </c>
      <c r="AN51" s="36">
        <v>51307</v>
      </c>
      <c r="AO51" s="39">
        <v>0.54239999999999999</v>
      </c>
    </row>
    <row r="52" spans="1:41" ht="15.75" customHeight="1" x14ac:dyDescent="0.2">
      <c r="A52" s="1" t="s">
        <v>132</v>
      </c>
      <c r="B52" s="1" t="s">
        <v>428</v>
      </c>
      <c r="C52" s="1" t="s">
        <v>433</v>
      </c>
      <c r="D52" s="1" t="s">
        <v>133</v>
      </c>
      <c r="E52" s="25">
        <v>388</v>
      </c>
      <c r="F52" s="21">
        <v>95199.000448999999</v>
      </c>
      <c r="G52" s="20">
        <f t="shared" si="5"/>
        <v>49709.000400999998</v>
      </c>
      <c r="H52" s="24">
        <f t="shared" si="6"/>
        <v>0.52215884795586798</v>
      </c>
      <c r="I52" s="12">
        <v>181</v>
      </c>
      <c r="J52" s="12">
        <v>45513.000365</v>
      </c>
      <c r="K52" s="13">
        <f t="shared" si="7"/>
        <v>0.47808275454932136</v>
      </c>
      <c r="L52" s="4">
        <v>15</v>
      </c>
      <c r="M52" s="4">
        <v>2842.0000209999998</v>
      </c>
      <c r="N52" s="17">
        <f t="shared" si="8"/>
        <v>2.9853254840869006E-2</v>
      </c>
      <c r="O52" s="9">
        <v>3</v>
      </c>
      <c r="P52" s="9">
        <v>1354.0000150000001</v>
      </c>
      <c r="Q52" s="18">
        <f t="shared" si="9"/>
        <v>1.422283856567764E-2</v>
      </c>
      <c r="R52" s="36">
        <v>1956397</v>
      </c>
      <c r="S52" s="36">
        <v>1240113</v>
      </c>
      <c r="T52" s="39">
        <v>0.63390000000000002</v>
      </c>
      <c r="U52" s="36">
        <v>1901522</v>
      </c>
      <c r="V52" s="36">
        <v>1128965</v>
      </c>
      <c r="W52" s="39">
        <v>0.59370000000000001</v>
      </c>
      <c r="X52" s="36">
        <v>1976315</v>
      </c>
      <c r="Y52" s="36">
        <v>1187889</v>
      </c>
      <c r="Z52" s="39">
        <v>0.60109999999999997</v>
      </c>
      <c r="AA52" s="36">
        <v>1803575</v>
      </c>
      <c r="AB52" s="36">
        <v>957697</v>
      </c>
      <c r="AC52" s="39">
        <v>0.53100000000000003</v>
      </c>
      <c r="AD52" s="36">
        <v>1589506</v>
      </c>
      <c r="AE52" s="36">
        <v>940528</v>
      </c>
      <c r="AF52" s="39">
        <v>0.5917</v>
      </c>
      <c r="AG52" s="36">
        <v>1140422</v>
      </c>
      <c r="AH52" s="36">
        <v>688936</v>
      </c>
      <c r="AI52" s="39">
        <v>0.60409999999999997</v>
      </c>
      <c r="AJ52" s="36">
        <v>106934</v>
      </c>
      <c r="AK52" s="36">
        <v>56457</v>
      </c>
      <c r="AL52" s="39">
        <v>0.52800000000000002</v>
      </c>
      <c r="AM52" s="36">
        <v>96869</v>
      </c>
      <c r="AN52" s="36">
        <v>50570</v>
      </c>
      <c r="AO52" s="39">
        <v>0.52200000000000002</v>
      </c>
    </row>
    <row r="53" spans="1:41" ht="14" x14ac:dyDescent="0.2">
      <c r="A53" s="1" t="s">
        <v>134</v>
      </c>
      <c r="B53" s="1" t="s">
        <v>428</v>
      </c>
      <c r="C53" s="1" t="s">
        <v>432</v>
      </c>
      <c r="D53" s="1" t="s">
        <v>135</v>
      </c>
      <c r="E53" s="25">
        <v>722</v>
      </c>
      <c r="F53" s="21">
        <v>170557.000439</v>
      </c>
      <c r="G53" s="20">
        <f t="shared" si="5"/>
        <v>91775.000226000004</v>
      </c>
      <c r="H53" s="24">
        <f t="shared" si="6"/>
        <v>0.53808990536758117</v>
      </c>
      <c r="I53" s="12">
        <v>320</v>
      </c>
      <c r="J53" s="12">
        <v>78398.000123000005</v>
      </c>
      <c r="K53" s="13">
        <f t="shared" si="7"/>
        <v>0.45965864738011258</v>
      </c>
      <c r="L53" s="4">
        <v>49</v>
      </c>
      <c r="M53" s="4">
        <v>11571.000144</v>
      </c>
      <c r="N53" s="17">
        <f t="shared" si="8"/>
        <v>6.7842422851112388E-2</v>
      </c>
      <c r="O53" s="9">
        <v>8</v>
      </c>
      <c r="P53" s="9">
        <v>1805.999959</v>
      </c>
      <c r="Q53" s="18">
        <f t="shared" si="9"/>
        <v>1.0588835136356183E-2</v>
      </c>
      <c r="R53" s="36">
        <v>3170087</v>
      </c>
      <c r="S53" s="36">
        <v>2107630</v>
      </c>
      <c r="T53" s="39">
        <v>0.66479999999999995</v>
      </c>
      <c r="U53" s="36">
        <v>2897600</v>
      </c>
      <c r="V53" s="36">
        <v>1872024</v>
      </c>
      <c r="W53" s="39">
        <v>0.64610000000000001</v>
      </c>
      <c r="X53" s="36">
        <v>3204877</v>
      </c>
      <c r="Y53" s="36">
        <v>2165690</v>
      </c>
      <c r="Z53" s="39">
        <v>0.67569999999999997</v>
      </c>
      <c r="AA53" s="36">
        <v>2698337</v>
      </c>
      <c r="AB53" s="36">
        <v>1554735</v>
      </c>
      <c r="AC53" s="39">
        <v>0.57620000000000005</v>
      </c>
      <c r="AD53" s="36">
        <v>2478697</v>
      </c>
      <c r="AE53" s="36">
        <v>1502133</v>
      </c>
      <c r="AF53" s="39">
        <v>0.60599999999999998</v>
      </c>
      <c r="AG53" s="36">
        <v>1797624</v>
      </c>
      <c r="AH53" s="36">
        <v>1084532</v>
      </c>
      <c r="AI53" s="39">
        <v>0.60329999999999995</v>
      </c>
      <c r="AJ53" s="36">
        <v>188689</v>
      </c>
      <c r="AK53" s="36">
        <v>110747</v>
      </c>
      <c r="AL53" s="39">
        <v>0.58689999999999998</v>
      </c>
      <c r="AM53" s="36">
        <v>181773</v>
      </c>
      <c r="AN53" s="36">
        <v>100900</v>
      </c>
      <c r="AO53" s="39">
        <v>0.55510000000000004</v>
      </c>
    </row>
    <row r="54" spans="1:41" ht="14" x14ac:dyDescent="0.2">
      <c r="A54" s="1" t="s">
        <v>136</v>
      </c>
      <c r="B54" s="1" t="s">
        <v>428</v>
      </c>
      <c r="C54" s="1" t="s">
        <v>434</v>
      </c>
      <c r="D54" s="1" t="s">
        <v>137</v>
      </c>
      <c r="E54" s="25">
        <v>491</v>
      </c>
      <c r="F54" s="21">
        <v>147966.00064899999</v>
      </c>
      <c r="G54" s="20">
        <f t="shared" si="5"/>
        <v>77329.000297000006</v>
      </c>
      <c r="H54" s="24">
        <f t="shared" si="6"/>
        <v>0.52261330277106888</v>
      </c>
      <c r="I54" s="12">
        <v>216</v>
      </c>
      <c r="J54" s="12">
        <v>64082.000296999999</v>
      </c>
      <c r="K54" s="13">
        <f t="shared" si="7"/>
        <v>0.43308597931908144</v>
      </c>
      <c r="L54" s="4">
        <v>43</v>
      </c>
      <c r="M54" s="4">
        <v>11242.999991999999</v>
      </c>
      <c r="N54" s="17">
        <f t="shared" si="8"/>
        <v>7.5983671537289632E-2</v>
      </c>
      <c r="O54" s="9">
        <v>4</v>
      </c>
      <c r="P54" s="9">
        <v>2004.000008</v>
      </c>
      <c r="Q54" s="18">
        <f t="shared" si="9"/>
        <v>1.3543651914697767E-2</v>
      </c>
      <c r="R54" s="36">
        <v>2713899</v>
      </c>
      <c r="S54" s="36">
        <v>1656246</v>
      </c>
      <c r="T54" s="39">
        <v>0.61029999999999995</v>
      </c>
      <c r="U54" s="36">
        <v>2748856</v>
      </c>
      <c r="V54" s="36">
        <v>1644592</v>
      </c>
      <c r="W54" s="39">
        <v>0.59830000000000005</v>
      </c>
      <c r="X54" s="36">
        <v>3584390</v>
      </c>
      <c r="Y54" s="36">
        <v>2241150</v>
      </c>
      <c r="Z54" s="39">
        <v>0.62529999999999997</v>
      </c>
      <c r="AA54" s="36">
        <v>2498200</v>
      </c>
      <c r="AB54" s="36">
        <v>1405220</v>
      </c>
      <c r="AC54" s="39">
        <v>0.5625</v>
      </c>
      <c r="AD54" s="36">
        <v>2569536</v>
      </c>
      <c r="AE54" s="36">
        <v>1391929</v>
      </c>
      <c r="AF54" s="39">
        <v>0.54169999999999996</v>
      </c>
      <c r="AG54" s="36">
        <v>1915521</v>
      </c>
      <c r="AH54" s="36">
        <v>1156915</v>
      </c>
      <c r="AI54" s="39">
        <v>0.60399999999999998</v>
      </c>
      <c r="AJ54" s="36">
        <v>162469</v>
      </c>
      <c r="AK54" s="36">
        <v>98957</v>
      </c>
      <c r="AL54" s="39">
        <v>0.60909999999999997</v>
      </c>
      <c r="AM54" s="36">
        <v>130404</v>
      </c>
      <c r="AN54" s="36">
        <v>84997</v>
      </c>
      <c r="AO54" s="39">
        <v>0.65180000000000005</v>
      </c>
    </row>
    <row r="55" spans="1:41" ht="14" x14ac:dyDescent="0.2">
      <c r="A55" s="1" t="s">
        <v>138</v>
      </c>
      <c r="B55" s="1" t="s">
        <v>428</v>
      </c>
      <c r="C55" s="1" t="s">
        <v>432</v>
      </c>
      <c r="D55" s="1" t="s">
        <v>139</v>
      </c>
      <c r="E55" s="25">
        <v>490</v>
      </c>
      <c r="F55" s="21">
        <v>132099.00030399999</v>
      </c>
      <c r="G55" s="20">
        <f t="shared" si="5"/>
        <v>74126.000218999994</v>
      </c>
      <c r="H55" s="24">
        <f t="shared" si="6"/>
        <v>0.56113975161366492</v>
      </c>
      <c r="I55" s="12">
        <v>234</v>
      </c>
      <c r="J55" s="12">
        <v>65527.000207999998</v>
      </c>
      <c r="K55" s="13">
        <f t="shared" si="7"/>
        <v>0.49604463362479984</v>
      </c>
      <c r="L55" s="4">
        <v>29</v>
      </c>
      <c r="M55" s="4">
        <v>7611.9999879999996</v>
      </c>
      <c r="N55" s="17">
        <f t="shared" si="8"/>
        <v>5.7623448856406724E-2</v>
      </c>
      <c r="O55" s="9">
        <v>4</v>
      </c>
      <c r="P55" s="9">
        <v>987.00002300000006</v>
      </c>
      <c r="Q55" s="18">
        <f t="shared" si="9"/>
        <v>7.4716691324583284E-3</v>
      </c>
      <c r="R55" s="36">
        <v>2054455</v>
      </c>
      <c r="S55" s="36">
        <v>1478541</v>
      </c>
      <c r="T55" s="39">
        <v>0.71970000000000001</v>
      </c>
      <c r="U55" s="36">
        <v>2017881</v>
      </c>
      <c r="V55" s="36">
        <v>1400478</v>
      </c>
      <c r="W55" s="39">
        <v>0.69399999999999995</v>
      </c>
      <c r="X55" s="36">
        <v>2013425</v>
      </c>
      <c r="Y55" s="36">
        <v>1427193</v>
      </c>
      <c r="Z55" s="39">
        <v>0.70879999999999999</v>
      </c>
      <c r="AA55" s="36">
        <v>1951338</v>
      </c>
      <c r="AB55" s="36">
        <v>1135737</v>
      </c>
      <c r="AC55" s="39">
        <v>0.58199999999999996</v>
      </c>
      <c r="AD55" s="36">
        <v>1876360</v>
      </c>
      <c r="AE55" s="36">
        <v>1067117</v>
      </c>
      <c r="AF55" s="39">
        <v>0.56869999999999998</v>
      </c>
      <c r="AG55" s="36">
        <v>1368950</v>
      </c>
      <c r="AH55" s="36">
        <v>820447</v>
      </c>
      <c r="AI55" s="39">
        <v>0.59930000000000005</v>
      </c>
      <c r="AJ55" s="36">
        <v>149326</v>
      </c>
      <c r="AK55" s="36">
        <v>90919</v>
      </c>
      <c r="AL55" s="39">
        <v>0.6089</v>
      </c>
      <c r="AM55" s="36">
        <v>129465</v>
      </c>
      <c r="AN55" s="36">
        <v>73724</v>
      </c>
      <c r="AO55" s="39">
        <v>0.56950000000000001</v>
      </c>
    </row>
    <row r="56" spans="1:41" ht="14" x14ac:dyDescent="0.2">
      <c r="A56" s="1" t="s">
        <v>140</v>
      </c>
      <c r="B56" s="1" t="s">
        <v>428</v>
      </c>
      <c r="C56" s="1" t="s">
        <v>432</v>
      </c>
      <c r="D56" s="1" t="s">
        <v>141</v>
      </c>
      <c r="E56" s="25">
        <v>400</v>
      </c>
      <c r="F56" s="21">
        <v>100264.000527</v>
      </c>
      <c r="G56" s="20">
        <f t="shared" si="5"/>
        <v>48560.000314999997</v>
      </c>
      <c r="H56" s="24">
        <f t="shared" si="6"/>
        <v>0.48432139212242303</v>
      </c>
      <c r="I56" s="12">
        <v>166</v>
      </c>
      <c r="J56" s="12">
        <v>41393.000198000002</v>
      </c>
      <c r="K56" s="13">
        <f t="shared" si="7"/>
        <v>0.41284010193522369</v>
      </c>
      <c r="L56" s="4">
        <v>24</v>
      </c>
      <c r="M56" s="4">
        <v>5746.0000819999996</v>
      </c>
      <c r="N56" s="17">
        <f t="shared" si="8"/>
        <v>5.7308705535369743E-2</v>
      </c>
      <c r="O56" s="9">
        <v>6</v>
      </c>
      <c r="P56" s="9">
        <v>1421.000035</v>
      </c>
      <c r="Q56" s="18">
        <f t="shared" si="9"/>
        <v>1.417258465182965E-2</v>
      </c>
      <c r="R56" s="36">
        <v>1669548</v>
      </c>
      <c r="S56" s="36">
        <v>1050730</v>
      </c>
      <c r="T56" s="39">
        <v>0.62929999999999997</v>
      </c>
      <c r="U56" s="36">
        <v>1665869</v>
      </c>
      <c r="V56" s="36">
        <v>1029436</v>
      </c>
      <c r="W56" s="39">
        <v>0.61799999999999999</v>
      </c>
      <c r="X56" s="36">
        <v>1784656</v>
      </c>
      <c r="Y56" s="36">
        <v>1145289</v>
      </c>
      <c r="Z56" s="39">
        <v>0.64170000000000005</v>
      </c>
      <c r="AA56" s="36">
        <v>1573917</v>
      </c>
      <c r="AB56" s="36">
        <v>852046</v>
      </c>
      <c r="AC56" s="39">
        <v>0.54139999999999999</v>
      </c>
      <c r="AD56" s="36">
        <v>1515633</v>
      </c>
      <c r="AE56" s="36">
        <v>853886</v>
      </c>
      <c r="AF56" s="39">
        <v>0.56340000000000001</v>
      </c>
      <c r="AG56" s="36">
        <v>1036985</v>
      </c>
      <c r="AH56" s="36">
        <v>624665</v>
      </c>
      <c r="AI56" s="39">
        <v>0.60240000000000005</v>
      </c>
      <c r="AJ56" s="36">
        <v>114442</v>
      </c>
      <c r="AK56" s="36">
        <v>61730</v>
      </c>
      <c r="AL56" s="39">
        <v>0.53939999999999999</v>
      </c>
      <c r="AM56" s="36">
        <v>102708</v>
      </c>
      <c r="AN56" s="36">
        <v>58386</v>
      </c>
      <c r="AO56" s="39">
        <v>0.56850000000000001</v>
      </c>
    </row>
    <row r="57" spans="1:41" ht="14" x14ac:dyDescent="0.2">
      <c r="A57" s="1" t="s">
        <v>142</v>
      </c>
      <c r="B57" s="1" t="s">
        <v>428</v>
      </c>
      <c r="C57" s="1" t="s">
        <v>434</v>
      </c>
      <c r="D57" s="1" t="s">
        <v>143</v>
      </c>
      <c r="E57" s="25">
        <v>760</v>
      </c>
      <c r="F57" s="21">
        <v>167748.000226</v>
      </c>
      <c r="G57" s="20">
        <f t="shared" si="5"/>
        <v>92075.000140000004</v>
      </c>
      <c r="H57" s="24">
        <f t="shared" si="6"/>
        <v>0.54888880949967289</v>
      </c>
      <c r="I57" s="12">
        <v>342</v>
      </c>
      <c r="J57" s="12">
        <v>74759.000167999999</v>
      </c>
      <c r="K57" s="13">
        <f t="shared" si="7"/>
        <v>0.44566254183227377</v>
      </c>
      <c r="L57" s="4">
        <v>61</v>
      </c>
      <c r="M57" s="4">
        <v>15380.999952</v>
      </c>
      <c r="N57" s="17">
        <f t="shared" si="8"/>
        <v>9.1691107681032322E-2</v>
      </c>
      <c r="O57" s="9">
        <v>9</v>
      </c>
      <c r="P57" s="9">
        <v>1935.0000199999999</v>
      </c>
      <c r="Q57" s="18">
        <f t="shared" si="9"/>
        <v>1.1535159986366774E-2</v>
      </c>
      <c r="R57" s="36">
        <v>3264123</v>
      </c>
      <c r="S57" s="36">
        <v>1981012</v>
      </c>
      <c r="T57" s="39">
        <v>0.6069</v>
      </c>
      <c r="U57" s="36">
        <v>2972014</v>
      </c>
      <c r="V57" s="36">
        <v>1686460</v>
      </c>
      <c r="W57" s="39">
        <v>0.56740000000000002</v>
      </c>
      <c r="X57" s="36">
        <v>2690156</v>
      </c>
      <c r="Y57" s="36">
        <v>1644041</v>
      </c>
      <c r="Z57" s="39">
        <v>0.61109999999999998</v>
      </c>
      <c r="AA57" s="36">
        <v>2557124</v>
      </c>
      <c r="AB57" s="36">
        <v>1392534</v>
      </c>
      <c r="AC57" s="39">
        <v>0.54459999999999997</v>
      </c>
      <c r="AD57" s="36">
        <v>2209987</v>
      </c>
      <c r="AE57" s="36">
        <v>1154677</v>
      </c>
      <c r="AF57" s="39">
        <v>0.52249999999999996</v>
      </c>
      <c r="AG57" s="36">
        <v>1416199</v>
      </c>
      <c r="AH57" s="36">
        <v>798010</v>
      </c>
      <c r="AI57" s="39">
        <v>0.5635</v>
      </c>
      <c r="AJ57" s="36">
        <v>177169</v>
      </c>
      <c r="AK57" s="36">
        <v>112916</v>
      </c>
      <c r="AL57" s="39">
        <v>0.63729999999999998</v>
      </c>
      <c r="AM57" s="36">
        <v>165915</v>
      </c>
      <c r="AN57" s="36">
        <v>97965</v>
      </c>
      <c r="AO57" s="39">
        <v>0.59050000000000002</v>
      </c>
    </row>
    <row r="58" spans="1:41" ht="14" x14ac:dyDescent="0.2">
      <c r="A58" s="1" t="s">
        <v>144</v>
      </c>
      <c r="B58" s="1" t="s">
        <v>428</v>
      </c>
      <c r="C58" s="1" t="s">
        <v>432</v>
      </c>
      <c r="D58" s="1" t="s">
        <v>145</v>
      </c>
      <c r="E58" s="25">
        <v>512</v>
      </c>
      <c r="F58" s="21">
        <v>154463.000497</v>
      </c>
      <c r="G58" s="20">
        <f t="shared" si="5"/>
        <v>88825.000299000007</v>
      </c>
      <c r="H58" s="24">
        <f t="shared" si="6"/>
        <v>0.57505680980685847</v>
      </c>
      <c r="I58" s="12">
        <v>249</v>
      </c>
      <c r="J58" s="12">
        <v>77369.000310000003</v>
      </c>
      <c r="K58" s="13">
        <f t="shared" si="7"/>
        <v>0.50089018121529161</v>
      </c>
      <c r="L58" s="4">
        <v>23</v>
      </c>
      <c r="M58" s="4">
        <v>8836.9999910000006</v>
      </c>
      <c r="N58" s="17">
        <f t="shared" si="8"/>
        <v>5.721111180390176E-2</v>
      </c>
      <c r="O58" s="9">
        <v>7</v>
      </c>
      <c r="P58" s="9">
        <v>2618.9999979999998</v>
      </c>
      <c r="Q58" s="18">
        <f t="shared" si="9"/>
        <v>1.6955516787665059E-2</v>
      </c>
      <c r="R58" s="36">
        <v>2778860</v>
      </c>
      <c r="S58" s="36">
        <v>1817154</v>
      </c>
      <c r="T58" s="39">
        <v>0.65390000000000004</v>
      </c>
      <c r="U58" s="36">
        <v>2824157</v>
      </c>
      <c r="V58" s="36">
        <v>1781744</v>
      </c>
      <c r="W58" s="39">
        <v>0.63090000000000002</v>
      </c>
      <c r="X58" s="36">
        <v>2904990</v>
      </c>
      <c r="Y58" s="36">
        <v>1804083</v>
      </c>
      <c r="Z58" s="39">
        <v>0.621</v>
      </c>
      <c r="AA58" s="36">
        <v>2554566</v>
      </c>
      <c r="AB58" s="36">
        <v>1366294</v>
      </c>
      <c r="AC58" s="39">
        <v>0.53480000000000005</v>
      </c>
      <c r="AD58" s="36">
        <v>2316027</v>
      </c>
      <c r="AE58" s="36">
        <v>1221233</v>
      </c>
      <c r="AF58" s="39">
        <v>0.52729999999999999</v>
      </c>
      <c r="AG58" s="36">
        <v>1733883</v>
      </c>
      <c r="AH58" s="36">
        <v>983739</v>
      </c>
      <c r="AI58" s="39">
        <v>0.56740000000000002</v>
      </c>
      <c r="AJ58" s="36">
        <v>168908</v>
      </c>
      <c r="AK58" s="36">
        <v>102314</v>
      </c>
      <c r="AL58" s="39">
        <v>0.60570000000000002</v>
      </c>
      <c r="AM58" s="36">
        <v>156690</v>
      </c>
      <c r="AN58" s="36">
        <v>93648</v>
      </c>
      <c r="AO58" s="39">
        <v>0.59770000000000001</v>
      </c>
    </row>
    <row r="59" spans="1:41" ht="14" x14ac:dyDescent="0.2">
      <c r="A59" s="1" t="s">
        <v>146</v>
      </c>
      <c r="B59" s="1" t="s">
        <v>428</v>
      </c>
      <c r="C59" s="1" t="s">
        <v>434</v>
      </c>
      <c r="D59" s="1" t="s">
        <v>147</v>
      </c>
      <c r="E59" s="25">
        <v>891</v>
      </c>
      <c r="F59" s="21">
        <v>230385.000225</v>
      </c>
      <c r="G59" s="20">
        <f t="shared" si="5"/>
        <v>127788.99988600001</v>
      </c>
      <c r="H59" s="24">
        <f t="shared" si="6"/>
        <v>0.5546758676181085</v>
      </c>
      <c r="I59" s="12">
        <v>404</v>
      </c>
      <c r="J59" s="12">
        <v>102506.99996299999</v>
      </c>
      <c r="K59" s="13">
        <f t="shared" si="7"/>
        <v>0.44493782087761352</v>
      </c>
      <c r="L59" s="4">
        <v>74</v>
      </c>
      <c r="M59" s="4">
        <v>20903.999991000001</v>
      </c>
      <c r="N59" s="17">
        <f t="shared" si="8"/>
        <v>9.0735073770360955E-2</v>
      </c>
      <c r="O59" s="9">
        <v>17</v>
      </c>
      <c r="P59" s="9">
        <v>4377.9999319999997</v>
      </c>
      <c r="Q59" s="18">
        <f t="shared" si="9"/>
        <v>1.9002972970134039E-2</v>
      </c>
      <c r="R59" s="36">
        <v>3467241</v>
      </c>
      <c r="S59" s="36">
        <v>2180960</v>
      </c>
      <c r="T59" s="39">
        <v>0.629</v>
      </c>
      <c r="U59" s="36">
        <v>2958230</v>
      </c>
      <c r="V59" s="36">
        <v>1832353</v>
      </c>
      <c r="W59" s="39">
        <v>0.61939999999999995</v>
      </c>
      <c r="X59" s="36">
        <v>3393803</v>
      </c>
      <c r="Y59" s="36">
        <v>2141506</v>
      </c>
      <c r="Z59" s="39">
        <v>0.63100000000000001</v>
      </c>
      <c r="AA59" s="36">
        <v>3528625</v>
      </c>
      <c r="AB59" s="36">
        <v>1729409</v>
      </c>
      <c r="AC59" s="39">
        <v>0.49009999999999998</v>
      </c>
      <c r="AD59" s="36">
        <v>3426867</v>
      </c>
      <c r="AE59" s="36">
        <v>1620768</v>
      </c>
      <c r="AF59" s="39">
        <v>0.47299999999999998</v>
      </c>
      <c r="AG59" s="36">
        <v>2418535</v>
      </c>
      <c r="AH59" s="36">
        <v>1234062</v>
      </c>
      <c r="AI59" s="39">
        <v>0.51029999999999998</v>
      </c>
      <c r="AJ59" s="36">
        <v>261673</v>
      </c>
      <c r="AK59" s="36">
        <v>156582</v>
      </c>
      <c r="AL59" s="39">
        <v>0.59840000000000004</v>
      </c>
      <c r="AM59" s="36">
        <v>273614</v>
      </c>
      <c r="AN59" s="36">
        <v>151841</v>
      </c>
      <c r="AO59" s="39">
        <v>0.55489999999999995</v>
      </c>
    </row>
    <row r="60" spans="1:41" ht="14" x14ac:dyDescent="0.2">
      <c r="A60" s="1" t="s">
        <v>148</v>
      </c>
      <c r="B60" s="1" t="s">
        <v>428</v>
      </c>
      <c r="C60" s="1" t="s">
        <v>434</v>
      </c>
      <c r="D60" s="1" t="s">
        <v>149</v>
      </c>
      <c r="E60" s="25">
        <v>790</v>
      </c>
      <c r="F60" s="21">
        <v>167010.00002000001</v>
      </c>
      <c r="G60" s="20">
        <f t="shared" si="5"/>
        <v>91972.000041999985</v>
      </c>
      <c r="H60" s="24">
        <f t="shared" si="6"/>
        <v>0.55069756320571239</v>
      </c>
      <c r="I60" s="12">
        <v>362</v>
      </c>
      <c r="J60" s="12">
        <v>73422.000008999996</v>
      </c>
      <c r="K60" s="13">
        <f t="shared" si="7"/>
        <v>0.43962636967970459</v>
      </c>
      <c r="L60" s="4">
        <v>79</v>
      </c>
      <c r="M60" s="4">
        <v>17064.000005000002</v>
      </c>
      <c r="N60" s="17">
        <f t="shared" si="8"/>
        <v>0.10217352256126298</v>
      </c>
      <c r="O60" s="9">
        <v>6</v>
      </c>
      <c r="P60" s="9">
        <v>1486.0000279999999</v>
      </c>
      <c r="Q60" s="18">
        <f t="shared" si="9"/>
        <v>8.8976709647449036E-3</v>
      </c>
      <c r="R60" s="36">
        <v>2927290</v>
      </c>
      <c r="S60" s="36">
        <v>1854971</v>
      </c>
      <c r="T60" s="39">
        <v>0.63370000000000004</v>
      </c>
      <c r="U60" s="36">
        <v>2701969</v>
      </c>
      <c r="V60" s="36">
        <v>1617476</v>
      </c>
      <c r="W60" s="39">
        <v>0.59860000000000002</v>
      </c>
      <c r="X60" s="36">
        <v>2234926</v>
      </c>
      <c r="Y60" s="36">
        <v>1389173</v>
      </c>
      <c r="Z60" s="39">
        <v>0.62160000000000004</v>
      </c>
      <c r="AA60" s="36">
        <v>2509811</v>
      </c>
      <c r="AB60" s="36">
        <v>1377980</v>
      </c>
      <c r="AC60" s="39">
        <v>0.54900000000000004</v>
      </c>
      <c r="AD60" s="36">
        <v>2230780</v>
      </c>
      <c r="AE60" s="36">
        <v>1221246</v>
      </c>
      <c r="AF60" s="39">
        <v>0.54749999999999999</v>
      </c>
      <c r="AG60" s="36">
        <v>1419359</v>
      </c>
      <c r="AH60" s="36">
        <v>826702</v>
      </c>
      <c r="AI60" s="39">
        <v>0.58240000000000003</v>
      </c>
      <c r="AJ60" s="36">
        <v>189132</v>
      </c>
      <c r="AK60" s="36">
        <v>114118</v>
      </c>
      <c r="AL60" s="39">
        <v>0.60340000000000005</v>
      </c>
      <c r="AM60" s="36">
        <v>175931</v>
      </c>
      <c r="AN60" s="36">
        <v>107068</v>
      </c>
      <c r="AO60" s="39">
        <v>0.60860000000000003</v>
      </c>
    </row>
    <row r="61" spans="1:41" ht="14" x14ac:dyDescent="0.2">
      <c r="A61" s="1" t="s">
        <v>150</v>
      </c>
      <c r="B61" s="1" t="s">
        <v>428</v>
      </c>
      <c r="C61" s="1" t="s">
        <v>432</v>
      </c>
      <c r="D61" s="1" t="s">
        <v>151</v>
      </c>
      <c r="E61" s="25">
        <v>616</v>
      </c>
      <c r="F61" s="21">
        <v>154407.00055</v>
      </c>
      <c r="G61" s="20">
        <f t="shared" si="5"/>
        <v>77429.000224000003</v>
      </c>
      <c r="H61" s="24">
        <f t="shared" si="6"/>
        <v>0.50146042568145721</v>
      </c>
      <c r="I61" s="12">
        <v>261</v>
      </c>
      <c r="J61" s="12">
        <v>67197.000157999995</v>
      </c>
      <c r="K61" s="13">
        <f t="shared" si="7"/>
        <v>0.43519399974511064</v>
      </c>
      <c r="L61" s="4">
        <v>33</v>
      </c>
      <c r="M61" s="4">
        <v>8714.0000729999992</v>
      </c>
      <c r="N61" s="17">
        <f t="shared" si="8"/>
        <v>5.6435265512318762E-2</v>
      </c>
      <c r="O61" s="9">
        <v>7</v>
      </c>
      <c r="P61" s="9">
        <v>1517.9999929999999</v>
      </c>
      <c r="Q61" s="18">
        <f t="shared" si="9"/>
        <v>9.8311604240278079E-3</v>
      </c>
      <c r="R61" s="36">
        <v>3005880</v>
      </c>
      <c r="S61" s="36">
        <v>1946659</v>
      </c>
      <c r="T61" s="39">
        <v>0.64759999999999995</v>
      </c>
      <c r="U61" s="36">
        <v>2881437</v>
      </c>
      <c r="V61" s="36">
        <v>1832127</v>
      </c>
      <c r="W61" s="39">
        <v>0.63580000000000003</v>
      </c>
      <c r="X61" s="36">
        <v>3049631</v>
      </c>
      <c r="Y61" s="36">
        <v>2054551</v>
      </c>
      <c r="Z61" s="39">
        <v>0.67369999999999997</v>
      </c>
      <c r="AA61" s="36">
        <v>2589218</v>
      </c>
      <c r="AB61" s="36">
        <v>1455438</v>
      </c>
      <c r="AC61" s="39">
        <v>0.56210000000000004</v>
      </c>
      <c r="AD61" s="36">
        <v>2409686</v>
      </c>
      <c r="AE61" s="36">
        <v>1376078</v>
      </c>
      <c r="AF61" s="39">
        <v>0.57110000000000005</v>
      </c>
      <c r="AG61" s="36">
        <v>1775124</v>
      </c>
      <c r="AH61" s="36">
        <v>1068516</v>
      </c>
      <c r="AI61" s="39">
        <v>0.60189999999999999</v>
      </c>
      <c r="AJ61" s="36">
        <v>174924</v>
      </c>
      <c r="AK61" s="36">
        <v>102340</v>
      </c>
      <c r="AL61" s="39">
        <v>0.58509999999999995</v>
      </c>
      <c r="AM61" s="36">
        <v>177712</v>
      </c>
      <c r="AN61" s="36">
        <v>98155</v>
      </c>
      <c r="AO61" s="39">
        <v>0.55230000000000001</v>
      </c>
    </row>
    <row r="62" spans="1:41" ht="14" x14ac:dyDescent="0.2">
      <c r="A62" s="1" t="s">
        <v>152</v>
      </c>
      <c r="B62" s="1" t="s">
        <v>428</v>
      </c>
      <c r="C62" s="1" t="s">
        <v>437</v>
      </c>
      <c r="D62" s="1" t="s">
        <v>153</v>
      </c>
      <c r="E62" s="25">
        <v>1045</v>
      </c>
      <c r="F62" s="21">
        <v>314796.00047700002</v>
      </c>
      <c r="G62" s="20">
        <f t="shared" si="5"/>
        <v>166321.000168</v>
      </c>
      <c r="H62" s="24">
        <f t="shared" si="6"/>
        <v>0.52834534084289275</v>
      </c>
      <c r="I62" s="12">
        <v>461</v>
      </c>
      <c r="J62" s="12">
        <v>143632.00015199999</v>
      </c>
      <c r="K62" s="13">
        <f t="shared" si="7"/>
        <v>0.45627009216876691</v>
      </c>
      <c r="L62" s="4">
        <v>66</v>
      </c>
      <c r="M62" s="4">
        <v>19722.000006999999</v>
      </c>
      <c r="N62" s="17">
        <f t="shared" si="8"/>
        <v>6.2650097133114466E-2</v>
      </c>
      <c r="O62" s="9">
        <v>8</v>
      </c>
      <c r="P62" s="9">
        <v>2967.0000089999999</v>
      </c>
      <c r="Q62" s="18">
        <f t="shared" si="9"/>
        <v>9.4251515410113292E-3</v>
      </c>
      <c r="R62" s="36">
        <v>2528385</v>
      </c>
      <c r="S62" s="36">
        <v>1848435</v>
      </c>
      <c r="T62" s="39">
        <v>0.73109999999999997</v>
      </c>
      <c r="U62" s="36">
        <v>2423162</v>
      </c>
      <c r="V62" s="36">
        <v>1746817</v>
      </c>
      <c r="W62" s="39">
        <v>0.72089999999999999</v>
      </c>
      <c r="X62" s="36">
        <v>2779611</v>
      </c>
      <c r="Y62" s="36">
        <v>2080651</v>
      </c>
      <c r="Z62" s="39">
        <v>0.74850000000000005</v>
      </c>
      <c r="AA62" s="36">
        <v>2144725</v>
      </c>
      <c r="AB62" s="36">
        <v>1321739</v>
      </c>
      <c r="AC62" s="39">
        <v>0.61629999999999996</v>
      </c>
      <c r="AD62" s="36">
        <v>2299493</v>
      </c>
      <c r="AE62" s="36">
        <v>1325996</v>
      </c>
      <c r="AF62" s="39">
        <v>0.5766</v>
      </c>
      <c r="AG62" s="36">
        <v>1719003</v>
      </c>
      <c r="AH62" s="36">
        <v>1096539</v>
      </c>
      <c r="AI62" s="39">
        <v>0.63790000000000002</v>
      </c>
      <c r="AJ62" s="36">
        <v>328278</v>
      </c>
      <c r="AK62" s="36">
        <v>185871</v>
      </c>
      <c r="AL62" s="39">
        <v>0.56620000000000004</v>
      </c>
      <c r="AM62" s="36">
        <v>301822</v>
      </c>
      <c r="AN62" s="36">
        <v>158310</v>
      </c>
      <c r="AO62" s="39">
        <v>0.52449999999999997</v>
      </c>
    </row>
    <row r="63" spans="1:41" ht="14" x14ac:dyDescent="0.2">
      <c r="A63" s="1" t="s">
        <v>154</v>
      </c>
      <c r="B63" s="1" t="s">
        <v>428</v>
      </c>
      <c r="C63" s="1" t="s">
        <v>432</v>
      </c>
      <c r="D63" s="1" t="s">
        <v>155</v>
      </c>
      <c r="E63" s="25">
        <v>421</v>
      </c>
      <c r="F63" s="21">
        <v>112229.00044600001</v>
      </c>
      <c r="G63" s="20">
        <f t="shared" si="5"/>
        <v>62344.000470000006</v>
      </c>
      <c r="H63" s="24">
        <f t="shared" si="6"/>
        <v>0.55550704561426956</v>
      </c>
      <c r="I63" s="12">
        <v>179</v>
      </c>
      <c r="J63" s="12">
        <v>48544.000332000003</v>
      </c>
      <c r="K63" s="13">
        <f t="shared" si="7"/>
        <v>0.43254417431399461</v>
      </c>
      <c r="L63" s="4">
        <v>39</v>
      </c>
      <c r="M63" s="4">
        <v>12989.000139</v>
      </c>
      <c r="N63" s="17">
        <f t="shared" si="8"/>
        <v>0.11573657510430893</v>
      </c>
      <c r="O63" s="9">
        <v>4</v>
      </c>
      <c r="P63" s="9">
        <v>810.999999</v>
      </c>
      <c r="Q63" s="18">
        <f t="shared" si="9"/>
        <v>7.2262961959660326E-3</v>
      </c>
      <c r="R63" s="36">
        <v>2395243</v>
      </c>
      <c r="S63" s="36">
        <v>1258137</v>
      </c>
      <c r="T63" s="39">
        <v>0.52529999999999999</v>
      </c>
      <c r="U63" s="36">
        <v>2010674</v>
      </c>
      <c r="V63" s="36">
        <v>1096630</v>
      </c>
      <c r="W63" s="39">
        <v>0.5454</v>
      </c>
      <c r="X63" s="36">
        <v>1988200</v>
      </c>
      <c r="Y63" s="36">
        <v>1087512</v>
      </c>
      <c r="Z63" s="39">
        <v>0.54700000000000004</v>
      </c>
      <c r="AA63" s="36">
        <v>1932250</v>
      </c>
      <c r="AB63" s="36">
        <v>916727</v>
      </c>
      <c r="AC63" s="39">
        <v>0.47439999999999999</v>
      </c>
      <c r="AD63" s="36">
        <v>1645912</v>
      </c>
      <c r="AE63" s="36">
        <v>779289</v>
      </c>
      <c r="AF63" s="39">
        <v>0.47349999999999998</v>
      </c>
      <c r="AG63" s="36">
        <v>1140556</v>
      </c>
      <c r="AH63" s="36">
        <v>621849</v>
      </c>
      <c r="AI63" s="39">
        <v>0.54520000000000002</v>
      </c>
      <c r="AJ63" s="36">
        <v>124824</v>
      </c>
      <c r="AK63" s="36">
        <v>71745</v>
      </c>
      <c r="AL63" s="39">
        <v>0.57479999999999998</v>
      </c>
      <c r="AM63" s="36">
        <v>104907</v>
      </c>
      <c r="AN63" s="36">
        <v>61369</v>
      </c>
      <c r="AO63" s="39">
        <v>0.58499999999999996</v>
      </c>
    </row>
    <row r="64" spans="1:41" ht="14" x14ac:dyDescent="0.2">
      <c r="A64" s="1" t="s">
        <v>156</v>
      </c>
      <c r="B64" s="1" t="s">
        <v>428</v>
      </c>
      <c r="C64" s="1" t="s">
        <v>432</v>
      </c>
      <c r="D64" s="1" t="s">
        <v>157</v>
      </c>
      <c r="E64" s="25">
        <v>388</v>
      </c>
      <c r="F64" s="21">
        <v>85893.000243000002</v>
      </c>
      <c r="G64" s="20">
        <f t="shared" si="5"/>
        <v>47768.000114000002</v>
      </c>
      <c r="H64" s="24">
        <f t="shared" si="6"/>
        <v>0.55613379412594144</v>
      </c>
      <c r="I64" s="12">
        <v>172</v>
      </c>
      <c r="J64" s="12">
        <v>40222.000106</v>
      </c>
      <c r="K64" s="13">
        <f t="shared" si="7"/>
        <v>0.4682803021457847</v>
      </c>
      <c r="L64" s="4">
        <v>40</v>
      </c>
      <c r="M64" s="4">
        <v>7322.0000019999998</v>
      </c>
      <c r="N64" s="17">
        <f t="shared" si="8"/>
        <v>8.5245596047236902E-2</v>
      </c>
      <c r="O64" s="9">
        <v>2</v>
      </c>
      <c r="P64" s="9">
        <v>224.00000600000001</v>
      </c>
      <c r="Q64" s="18">
        <f t="shared" si="9"/>
        <v>2.6078959329198107E-3</v>
      </c>
      <c r="R64" s="36">
        <v>2612521</v>
      </c>
      <c r="S64" s="36">
        <v>1110591</v>
      </c>
      <c r="T64" s="39">
        <v>0.42509999999999998</v>
      </c>
      <c r="U64" s="36">
        <v>2596419</v>
      </c>
      <c r="V64" s="36">
        <v>1102540</v>
      </c>
      <c r="W64" s="39">
        <v>0.42459999999999998</v>
      </c>
      <c r="X64" s="36">
        <v>2237666</v>
      </c>
      <c r="Y64" s="36">
        <v>980442</v>
      </c>
      <c r="Z64" s="39">
        <v>0.43819999999999998</v>
      </c>
      <c r="AA64" s="36">
        <v>1976547</v>
      </c>
      <c r="AB64" s="36">
        <v>871783</v>
      </c>
      <c r="AC64" s="39">
        <v>0.44109999999999999</v>
      </c>
      <c r="AD64" s="36">
        <v>1775233</v>
      </c>
      <c r="AE64" s="36">
        <v>820646</v>
      </c>
      <c r="AF64" s="39">
        <v>0.46229999999999999</v>
      </c>
      <c r="AG64" s="36">
        <v>1148817</v>
      </c>
      <c r="AH64" s="36">
        <v>588290</v>
      </c>
      <c r="AI64" s="39">
        <v>0.5121</v>
      </c>
      <c r="AJ64" s="36">
        <v>92247</v>
      </c>
      <c r="AK64" s="36">
        <v>54249</v>
      </c>
      <c r="AL64" s="39">
        <v>0.58809999999999996</v>
      </c>
      <c r="AM64" s="36">
        <v>85096</v>
      </c>
      <c r="AN64" s="36">
        <v>50584</v>
      </c>
      <c r="AO64" s="39">
        <v>0.59440000000000004</v>
      </c>
    </row>
    <row r="65" spans="1:41" ht="14" x14ac:dyDescent="0.2">
      <c r="A65" s="1" t="s">
        <v>158</v>
      </c>
      <c r="B65" s="1" t="s">
        <v>428</v>
      </c>
      <c r="C65" s="1" t="s">
        <v>432</v>
      </c>
      <c r="D65" s="1" t="s">
        <v>159</v>
      </c>
      <c r="E65" s="25">
        <v>839</v>
      </c>
      <c r="F65" s="21">
        <v>216193.000658</v>
      </c>
      <c r="G65" s="20">
        <f t="shared" si="5"/>
        <v>129356.000634</v>
      </c>
      <c r="H65" s="24">
        <f t="shared" si="6"/>
        <v>0.59833574741224305</v>
      </c>
      <c r="I65" s="12">
        <v>374</v>
      </c>
      <c r="J65" s="12">
        <v>101227.00034899999</v>
      </c>
      <c r="K65" s="13">
        <f t="shared" si="7"/>
        <v>0.4682251508647729</v>
      </c>
      <c r="L65" s="4">
        <v>84</v>
      </c>
      <c r="M65" s="4">
        <v>22950.000167999999</v>
      </c>
      <c r="N65" s="17">
        <f t="shared" si="8"/>
        <v>0.10615514886305251</v>
      </c>
      <c r="O65" s="9">
        <v>23</v>
      </c>
      <c r="P65" s="9">
        <v>5179.0001169999996</v>
      </c>
      <c r="Q65" s="18">
        <f t="shared" si="9"/>
        <v>2.3955447684417697E-2</v>
      </c>
      <c r="R65" s="36">
        <v>3629768</v>
      </c>
      <c r="S65" s="36">
        <v>2462769</v>
      </c>
      <c r="T65" s="39">
        <v>0.67849999999999999</v>
      </c>
      <c r="U65" s="36">
        <v>3481897</v>
      </c>
      <c r="V65" s="36">
        <v>2296449</v>
      </c>
      <c r="W65" s="39">
        <v>0.65949999999999998</v>
      </c>
      <c r="X65" s="36">
        <v>3545161</v>
      </c>
      <c r="Y65" s="36">
        <v>2237721</v>
      </c>
      <c r="Z65" s="39">
        <v>0.63119999999999998</v>
      </c>
      <c r="AA65" s="36">
        <v>3315144</v>
      </c>
      <c r="AB65" s="36">
        <v>1859458</v>
      </c>
      <c r="AC65" s="39">
        <v>0.56089999999999995</v>
      </c>
      <c r="AD65" s="36">
        <v>2989915</v>
      </c>
      <c r="AE65" s="36">
        <v>1646806</v>
      </c>
      <c r="AF65" s="39">
        <v>0.55079999999999996</v>
      </c>
      <c r="AG65" s="36">
        <v>2039266</v>
      </c>
      <c r="AH65" s="36">
        <v>1281558</v>
      </c>
      <c r="AI65" s="39">
        <v>0.62839999999999996</v>
      </c>
      <c r="AJ65" s="36">
        <v>243888</v>
      </c>
      <c r="AK65" s="36">
        <v>156252</v>
      </c>
      <c r="AL65" s="39">
        <v>0.64070000000000005</v>
      </c>
      <c r="AM65" s="36">
        <v>212127</v>
      </c>
      <c r="AN65" s="36">
        <v>131430</v>
      </c>
      <c r="AO65" s="39">
        <v>0.61960000000000004</v>
      </c>
    </row>
    <row r="66" spans="1:41" ht="14" x14ac:dyDescent="0.2">
      <c r="A66" s="1" t="s">
        <v>160</v>
      </c>
      <c r="B66" s="1" t="s">
        <v>428</v>
      </c>
      <c r="C66" s="1" t="s">
        <v>432</v>
      </c>
      <c r="D66" s="1" t="s">
        <v>161</v>
      </c>
      <c r="E66" s="25">
        <v>763</v>
      </c>
      <c r="F66" s="21">
        <v>198217.000424</v>
      </c>
      <c r="G66" s="20">
        <f t="shared" si="5"/>
        <v>100075.000208</v>
      </c>
      <c r="H66" s="24">
        <f t="shared" si="6"/>
        <v>0.50487596923539646</v>
      </c>
      <c r="I66" s="12">
        <v>295</v>
      </c>
      <c r="J66" s="12">
        <v>78519.000159000003</v>
      </c>
      <c r="K66" s="13">
        <f t="shared" si="7"/>
        <v>0.3961264674121916</v>
      </c>
      <c r="L66" s="4">
        <v>66</v>
      </c>
      <c r="M66" s="4">
        <v>17935.000060999999</v>
      </c>
      <c r="N66" s="17">
        <f t="shared" si="8"/>
        <v>9.0481643969164013E-2</v>
      </c>
      <c r="O66" s="9">
        <v>11</v>
      </c>
      <c r="P66" s="9">
        <v>3620.999988</v>
      </c>
      <c r="Q66" s="18">
        <f t="shared" si="9"/>
        <v>1.8267857854040916E-2</v>
      </c>
      <c r="R66" s="36">
        <v>3270483</v>
      </c>
      <c r="S66" s="36">
        <v>1981177</v>
      </c>
      <c r="T66" s="39">
        <v>0.60580000000000001</v>
      </c>
      <c r="U66" s="36">
        <v>3069496</v>
      </c>
      <c r="V66" s="36">
        <v>1775206</v>
      </c>
      <c r="W66" s="39">
        <v>0.57830000000000004</v>
      </c>
      <c r="X66" s="36">
        <v>3299681</v>
      </c>
      <c r="Y66" s="36">
        <v>1962569</v>
      </c>
      <c r="Z66" s="39">
        <v>0.5948</v>
      </c>
      <c r="AA66" s="36">
        <v>2995402</v>
      </c>
      <c r="AB66" s="36">
        <v>1449826</v>
      </c>
      <c r="AC66" s="39">
        <v>0.48399999999999999</v>
      </c>
      <c r="AD66" s="36">
        <v>2656813</v>
      </c>
      <c r="AE66" s="36">
        <v>1321799</v>
      </c>
      <c r="AF66" s="39">
        <v>0.4975</v>
      </c>
      <c r="AG66" s="36">
        <v>1966159</v>
      </c>
      <c r="AH66" s="36">
        <v>1038662</v>
      </c>
      <c r="AI66" s="39">
        <v>0.52829999999999999</v>
      </c>
      <c r="AJ66" s="36">
        <v>224891</v>
      </c>
      <c r="AK66" s="36">
        <v>137619</v>
      </c>
      <c r="AL66" s="39">
        <v>0.6119</v>
      </c>
      <c r="AM66" s="36">
        <v>241685</v>
      </c>
      <c r="AN66" s="36">
        <v>153250</v>
      </c>
      <c r="AO66" s="39">
        <v>0.6341</v>
      </c>
    </row>
    <row r="67" spans="1:41" ht="14" x14ac:dyDescent="0.2">
      <c r="A67" s="1" t="s">
        <v>162</v>
      </c>
      <c r="B67" s="1" t="s">
        <v>428</v>
      </c>
      <c r="C67" s="1" t="s">
        <v>434</v>
      </c>
      <c r="D67" s="1" t="s">
        <v>163</v>
      </c>
      <c r="E67" s="25">
        <v>968</v>
      </c>
      <c r="F67" s="21">
        <v>205178.000894</v>
      </c>
      <c r="G67" s="20">
        <f t="shared" ref="G67:G98" si="10">J67+M67+P67</f>
        <v>120781.000327</v>
      </c>
      <c r="H67" s="24">
        <f t="shared" ref="H67:H98" si="11">G67/F67</f>
        <v>0.58866447572709535</v>
      </c>
      <c r="I67" s="12">
        <v>467</v>
      </c>
      <c r="J67" s="12">
        <v>105363.000338</v>
      </c>
      <c r="K67" s="13">
        <f t="shared" ref="K67:K98" si="12">J67/F67</f>
        <v>0.51351996743760608</v>
      </c>
      <c r="L67" s="4">
        <v>72</v>
      </c>
      <c r="M67" s="4">
        <v>13273.000034000001</v>
      </c>
      <c r="N67" s="17">
        <f t="shared" ref="N67:N98" si="13">M67/F67</f>
        <v>6.4690171344720132E-2</v>
      </c>
      <c r="O67" s="9">
        <v>11</v>
      </c>
      <c r="P67" s="9">
        <v>2144.9999550000002</v>
      </c>
      <c r="Q67" s="18">
        <f t="shared" ref="Q67:Q98" si="14">P67/F67</f>
        <v>1.0454336944769044E-2</v>
      </c>
      <c r="R67" s="36">
        <v>3156209</v>
      </c>
      <c r="S67" s="36">
        <v>2051216</v>
      </c>
      <c r="T67" s="39">
        <v>0.64990000000000003</v>
      </c>
      <c r="U67" s="36">
        <v>2892787</v>
      </c>
      <c r="V67" s="36">
        <v>1875333</v>
      </c>
      <c r="W67" s="39">
        <v>0.64829999999999999</v>
      </c>
      <c r="X67" s="36">
        <v>2692497</v>
      </c>
      <c r="Y67" s="36">
        <v>1770432</v>
      </c>
      <c r="Z67" s="39">
        <v>0.65749999999999997</v>
      </c>
      <c r="AA67" s="36">
        <v>2922428</v>
      </c>
      <c r="AB67" s="36">
        <v>1639198</v>
      </c>
      <c r="AC67" s="39">
        <v>0.56089999999999995</v>
      </c>
      <c r="AD67" s="36">
        <v>2402694</v>
      </c>
      <c r="AE67" s="36">
        <v>1352881</v>
      </c>
      <c r="AF67" s="39">
        <v>0.56310000000000004</v>
      </c>
      <c r="AG67" s="36">
        <v>1660096</v>
      </c>
      <c r="AH67" s="36">
        <v>1035780</v>
      </c>
      <c r="AI67" s="39">
        <v>0.62390000000000001</v>
      </c>
      <c r="AJ67" s="36">
        <v>233152</v>
      </c>
      <c r="AK67" s="36">
        <v>140913</v>
      </c>
      <c r="AL67" s="39">
        <v>0.60440000000000005</v>
      </c>
      <c r="AM67" s="36">
        <v>234993</v>
      </c>
      <c r="AN67" s="36">
        <v>135048</v>
      </c>
      <c r="AO67" s="39">
        <v>0.57469999999999999</v>
      </c>
    </row>
    <row r="68" spans="1:41" ht="14" x14ac:dyDescent="0.2">
      <c r="A68" s="1" t="s">
        <v>164</v>
      </c>
      <c r="B68" s="1" t="s">
        <v>428</v>
      </c>
      <c r="C68" s="1" t="s">
        <v>432</v>
      </c>
      <c r="D68" s="1" t="s">
        <v>165</v>
      </c>
      <c r="E68" s="25">
        <v>548</v>
      </c>
      <c r="F68" s="21">
        <v>134837.00039199999</v>
      </c>
      <c r="G68" s="20">
        <f t="shared" si="10"/>
        <v>80401.000251000005</v>
      </c>
      <c r="H68" s="24">
        <f t="shared" si="11"/>
        <v>0.5962829195047139</v>
      </c>
      <c r="I68" s="12">
        <v>270</v>
      </c>
      <c r="J68" s="12">
        <v>67762.000279999993</v>
      </c>
      <c r="K68" s="13">
        <f t="shared" si="12"/>
        <v>0.50254752095494093</v>
      </c>
      <c r="L68" s="4">
        <v>41</v>
      </c>
      <c r="M68" s="4">
        <v>11196.999995</v>
      </c>
      <c r="N68" s="17">
        <f t="shared" si="13"/>
        <v>8.3041004786875469E-2</v>
      </c>
      <c r="O68" s="9">
        <v>7</v>
      </c>
      <c r="P68" s="9">
        <v>1441.9999760000001</v>
      </c>
      <c r="Q68" s="18">
        <f t="shared" si="14"/>
        <v>1.0694393762897408E-2</v>
      </c>
      <c r="R68" s="36">
        <v>3054810</v>
      </c>
      <c r="S68" s="36">
        <v>1780053</v>
      </c>
      <c r="T68" s="39">
        <v>0.5827</v>
      </c>
      <c r="U68" s="36">
        <v>2954689</v>
      </c>
      <c r="V68" s="36">
        <v>1612388</v>
      </c>
      <c r="W68" s="39">
        <v>0.54569999999999996</v>
      </c>
      <c r="X68" s="36">
        <v>3162632</v>
      </c>
      <c r="Y68" s="36">
        <v>1795963</v>
      </c>
      <c r="Z68" s="39">
        <v>0.56789999999999996</v>
      </c>
      <c r="AA68" s="36">
        <v>2652895</v>
      </c>
      <c r="AB68" s="36">
        <v>1481926</v>
      </c>
      <c r="AC68" s="39">
        <v>0.55859999999999999</v>
      </c>
      <c r="AD68" s="36">
        <v>2523466</v>
      </c>
      <c r="AE68" s="36">
        <v>1389476</v>
      </c>
      <c r="AF68" s="39">
        <v>0.55059999999999998</v>
      </c>
      <c r="AG68" s="36">
        <v>1736434</v>
      </c>
      <c r="AH68" s="36">
        <v>1029224</v>
      </c>
      <c r="AI68" s="39">
        <v>0.5927</v>
      </c>
      <c r="AJ68" s="36">
        <v>163308</v>
      </c>
      <c r="AK68" s="36">
        <v>101354</v>
      </c>
      <c r="AL68" s="39">
        <v>0.62060000000000004</v>
      </c>
      <c r="AM68" s="36">
        <v>177614</v>
      </c>
      <c r="AN68" s="36">
        <v>99595</v>
      </c>
      <c r="AO68" s="39">
        <v>0.56069999999999998</v>
      </c>
    </row>
    <row r="69" spans="1:41" ht="14" x14ac:dyDescent="0.2">
      <c r="A69" s="1" t="s">
        <v>166</v>
      </c>
      <c r="B69" s="1" t="s">
        <v>428</v>
      </c>
      <c r="C69" s="1" t="s">
        <v>432</v>
      </c>
      <c r="D69" s="1" t="s">
        <v>167</v>
      </c>
      <c r="E69" s="25">
        <v>496</v>
      </c>
      <c r="F69" s="21">
        <v>131458.000523</v>
      </c>
      <c r="G69" s="20">
        <f t="shared" si="10"/>
        <v>73617.000299000007</v>
      </c>
      <c r="H69" s="24">
        <f t="shared" si="11"/>
        <v>0.56000395568255978</v>
      </c>
      <c r="I69" s="12">
        <v>209</v>
      </c>
      <c r="J69" s="12">
        <v>57805.000311000003</v>
      </c>
      <c r="K69" s="13">
        <f t="shared" si="12"/>
        <v>0.439722193255833</v>
      </c>
      <c r="L69" s="4">
        <v>44</v>
      </c>
      <c r="M69" s="4">
        <v>14223.999968</v>
      </c>
      <c r="N69" s="17">
        <f t="shared" si="13"/>
        <v>0.1082018584750295</v>
      </c>
      <c r="O69" s="9">
        <v>7</v>
      </c>
      <c r="P69" s="9">
        <v>1588.0000199999999</v>
      </c>
      <c r="Q69" s="18">
        <f t="shared" si="14"/>
        <v>1.2079903951697198E-2</v>
      </c>
      <c r="R69" s="36">
        <v>2207088</v>
      </c>
      <c r="S69" s="36">
        <v>1425591</v>
      </c>
      <c r="T69" s="39">
        <v>0.64590000000000003</v>
      </c>
      <c r="U69" s="36">
        <v>2033153</v>
      </c>
      <c r="V69" s="36">
        <v>1254789</v>
      </c>
      <c r="W69" s="39">
        <v>0.61719999999999997</v>
      </c>
      <c r="X69" s="36">
        <v>2131807</v>
      </c>
      <c r="Y69" s="36">
        <v>1402079</v>
      </c>
      <c r="Z69" s="39">
        <v>0.65769999999999995</v>
      </c>
      <c r="AA69" s="36">
        <v>1756623</v>
      </c>
      <c r="AB69" s="36">
        <v>1009227</v>
      </c>
      <c r="AC69" s="39">
        <v>0.57450000000000001</v>
      </c>
      <c r="AD69" s="36">
        <v>1630049</v>
      </c>
      <c r="AE69" s="36">
        <v>950846</v>
      </c>
      <c r="AF69" s="39">
        <v>0.58330000000000004</v>
      </c>
      <c r="AG69" s="36">
        <v>1140187</v>
      </c>
      <c r="AH69" s="36">
        <v>720765</v>
      </c>
      <c r="AI69" s="39">
        <v>0.6321</v>
      </c>
      <c r="AJ69" s="36">
        <v>148129</v>
      </c>
      <c r="AK69" s="36">
        <v>92387</v>
      </c>
      <c r="AL69" s="39">
        <v>0.62370000000000003</v>
      </c>
      <c r="AM69" s="36">
        <v>129823</v>
      </c>
      <c r="AN69" s="36">
        <v>77549</v>
      </c>
      <c r="AO69" s="39">
        <v>0.59730000000000005</v>
      </c>
    </row>
    <row r="70" spans="1:41" ht="14" x14ac:dyDescent="0.2">
      <c r="A70" s="1" t="s">
        <v>168</v>
      </c>
      <c r="B70" s="1" t="s">
        <v>428</v>
      </c>
      <c r="C70" s="1" t="s">
        <v>433</v>
      </c>
      <c r="D70" s="1" t="s">
        <v>169</v>
      </c>
      <c r="E70" s="25">
        <v>647</v>
      </c>
      <c r="F70" s="21">
        <v>150349.00089900001</v>
      </c>
      <c r="G70" s="20">
        <f t="shared" si="10"/>
        <v>69971.000406000006</v>
      </c>
      <c r="H70" s="24">
        <f t="shared" si="11"/>
        <v>0.46539052463012009</v>
      </c>
      <c r="I70" s="12">
        <v>263</v>
      </c>
      <c r="J70" s="12">
        <v>60799.000386</v>
      </c>
      <c r="K70" s="13">
        <f t="shared" si="12"/>
        <v>0.40438579586466933</v>
      </c>
      <c r="L70" s="4">
        <v>36</v>
      </c>
      <c r="M70" s="4">
        <v>7777.0000600000003</v>
      </c>
      <c r="N70" s="17">
        <f t="shared" si="13"/>
        <v>5.1726316859427343E-2</v>
      </c>
      <c r="O70" s="9">
        <v>9</v>
      </c>
      <c r="P70" s="9">
        <v>1394.9999600000001</v>
      </c>
      <c r="Q70" s="18">
        <f t="shared" si="14"/>
        <v>9.2784119060233712E-3</v>
      </c>
      <c r="R70" s="36">
        <v>2735706</v>
      </c>
      <c r="S70" s="36">
        <v>1475723</v>
      </c>
      <c r="T70" s="39">
        <v>0.53939999999999999</v>
      </c>
      <c r="U70" s="36">
        <v>2515848</v>
      </c>
      <c r="V70" s="36">
        <v>1217266</v>
      </c>
      <c r="W70" s="39">
        <v>0.48380000000000001</v>
      </c>
      <c r="X70" s="36">
        <v>2334165</v>
      </c>
      <c r="Y70" s="36">
        <v>1009514</v>
      </c>
      <c r="Z70" s="39">
        <v>0.4325</v>
      </c>
      <c r="AA70" s="36">
        <v>2494079</v>
      </c>
      <c r="AB70" s="36">
        <v>1152560</v>
      </c>
      <c r="AC70" s="39">
        <v>0.46210000000000001</v>
      </c>
      <c r="AD70" s="36">
        <v>1906594</v>
      </c>
      <c r="AE70" s="36">
        <v>874333</v>
      </c>
      <c r="AF70" s="39">
        <v>0.45860000000000001</v>
      </c>
      <c r="AG70" s="36">
        <v>1273534</v>
      </c>
      <c r="AH70" s="36">
        <v>592776</v>
      </c>
      <c r="AI70" s="39">
        <v>0.46550000000000002</v>
      </c>
      <c r="AJ70" s="36">
        <v>167404</v>
      </c>
      <c r="AK70" s="36">
        <v>90045</v>
      </c>
      <c r="AL70" s="39">
        <v>0.53790000000000004</v>
      </c>
      <c r="AM70" s="36">
        <v>156620</v>
      </c>
      <c r="AN70" s="36">
        <v>85146</v>
      </c>
      <c r="AO70" s="39">
        <v>0.54359999999999997</v>
      </c>
    </row>
    <row r="71" spans="1:41" ht="14" x14ac:dyDescent="0.2">
      <c r="A71" s="1" t="s">
        <v>170</v>
      </c>
      <c r="B71" s="1" t="s">
        <v>428</v>
      </c>
      <c r="C71" s="1" t="s">
        <v>432</v>
      </c>
      <c r="D71" s="1" t="s">
        <v>171</v>
      </c>
      <c r="E71" s="25">
        <v>783</v>
      </c>
      <c r="F71" s="21">
        <v>190916.00014600001</v>
      </c>
      <c r="G71" s="20">
        <f t="shared" si="10"/>
        <v>116224.000069</v>
      </c>
      <c r="H71" s="24">
        <f t="shared" si="11"/>
        <v>0.60877034915941841</v>
      </c>
      <c r="I71" s="12">
        <v>387</v>
      </c>
      <c r="J71" s="12">
        <v>100319.999973</v>
      </c>
      <c r="K71" s="13">
        <f t="shared" si="12"/>
        <v>0.5254666968524474</v>
      </c>
      <c r="L71" s="4">
        <v>50</v>
      </c>
      <c r="M71" s="4">
        <v>14150.000077999999</v>
      </c>
      <c r="N71" s="17">
        <f t="shared" si="13"/>
        <v>7.411636566437077E-2</v>
      </c>
      <c r="O71" s="9">
        <v>7</v>
      </c>
      <c r="P71" s="9">
        <v>1754.000018</v>
      </c>
      <c r="Q71" s="18">
        <f t="shared" si="14"/>
        <v>9.1872866426001808E-3</v>
      </c>
      <c r="R71" s="36">
        <v>3011414</v>
      </c>
      <c r="S71" s="36">
        <v>1948267</v>
      </c>
      <c r="T71" s="39">
        <v>0.64700000000000002</v>
      </c>
      <c r="U71" s="36">
        <v>2919550</v>
      </c>
      <c r="V71" s="36">
        <v>1885909</v>
      </c>
      <c r="W71" s="39">
        <v>0.64600000000000002</v>
      </c>
      <c r="X71" s="36">
        <v>3002985</v>
      </c>
      <c r="Y71" s="36">
        <v>1972097</v>
      </c>
      <c r="Z71" s="39">
        <v>0.65669999999999995</v>
      </c>
      <c r="AA71" s="36">
        <v>2699623</v>
      </c>
      <c r="AB71" s="36">
        <v>1500450</v>
      </c>
      <c r="AC71" s="39">
        <v>0.55579999999999996</v>
      </c>
      <c r="AD71" s="36">
        <v>2544431</v>
      </c>
      <c r="AE71" s="36">
        <v>1388410</v>
      </c>
      <c r="AF71" s="39">
        <v>0.54569999999999996</v>
      </c>
      <c r="AG71" s="36">
        <v>1707194</v>
      </c>
      <c r="AH71" s="36">
        <v>1008240</v>
      </c>
      <c r="AI71" s="39">
        <v>0.59060000000000001</v>
      </c>
      <c r="AJ71" s="36">
        <v>217304</v>
      </c>
      <c r="AK71" s="36">
        <v>138469</v>
      </c>
      <c r="AL71" s="39">
        <v>0.63719999999999999</v>
      </c>
      <c r="AM71" s="36">
        <v>216842</v>
      </c>
      <c r="AN71" s="36">
        <v>128051</v>
      </c>
      <c r="AO71" s="39">
        <v>0.59050000000000002</v>
      </c>
    </row>
    <row r="72" spans="1:41" ht="14" x14ac:dyDescent="0.2">
      <c r="A72" s="1" t="s">
        <v>172</v>
      </c>
      <c r="B72" s="1" t="s">
        <v>428</v>
      </c>
      <c r="C72" s="1" t="s">
        <v>432</v>
      </c>
      <c r="D72" s="1" t="s">
        <v>173</v>
      </c>
      <c r="E72" s="25">
        <v>636</v>
      </c>
      <c r="F72" s="21">
        <v>144066.000505</v>
      </c>
      <c r="G72" s="20">
        <f t="shared" si="10"/>
        <v>67888.000279</v>
      </c>
      <c r="H72" s="24">
        <f t="shared" si="11"/>
        <v>0.47122846501623994</v>
      </c>
      <c r="I72" s="12">
        <v>238</v>
      </c>
      <c r="J72" s="12">
        <v>53427.000206999997</v>
      </c>
      <c r="K72" s="13">
        <f t="shared" si="12"/>
        <v>0.37085086015937357</v>
      </c>
      <c r="L72" s="4">
        <v>61</v>
      </c>
      <c r="M72" s="4">
        <v>14113.000054</v>
      </c>
      <c r="N72" s="17">
        <f t="shared" si="13"/>
        <v>9.7962045205177956E-2</v>
      </c>
      <c r="O72" s="9">
        <v>2</v>
      </c>
      <c r="P72" s="9">
        <v>348.00001800000001</v>
      </c>
      <c r="Q72" s="18">
        <f t="shared" si="14"/>
        <v>2.4155596516884092E-3</v>
      </c>
      <c r="R72" s="36">
        <v>2289198</v>
      </c>
      <c r="S72" s="36">
        <v>1409429</v>
      </c>
      <c r="T72" s="39">
        <v>0.61570000000000003</v>
      </c>
      <c r="U72" s="36">
        <v>1836723</v>
      </c>
      <c r="V72" s="36">
        <v>1118972</v>
      </c>
      <c r="W72" s="39">
        <v>0.60919999999999996</v>
      </c>
      <c r="X72" s="36">
        <v>1605156</v>
      </c>
      <c r="Y72" s="36">
        <v>963020</v>
      </c>
      <c r="Z72" s="39">
        <v>0.6</v>
      </c>
      <c r="AA72" s="36">
        <v>1902442</v>
      </c>
      <c r="AB72" s="36">
        <v>1079012</v>
      </c>
      <c r="AC72" s="39">
        <v>0.56720000000000004</v>
      </c>
      <c r="AD72" s="36">
        <v>1605631</v>
      </c>
      <c r="AE72" s="36">
        <v>922273</v>
      </c>
      <c r="AF72" s="39">
        <v>0.57440000000000002</v>
      </c>
      <c r="AG72" s="36">
        <v>1041445</v>
      </c>
      <c r="AH72" s="36">
        <v>625103</v>
      </c>
      <c r="AI72" s="39">
        <v>0.60019999999999996</v>
      </c>
      <c r="AJ72" s="36">
        <v>168146</v>
      </c>
      <c r="AK72" s="36">
        <v>81577</v>
      </c>
      <c r="AL72" s="39">
        <v>0.48520000000000002</v>
      </c>
      <c r="AM72" s="36">
        <v>139915</v>
      </c>
      <c r="AN72" s="36">
        <v>71993</v>
      </c>
      <c r="AO72" s="39">
        <v>0.51459999999999995</v>
      </c>
    </row>
    <row r="73" spans="1:41" ht="14" x14ac:dyDescent="0.2">
      <c r="A73" s="1" t="s">
        <v>174</v>
      </c>
      <c r="B73" s="1" t="s">
        <v>428</v>
      </c>
      <c r="C73" s="1" t="s">
        <v>437</v>
      </c>
      <c r="D73" s="1" t="s">
        <v>175</v>
      </c>
      <c r="E73" s="25">
        <v>729</v>
      </c>
      <c r="F73" s="21">
        <v>158133.00050299999</v>
      </c>
      <c r="G73" s="20">
        <f t="shared" si="10"/>
        <v>81921.000266000003</v>
      </c>
      <c r="H73" s="24">
        <f t="shared" si="11"/>
        <v>0.51805126068195906</v>
      </c>
      <c r="I73" s="12">
        <v>322</v>
      </c>
      <c r="J73" s="12">
        <v>67958.000125999999</v>
      </c>
      <c r="K73" s="13">
        <f t="shared" si="12"/>
        <v>0.42975217007098243</v>
      </c>
      <c r="L73" s="4">
        <v>51</v>
      </c>
      <c r="M73" s="4">
        <v>13097.000126000001</v>
      </c>
      <c r="N73" s="17">
        <f t="shared" si="13"/>
        <v>8.2822687764983846E-2</v>
      </c>
      <c r="O73" s="9">
        <v>9</v>
      </c>
      <c r="P73" s="9">
        <v>866.00001399999996</v>
      </c>
      <c r="Q73" s="18">
        <f t="shared" si="14"/>
        <v>5.4764028459927368E-3</v>
      </c>
      <c r="R73" s="36">
        <v>2424492</v>
      </c>
      <c r="S73" s="36">
        <v>1462628</v>
      </c>
      <c r="T73" s="39">
        <v>0.60329999999999995</v>
      </c>
      <c r="U73" s="36">
        <v>2224836</v>
      </c>
      <c r="V73" s="36">
        <v>1255819</v>
      </c>
      <c r="W73" s="39">
        <v>0.5645</v>
      </c>
      <c r="X73" s="36">
        <v>2068319</v>
      </c>
      <c r="Y73" s="36">
        <v>983595</v>
      </c>
      <c r="Z73" s="39">
        <v>0.47560000000000002</v>
      </c>
      <c r="AA73" s="36">
        <v>2163053</v>
      </c>
      <c r="AB73" s="36">
        <v>1084466</v>
      </c>
      <c r="AC73" s="39">
        <v>0.50139999999999996</v>
      </c>
      <c r="AD73" s="36">
        <v>2026821</v>
      </c>
      <c r="AE73" s="36">
        <v>1033215</v>
      </c>
      <c r="AF73" s="39">
        <v>0.50980000000000003</v>
      </c>
      <c r="AG73" s="36">
        <v>1312859</v>
      </c>
      <c r="AH73" s="36">
        <v>698528</v>
      </c>
      <c r="AI73" s="39">
        <v>0.53210000000000002</v>
      </c>
      <c r="AJ73" s="36">
        <v>173896</v>
      </c>
      <c r="AK73" s="36">
        <v>96467</v>
      </c>
      <c r="AL73" s="39">
        <v>0.55469999999999997</v>
      </c>
      <c r="AM73" s="36">
        <v>156814</v>
      </c>
      <c r="AN73" s="36">
        <v>80487</v>
      </c>
      <c r="AO73" s="39">
        <v>0.51329999999999998</v>
      </c>
    </row>
    <row r="74" spans="1:41" ht="14" x14ac:dyDescent="0.2">
      <c r="A74" s="1" t="s">
        <v>176</v>
      </c>
      <c r="B74" s="1" t="s">
        <v>428</v>
      </c>
      <c r="C74" s="1" t="s">
        <v>438</v>
      </c>
      <c r="D74" s="1" t="s">
        <v>177</v>
      </c>
      <c r="E74" s="25">
        <v>716</v>
      </c>
      <c r="F74" s="21">
        <v>203705.00086900001</v>
      </c>
      <c r="G74" s="20">
        <f t="shared" si="10"/>
        <v>98075.000613000011</v>
      </c>
      <c r="H74" s="24">
        <f t="shared" si="11"/>
        <v>0.48145602805338461</v>
      </c>
      <c r="I74" s="12">
        <v>303</v>
      </c>
      <c r="J74" s="12">
        <v>82715.000492000006</v>
      </c>
      <c r="K74" s="13">
        <f t="shared" si="12"/>
        <v>0.40605287125568867</v>
      </c>
      <c r="L74" s="4">
        <v>43</v>
      </c>
      <c r="M74" s="4">
        <v>12427.000102</v>
      </c>
      <c r="N74" s="17">
        <f t="shared" si="13"/>
        <v>6.1004884754850171E-2</v>
      </c>
      <c r="O74" s="9">
        <v>11</v>
      </c>
      <c r="P74" s="9">
        <v>2933.0000190000001</v>
      </c>
      <c r="Q74" s="18">
        <f t="shared" si="14"/>
        <v>1.439827204284579E-2</v>
      </c>
      <c r="R74" s="36">
        <v>3560941</v>
      </c>
      <c r="S74" s="36">
        <v>2059634</v>
      </c>
      <c r="T74" s="39">
        <v>0.57840000000000003</v>
      </c>
      <c r="U74" s="36">
        <v>3747949</v>
      </c>
      <c r="V74" s="36">
        <v>2089393</v>
      </c>
      <c r="W74" s="39">
        <v>0.5575</v>
      </c>
      <c r="X74" s="36">
        <v>4027620</v>
      </c>
      <c r="Y74" s="36">
        <v>2398908</v>
      </c>
      <c r="Z74" s="39">
        <v>0.59560000000000002</v>
      </c>
      <c r="AA74" s="36">
        <v>2992834</v>
      </c>
      <c r="AB74" s="36">
        <v>1570847</v>
      </c>
      <c r="AC74" s="39">
        <v>0.52490000000000003</v>
      </c>
      <c r="AD74" s="36">
        <v>2981693</v>
      </c>
      <c r="AE74" s="36">
        <v>1506440</v>
      </c>
      <c r="AF74" s="39">
        <v>0.50519999999999998</v>
      </c>
      <c r="AG74" s="36">
        <v>2244564</v>
      </c>
      <c r="AH74" s="36">
        <v>1251193</v>
      </c>
      <c r="AI74" s="39">
        <v>0.55740000000000001</v>
      </c>
      <c r="AJ74" s="36">
        <v>233049</v>
      </c>
      <c r="AK74" s="36">
        <v>141825</v>
      </c>
      <c r="AL74" s="39">
        <v>0.60860000000000003</v>
      </c>
      <c r="AM74" s="36">
        <v>263287</v>
      </c>
      <c r="AN74" s="36">
        <v>168747</v>
      </c>
      <c r="AO74" s="39">
        <v>0.64090000000000003</v>
      </c>
    </row>
    <row r="75" spans="1:41" ht="14" x14ac:dyDescent="0.2">
      <c r="A75" s="1" t="s">
        <v>178</v>
      </c>
      <c r="B75" s="1" t="s">
        <v>428</v>
      </c>
      <c r="C75" s="1" t="s">
        <v>432</v>
      </c>
      <c r="D75" s="1" t="s">
        <v>179</v>
      </c>
      <c r="E75" s="25">
        <v>530</v>
      </c>
      <c r="F75" s="21">
        <v>141289.00015000001</v>
      </c>
      <c r="G75" s="20">
        <f t="shared" si="10"/>
        <v>80711.000060999999</v>
      </c>
      <c r="H75" s="24">
        <f t="shared" si="11"/>
        <v>0.57124758456293734</v>
      </c>
      <c r="I75" s="12">
        <v>247</v>
      </c>
      <c r="J75" s="12">
        <v>64346.000049000002</v>
      </c>
      <c r="K75" s="13">
        <f t="shared" si="12"/>
        <v>0.4554211579152434</v>
      </c>
      <c r="L75" s="4">
        <v>48</v>
      </c>
      <c r="M75" s="4">
        <v>14466.000001</v>
      </c>
      <c r="N75" s="17">
        <f t="shared" si="13"/>
        <v>0.1023858898119607</v>
      </c>
      <c r="O75" s="9">
        <v>7</v>
      </c>
      <c r="P75" s="9">
        <v>1899.0000110000001</v>
      </c>
      <c r="Q75" s="18">
        <f t="shared" si="14"/>
        <v>1.3440536835733281E-2</v>
      </c>
      <c r="R75" s="36">
        <v>3304680</v>
      </c>
      <c r="S75" s="36">
        <v>1936557</v>
      </c>
      <c r="T75" s="39">
        <v>0.58599999999999997</v>
      </c>
      <c r="U75" s="36">
        <v>3093017</v>
      </c>
      <c r="V75" s="36">
        <v>1788777</v>
      </c>
      <c r="W75" s="39">
        <v>0.57830000000000004</v>
      </c>
      <c r="X75" s="36">
        <v>2981781</v>
      </c>
      <c r="Y75" s="36">
        <v>1761051</v>
      </c>
      <c r="Z75" s="39">
        <v>0.59060000000000001</v>
      </c>
      <c r="AA75" s="36">
        <v>3133819</v>
      </c>
      <c r="AB75" s="36">
        <v>1534901</v>
      </c>
      <c r="AC75" s="39">
        <v>0.48980000000000001</v>
      </c>
      <c r="AD75" s="36">
        <v>1428239</v>
      </c>
      <c r="AE75" s="36">
        <v>694600</v>
      </c>
      <c r="AF75" s="39">
        <v>0.48630000000000001</v>
      </c>
      <c r="AG75" s="36">
        <v>1947064</v>
      </c>
      <c r="AH75" s="36">
        <v>978707</v>
      </c>
      <c r="AI75" s="39">
        <v>0.50270000000000004</v>
      </c>
      <c r="AJ75" s="36">
        <v>156451</v>
      </c>
      <c r="AK75" s="36">
        <v>101523</v>
      </c>
      <c r="AL75" s="39">
        <v>0.64890000000000003</v>
      </c>
      <c r="AM75" s="36">
        <v>142215</v>
      </c>
      <c r="AN75" s="36">
        <v>84592</v>
      </c>
      <c r="AO75" s="39">
        <v>0.5948</v>
      </c>
    </row>
    <row r="76" spans="1:41" ht="14" x14ac:dyDescent="0.2">
      <c r="A76" s="1" t="s">
        <v>180</v>
      </c>
      <c r="B76" s="1" t="s">
        <v>428</v>
      </c>
      <c r="C76" s="1" t="s">
        <v>437</v>
      </c>
      <c r="D76" s="1" t="s">
        <v>181</v>
      </c>
      <c r="E76" s="25">
        <v>852</v>
      </c>
      <c r="F76" s="21">
        <v>198543.000829</v>
      </c>
      <c r="G76" s="20">
        <f t="shared" si="10"/>
        <v>127044.000379</v>
      </c>
      <c r="H76" s="24">
        <f t="shared" si="11"/>
        <v>0.63988153623415689</v>
      </c>
      <c r="I76" s="12">
        <v>431</v>
      </c>
      <c r="J76" s="12">
        <v>99676.000216999993</v>
      </c>
      <c r="K76" s="13">
        <f t="shared" si="12"/>
        <v>0.50203734103348407</v>
      </c>
      <c r="L76" s="4">
        <v>81</v>
      </c>
      <c r="M76" s="4">
        <v>22759.000100000001</v>
      </c>
      <c r="N76" s="17">
        <f t="shared" si="13"/>
        <v>0.11463008015881529</v>
      </c>
      <c r="O76" s="9">
        <v>18</v>
      </c>
      <c r="P76" s="9">
        <v>4609.0000620000001</v>
      </c>
      <c r="Q76" s="18">
        <f t="shared" si="14"/>
        <v>2.3214115041857424E-2</v>
      </c>
      <c r="R76" s="36">
        <v>2859188</v>
      </c>
      <c r="S76" s="36">
        <v>1826021</v>
      </c>
      <c r="T76" s="39">
        <v>0.63870000000000005</v>
      </c>
      <c r="U76" s="36">
        <v>2644467</v>
      </c>
      <c r="V76" s="36">
        <v>1675518</v>
      </c>
      <c r="W76" s="39">
        <v>0.63360000000000005</v>
      </c>
      <c r="X76" s="36">
        <v>2524271</v>
      </c>
      <c r="Y76" s="36">
        <v>1644050</v>
      </c>
      <c r="Z76" s="39">
        <v>0.65129999999999999</v>
      </c>
      <c r="AA76" s="36">
        <v>2745861</v>
      </c>
      <c r="AB76" s="36">
        <v>1458276</v>
      </c>
      <c r="AC76" s="39">
        <v>0.53110000000000002</v>
      </c>
      <c r="AD76" s="36">
        <v>2538570</v>
      </c>
      <c r="AE76" s="36">
        <v>1296641</v>
      </c>
      <c r="AF76" s="39">
        <v>0.51080000000000003</v>
      </c>
      <c r="AG76" s="36">
        <v>1752031</v>
      </c>
      <c r="AH76" s="36">
        <v>948389</v>
      </c>
      <c r="AI76" s="39">
        <v>0.5413</v>
      </c>
      <c r="AJ76" s="36">
        <v>218335</v>
      </c>
      <c r="AK76" s="36">
        <v>137174</v>
      </c>
      <c r="AL76" s="39">
        <v>0.62829999999999997</v>
      </c>
      <c r="AM76" s="36">
        <v>206096</v>
      </c>
      <c r="AN76" s="36">
        <v>120848</v>
      </c>
      <c r="AO76" s="39">
        <v>0.58640000000000003</v>
      </c>
    </row>
    <row r="77" spans="1:41" ht="14" x14ac:dyDescent="0.2">
      <c r="A77" s="1" t="s">
        <v>182</v>
      </c>
      <c r="B77" s="1" t="s">
        <v>428</v>
      </c>
      <c r="C77" s="1" t="s">
        <v>437</v>
      </c>
      <c r="D77" s="1" t="s">
        <v>183</v>
      </c>
      <c r="E77" s="25">
        <v>366</v>
      </c>
      <c r="F77" s="21">
        <v>107161.00023799999</v>
      </c>
      <c r="G77" s="20">
        <f t="shared" si="10"/>
        <v>50051.000072000003</v>
      </c>
      <c r="H77" s="24">
        <f t="shared" si="11"/>
        <v>0.46706357686881306</v>
      </c>
      <c r="I77" s="12">
        <v>161</v>
      </c>
      <c r="J77" s="12">
        <v>45121.000039999999</v>
      </c>
      <c r="K77" s="13">
        <f t="shared" si="12"/>
        <v>0.42105803361099831</v>
      </c>
      <c r="L77" s="4">
        <v>14</v>
      </c>
      <c r="M77" s="4">
        <v>4031.0000220000002</v>
      </c>
      <c r="N77" s="17">
        <f t="shared" si="13"/>
        <v>3.7616297095466836E-2</v>
      </c>
      <c r="O77" s="9">
        <v>3</v>
      </c>
      <c r="P77" s="9">
        <v>899.00000999999997</v>
      </c>
      <c r="Q77" s="18">
        <f t="shared" si="14"/>
        <v>8.3892461623478638E-3</v>
      </c>
      <c r="R77" s="36">
        <v>2112944</v>
      </c>
      <c r="S77" s="36">
        <v>1456566</v>
      </c>
      <c r="T77" s="39">
        <v>0.68940000000000001</v>
      </c>
      <c r="U77" s="36">
        <v>2134981</v>
      </c>
      <c r="V77" s="36">
        <v>1382240</v>
      </c>
      <c r="W77" s="39">
        <v>0.64739999999999998</v>
      </c>
      <c r="X77" s="36">
        <v>2839239</v>
      </c>
      <c r="Y77" s="36">
        <v>2014605</v>
      </c>
      <c r="Z77" s="39">
        <v>0.70960000000000001</v>
      </c>
      <c r="AA77" s="36">
        <v>1906514</v>
      </c>
      <c r="AB77" s="36">
        <v>1122741</v>
      </c>
      <c r="AC77" s="39">
        <v>0.58889999999999998</v>
      </c>
      <c r="AD77" s="36">
        <v>1750332</v>
      </c>
      <c r="AE77" s="36">
        <v>1051456</v>
      </c>
      <c r="AF77" s="39">
        <v>0.60070000000000001</v>
      </c>
      <c r="AG77" s="36">
        <v>1417636</v>
      </c>
      <c r="AH77" s="36">
        <v>946571</v>
      </c>
      <c r="AI77" s="39">
        <v>0.66769999999999996</v>
      </c>
      <c r="AJ77" s="36">
        <v>116082</v>
      </c>
      <c r="AK77" s="36">
        <v>69363</v>
      </c>
      <c r="AL77" s="39">
        <v>0.59750000000000003</v>
      </c>
      <c r="AM77" s="36">
        <v>83453</v>
      </c>
      <c r="AN77" s="36">
        <v>47113</v>
      </c>
      <c r="AO77" s="39">
        <v>0.56459999999999999</v>
      </c>
    </row>
    <row r="78" spans="1:41" ht="14" x14ac:dyDescent="0.2">
      <c r="A78" s="1" t="s">
        <v>184</v>
      </c>
      <c r="B78" s="1" t="s">
        <v>428</v>
      </c>
      <c r="C78" s="1" t="s">
        <v>439</v>
      </c>
      <c r="D78" s="1" t="s">
        <v>185</v>
      </c>
      <c r="E78" s="25">
        <v>1191</v>
      </c>
      <c r="F78" s="21">
        <v>283924.00043100002</v>
      </c>
      <c r="G78" s="20">
        <f t="shared" si="10"/>
        <v>117595.000132</v>
      </c>
      <c r="H78" s="24">
        <f t="shared" si="11"/>
        <v>0.41417773754064252</v>
      </c>
      <c r="I78" s="12">
        <v>467</v>
      </c>
      <c r="J78" s="12">
        <v>100671.000228</v>
      </c>
      <c r="K78" s="13">
        <f t="shared" si="12"/>
        <v>0.35457023737049431</v>
      </c>
      <c r="L78" s="4">
        <v>69</v>
      </c>
      <c r="M78" s="4">
        <v>15418.999871</v>
      </c>
      <c r="N78" s="17">
        <f t="shared" si="13"/>
        <v>5.4306785786315259E-2</v>
      </c>
      <c r="O78" s="9">
        <v>12</v>
      </c>
      <c r="P78" s="9">
        <v>1505.000033</v>
      </c>
      <c r="Q78" s="18">
        <f t="shared" si="14"/>
        <v>5.3007143838329695E-3</v>
      </c>
      <c r="R78" s="36">
        <v>2797292</v>
      </c>
      <c r="S78" s="36">
        <v>1281930</v>
      </c>
      <c r="T78" s="39">
        <v>0.45829999999999999</v>
      </c>
      <c r="U78" s="36">
        <v>2512013</v>
      </c>
      <c r="V78" s="36">
        <v>1074212</v>
      </c>
      <c r="W78" s="39">
        <v>0.42759999999999998</v>
      </c>
      <c r="X78" s="36">
        <v>2390499</v>
      </c>
      <c r="Y78" s="36">
        <v>1233850</v>
      </c>
      <c r="Z78" s="39">
        <v>0.5161</v>
      </c>
      <c r="AA78" s="36">
        <v>2131266</v>
      </c>
      <c r="AB78" s="36">
        <v>914671</v>
      </c>
      <c r="AC78" s="39">
        <v>0.42920000000000003</v>
      </c>
      <c r="AD78" s="36">
        <v>1973507</v>
      </c>
      <c r="AE78" s="36">
        <v>910392</v>
      </c>
      <c r="AF78" s="39">
        <v>0.46129999999999999</v>
      </c>
      <c r="AG78" s="36">
        <v>1418255</v>
      </c>
      <c r="AH78" s="36">
        <v>710946</v>
      </c>
      <c r="AI78" s="39">
        <v>0.50129999999999997</v>
      </c>
      <c r="AJ78" s="36">
        <v>301555</v>
      </c>
      <c r="AK78" s="36">
        <v>166345</v>
      </c>
      <c r="AL78" s="39">
        <v>0.55159999999999998</v>
      </c>
      <c r="AM78" s="36">
        <v>290548</v>
      </c>
      <c r="AN78" s="36">
        <v>165744</v>
      </c>
      <c r="AO78" s="39">
        <v>0.57050000000000001</v>
      </c>
    </row>
    <row r="79" spans="1:41" ht="14" x14ac:dyDescent="0.2">
      <c r="A79" s="1" t="s">
        <v>186</v>
      </c>
      <c r="B79" s="1" t="s">
        <v>429</v>
      </c>
      <c r="C79" s="1" t="s">
        <v>432</v>
      </c>
      <c r="D79" s="1" t="s">
        <v>187</v>
      </c>
      <c r="E79" s="25">
        <v>1036</v>
      </c>
      <c r="F79" s="21">
        <v>274779.00135099998</v>
      </c>
      <c r="G79" s="20">
        <f t="shared" si="10"/>
        <v>254656.00111299998</v>
      </c>
      <c r="H79" s="24">
        <f t="shared" si="11"/>
        <v>0.92676660101732056</v>
      </c>
      <c r="I79" s="12">
        <v>861</v>
      </c>
      <c r="J79" s="12">
        <v>226945.00099299999</v>
      </c>
      <c r="K79" s="13">
        <f t="shared" si="12"/>
        <v>0.82591828297353298</v>
      </c>
      <c r="L79" s="4">
        <v>86</v>
      </c>
      <c r="M79" s="4">
        <v>23627.000158999999</v>
      </c>
      <c r="N79" s="17">
        <f t="shared" si="13"/>
        <v>8.5985464838410644E-2</v>
      </c>
      <c r="O79" s="9">
        <v>22</v>
      </c>
      <c r="P79" s="9">
        <v>4083.999961</v>
      </c>
      <c r="Q79" s="18">
        <f t="shared" si="14"/>
        <v>1.4862853205376995E-2</v>
      </c>
      <c r="R79" s="36">
        <v>3543339</v>
      </c>
      <c r="S79" s="36">
        <v>2651424</v>
      </c>
      <c r="T79" s="39">
        <v>0.74829999999999997</v>
      </c>
      <c r="U79" s="36">
        <v>3301355</v>
      </c>
      <c r="V79" s="36">
        <v>2394025</v>
      </c>
      <c r="W79" s="39">
        <v>0.72519999999999996</v>
      </c>
      <c r="X79" s="36">
        <v>3409392</v>
      </c>
      <c r="Y79" s="36">
        <v>2502686</v>
      </c>
      <c r="Z79" s="39">
        <v>0.73409999999999997</v>
      </c>
      <c r="AA79" s="36">
        <v>3003423</v>
      </c>
      <c r="AB79" s="36">
        <v>1982618</v>
      </c>
      <c r="AC79" s="39">
        <v>0.66010000000000002</v>
      </c>
      <c r="AD79" s="36">
        <v>2668444</v>
      </c>
      <c r="AE79" s="36">
        <v>1890729</v>
      </c>
      <c r="AF79" s="39">
        <v>0.70860000000000001</v>
      </c>
      <c r="AG79" s="36">
        <v>2068159</v>
      </c>
      <c r="AH79" s="36">
        <v>1546942</v>
      </c>
      <c r="AI79" s="39">
        <v>0.748</v>
      </c>
      <c r="AJ79" s="36">
        <v>317234</v>
      </c>
      <c r="AK79" s="36">
        <v>310198</v>
      </c>
      <c r="AL79" s="39">
        <v>0.9778</v>
      </c>
      <c r="AM79" s="36">
        <v>292518</v>
      </c>
      <c r="AN79" s="36">
        <v>282255</v>
      </c>
      <c r="AO79" s="39">
        <v>0.96489999999999998</v>
      </c>
    </row>
    <row r="80" spans="1:41" ht="14" x14ac:dyDescent="0.2">
      <c r="A80" s="1" t="s">
        <v>188</v>
      </c>
      <c r="B80" s="1" t="s">
        <v>428</v>
      </c>
      <c r="C80" s="1" t="s">
        <v>432</v>
      </c>
      <c r="D80" s="1" t="s">
        <v>189</v>
      </c>
      <c r="E80" s="25">
        <v>749</v>
      </c>
      <c r="F80" s="21">
        <v>194303.00064099999</v>
      </c>
      <c r="G80" s="20">
        <f t="shared" si="10"/>
        <v>110833.000207</v>
      </c>
      <c r="H80" s="24">
        <f t="shared" si="11"/>
        <v>0.57041321977203197</v>
      </c>
      <c r="I80" s="12">
        <v>335</v>
      </c>
      <c r="J80" s="12">
        <v>91479.000142000004</v>
      </c>
      <c r="K80" s="13">
        <f t="shared" si="12"/>
        <v>0.47080590541686657</v>
      </c>
      <c r="L80" s="4">
        <v>59</v>
      </c>
      <c r="M80" s="4">
        <v>15968.000058</v>
      </c>
      <c r="N80" s="17">
        <f t="shared" si="13"/>
        <v>8.2180923636392789E-2</v>
      </c>
      <c r="O80" s="9">
        <v>15</v>
      </c>
      <c r="P80" s="9">
        <v>3386.0000070000001</v>
      </c>
      <c r="Q80" s="18">
        <f t="shared" si="14"/>
        <v>1.7426390718772659E-2</v>
      </c>
      <c r="R80" s="36">
        <v>3773657</v>
      </c>
      <c r="S80" s="36">
        <v>2299669</v>
      </c>
      <c r="T80" s="39">
        <v>0.60940000000000005</v>
      </c>
      <c r="U80" s="36">
        <v>3698383</v>
      </c>
      <c r="V80" s="36">
        <v>2223120</v>
      </c>
      <c r="W80" s="39">
        <v>0.60109999999999997</v>
      </c>
      <c r="X80" s="36">
        <v>3776612</v>
      </c>
      <c r="Y80" s="36">
        <v>2295415</v>
      </c>
      <c r="Z80" s="39">
        <v>0.60780000000000001</v>
      </c>
      <c r="AA80" s="36">
        <v>3350467</v>
      </c>
      <c r="AB80" s="36">
        <v>1745966</v>
      </c>
      <c r="AC80" s="39">
        <v>0.52110000000000001</v>
      </c>
      <c r="AD80" s="36">
        <v>3106628</v>
      </c>
      <c r="AE80" s="36">
        <v>1592404</v>
      </c>
      <c r="AF80" s="39">
        <v>0.51259999999999994</v>
      </c>
      <c r="AG80" s="36">
        <v>2227627</v>
      </c>
      <c r="AH80" s="36">
        <v>1317159</v>
      </c>
      <c r="AI80" s="39">
        <v>0.59130000000000005</v>
      </c>
      <c r="AJ80" s="36">
        <v>219810</v>
      </c>
      <c r="AK80" s="36">
        <v>134846</v>
      </c>
      <c r="AL80" s="39">
        <v>0.61350000000000005</v>
      </c>
      <c r="AM80" s="36">
        <v>200628</v>
      </c>
      <c r="AN80" s="36">
        <v>127411</v>
      </c>
      <c r="AO80" s="39">
        <v>0.6351</v>
      </c>
    </row>
    <row r="81" spans="1:41" ht="14" x14ac:dyDescent="0.2">
      <c r="A81" s="1" t="s">
        <v>190</v>
      </c>
      <c r="B81" s="1" t="s">
        <v>428</v>
      </c>
      <c r="C81" s="1" t="s">
        <v>432</v>
      </c>
      <c r="D81" s="1" t="s">
        <v>191</v>
      </c>
      <c r="E81" s="25">
        <v>1069</v>
      </c>
      <c r="F81" s="21">
        <v>218413.000696</v>
      </c>
      <c r="G81" s="20">
        <f t="shared" si="10"/>
        <v>100918.00019100001</v>
      </c>
      <c r="H81" s="24">
        <f t="shared" si="11"/>
        <v>0.46205125093017513</v>
      </c>
      <c r="I81" s="12">
        <v>372</v>
      </c>
      <c r="J81" s="12">
        <v>76405.000385000007</v>
      </c>
      <c r="K81" s="13">
        <f t="shared" si="12"/>
        <v>0.34981892168289452</v>
      </c>
      <c r="L81" s="4">
        <v>108</v>
      </c>
      <c r="M81" s="4">
        <v>23504.999838</v>
      </c>
      <c r="N81" s="17">
        <f t="shared" si="13"/>
        <v>0.10761721950203704</v>
      </c>
      <c r="O81" s="9">
        <v>9</v>
      </c>
      <c r="P81" s="9">
        <v>1007.999968</v>
      </c>
      <c r="Q81" s="18">
        <f t="shared" si="14"/>
        <v>4.6151097452435683E-3</v>
      </c>
      <c r="R81" s="36">
        <v>3309566</v>
      </c>
      <c r="S81" s="36">
        <v>1590745</v>
      </c>
      <c r="T81" s="39">
        <v>0.48070000000000002</v>
      </c>
      <c r="U81" s="36">
        <v>2984174</v>
      </c>
      <c r="V81" s="36">
        <v>1325339</v>
      </c>
      <c r="W81" s="39">
        <v>0.44409999999999999</v>
      </c>
      <c r="X81" s="36">
        <v>2532471</v>
      </c>
      <c r="Y81" s="36">
        <v>1176024</v>
      </c>
      <c r="Z81" s="39">
        <v>0.46439999999999998</v>
      </c>
      <c r="AA81" s="36">
        <v>2971683</v>
      </c>
      <c r="AB81" s="36">
        <v>1379766</v>
      </c>
      <c r="AC81" s="39">
        <v>0.46429999999999999</v>
      </c>
      <c r="AD81" s="36">
        <v>2710847</v>
      </c>
      <c r="AE81" s="36">
        <v>1298167</v>
      </c>
      <c r="AF81" s="39">
        <v>0.47889999999999999</v>
      </c>
      <c r="AG81" s="36">
        <v>1848325</v>
      </c>
      <c r="AH81" s="36">
        <v>987021</v>
      </c>
      <c r="AI81" s="39">
        <v>0.53400000000000003</v>
      </c>
      <c r="AJ81" s="36">
        <v>250973</v>
      </c>
      <c r="AK81" s="36">
        <v>124982</v>
      </c>
      <c r="AL81" s="39">
        <v>0.498</v>
      </c>
      <c r="AM81" s="36">
        <v>250088</v>
      </c>
      <c r="AN81" s="36">
        <v>108826</v>
      </c>
      <c r="AO81" s="39">
        <v>0.43519999999999998</v>
      </c>
    </row>
    <row r="82" spans="1:41" ht="14" x14ac:dyDescent="0.2">
      <c r="A82" s="1" t="s">
        <v>192</v>
      </c>
      <c r="B82" s="1" t="s">
        <v>428</v>
      </c>
      <c r="C82" s="1" t="s">
        <v>432</v>
      </c>
      <c r="D82" s="1" t="s">
        <v>193</v>
      </c>
      <c r="E82" s="25">
        <v>722</v>
      </c>
      <c r="F82" s="21">
        <v>169614.000333</v>
      </c>
      <c r="G82" s="20">
        <f t="shared" si="10"/>
        <v>91912.00016499999</v>
      </c>
      <c r="H82" s="24">
        <f t="shared" si="11"/>
        <v>0.54188923075070972</v>
      </c>
      <c r="I82" s="12">
        <v>300</v>
      </c>
      <c r="J82" s="12">
        <v>70041.000065999993</v>
      </c>
      <c r="K82" s="13">
        <f t="shared" si="12"/>
        <v>0.4129435066002205</v>
      </c>
      <c r="L82" s="4">
        <v>74</v>
      </c>
      <c r="M82" s="4">
        <v>18833.000083999999</v>
      </c>
      <c r="N82" s="17">
        <f t="shared" si="13"/>
        <v>0.11103446677176131</v>
      </c>
      <c r="O82" s="9">
        <v>10</v>
      </c>
      <c r="P82" s="9">
        <v>3038.0000150000001</v>
      </c>
      <c r="Q82" s="18">
        <f t="shared" si="14"/>
        <v>1.7911257378727882E-2</v>
      </c>
      <c r="R82" s="36">
        <v>2513524</v>
      </c>
      <c r="S82" s="36">
        <v>1673639</v>
      </c>
      <c r="T82" s="39">
        <v>0.66590000000000005</v>
      </c>
      <c r="U82" s="36">
        <v>2444882</v>
      </c>
      <c r="V82" s="36">
        <v>1542793</v>
      </c>
      <c r="W82" s="39">
        <v>0.63100000000000001</v>
      </c>
      <c r="X82" s="36">
        <v>2415900</v>
      </c>
      <c r="Y82" s="36">
        <v>1529716</v>
      </c>
      <c r="Z82" s="39">
        <v>0.63319999999999999</v>
      </c>
      <c r="AA82" s="36">
        <v>2324479</v>
      </c>
      <c r="AB82" s="36">
        <v>1243347</v>
      </c>
      <c r="AC82" s="39">
        <v>0.53490000000000004</v>
      </c>
      <c r="AD82" s="36">
        <v>2066736</v>
      </c>
      <c r="AE82" s="36">
        <v>1082443</v>
      </c>
      <c r="AF82" s="39">
        <v>0.52370000000000005</v>
      </c>
      <c r="AG82" s="36">
        <v>1473860</v>
      </c>
      <c r="AH82" s="36">
        <v>820229</v>
      </c>
      <c r="AI82" s="39">
        <v>0.55649999999999999</v>
      </c>
      <c r="AJ82" s="36">
        <v>192098</v>
      </c>
      <c r="AK82" s="36">
        <v>110940</v>
      </c>
      <c r="AL82" s="39">
        <v>0.57750000000000001</v>
      </c>
      <c r="AM82" s="36">
        <v>174420</v>
      </c>
      <c r="AN82" s="36">
        <v>95999</v>
      </c>
      <c r="AO82" s="39">
        <v>0.5504</v>
      </c>
    </row>
    <row r="83" spans="1:41" ht="14" x14ac:dyDescent="0.2">
      <c r="A83" s="1" t="s">
        <v>194</v>
      </c>
      <c r="B83" s="1" t="s">
        <v>428</v>
      </c>
      <c r="C83" s="1" t="s">
        <v>432</v>
      </c>
      <c r="D83" s="1" t="s">
        <v>195</v>
      </c>
      <c r="E83" s="25">
        <v>604</v>
      </c>
      <c r="F83" s="21">
        <v>146082.000749</v>
      </c>
      <c r="G83" s="20">
        <f t="shared" si="10"/>
        <v>71463.000448000006</v>
      </c>
      <c r="H83" s="24">
        <f t="shared" si="11"/>
        <v>0.48919784834264879</v>
      </c>
      <c r="I83" s="12">
        <v>249</v>
      </c>
      <c r="J83" s="12">
        <v>56842.000417000003</v>
      </c>
      <c r="K83" s="13">
        <f t="shared" si="12"/>
        <v>0.38911022662310513</v>
      </c>
      <c r="L83" s="4">
        <v>41</v>
      </c>
      <c r="M83" s="4">
        <v>11809.000033</v>
      </c>
      <c r="N83" s="17">
        <f t="shared" si="13"/>
        <v>8.0838159201354162E-2</v>
      </c>
      <c r="O83" s="9">
        <v>10</v>
      </c>
      <c r="P83" s="9">
        <v>2811.9999979999998</v>
      </c>
      <c r="Q83" s="18">
        <f t="shared" si="14"/>
        <v>1.9249462518189459E-2</v>
      </c>
      <c r="R83" s="36">
        <v>2221180</v>
      </c>
      <c r="S83" s="36">
        <v>1436113</v>
      </c>
      <c r="T83" s="39">
        <v>0.64659999999999995</v>
      </c>
      <c r="U83" s="36">
        <v>2229394</v>
      </c>
      <c r="V83" s="36">
        <v>1367708</v>
      </c>
      <c r="W83" s="39">
        <v>0.61350000000000005</v>
      </c>
      <c r="X83" s="36">
        <v>2358694</v>
      </c>
      <c r="Y83" s="36">
        <v>1472711</v>
      </c>
      <c r="Z83" s="39">
        <v>0.62439999999999996</v>
      </c>
      <c r="AA83" s="36">
        <v>2071327</v>
      </c>
      <c r="AB83" s="36">
        <v>1090121</v>
      </c>
      <c r="AC83" s="39">
        <v>0.52629999999999999</v>
      </c>
      <c r="AD83" s="36">
        <v>1935729</v>
      </c>
      <c r="AE83" s="36">
        <v>1036041</v>
      </c>
      <c r="AF83" s="39">
        <v>0.53520000000000001</v>
      </c>
      <c r="AG83" s="36">
        <v>1408417</v>
      </c>
      <c r="AH83" s="36">
        <v>809786</v>
      </c>
      <c r="AI83" s="39">
        <v>0.57499999999999996</v>
      </c>
      <c r="AJ83" s="36">
        <v>162834</v>
      </c>
      <c r="AK83" s="36">
        <v>87207</v>
      </c>
      <c r="AL83" s="39">
        <v>0.53559999999999997</v>
      </c>
      <c r="AM83" s="36">
        <v>157753</v>
      </c>
      <c r="AN83" s="36">
        <v>86600</v>
      </c>
      <c r="AO83" s="39">
        <v>0.54900000000000004</v>
      </c>
    </row>
    <row r="84" spans="1:41" ht="14" x14ac:dyDescent="0.2">
      <c r="A84" s="1" t="s">
        <v>196</v>
      </c>
      <c r="B84" s="1" t="s">
        <v>428</v>
      </c>
      <c r="C84" s="1" t="s">
        <v>434</v>
      </c>
      <c r="D84" s="1" t="s">
        <v>197</v>
      </c>
      <c r="E84" s="25">
        <v>770</v>
      </c>
      <c r="F84" s="21">
        <v>170598.00068</v>
      </c>
      <c r="G84" s="20">
        <f t="shared" si="10"/>
        <v>96022.000503000003</v>
      </c>
      <c r="H84" s="24">
        <f t="shared" si="11"/>
        <v>0.56285536829422589</v>
      </c>
      <c r="I84" s="12">
        <v>340</v>
      </c>
      <c r="J84" s="12">
        <v>77453.000503000003</v>
      </c>
      <c r="K84" s="13">
        <f t="shared" si="12"/>
        <v>0.45400884063279751</v>
      </c>
      <c r="L84" s="4">
        <v>73</v>
      </c>
      <c r="M84" s="4">
        <v>17364.999949000001</v>
      </c>
      <c r="N84" s="17">
        <f t="shared" si="13"/>
        <v>0.10178900033871137</v>
      </c>
      <c r="O84" s="9">
        <v>6</v>
      </c>
      <c r="P84" s="9">
        <v>1204.000051</v>
      </c>
      <c r="Q84" s="18">
        <f t="shared" si="14"/>
        <v>7.0575273227170389E-3</v>
      </c>
      <c r="R84" s="36">
        <v>1873858</v>
      </c>
      <c r="S84" s="36">
        <v>1429367</v>
      </c>
      <c r="T84" s="39">
        <v>0.76280000000000003</v>
      </c>
      <c r="U84" s="36">
        <v>1763313</v>
      </c>
      <c r="V84" s="36">
        <v>1374434</v>
      </c>
      <c r="W84" s="39">
        <v>0.77949999999999997</v>
      </c>
      <c r="X84" s="36">
        <v>1721305</v>
      </c>
      <c r="Y84" s="36">
        <v>1353995</v>
      </c>
      <c r="Z84" s="39">
        <v>0.78659999999999997</v>
      </c>
      <c r="AA84" s="36">
        <v>1741917</v>
      </c>
      <c r="AB84" s="36">
        <v>1189386</v>
      </c>
      <c r="AC84" s="39">
        <v>0.68279999999999996</v>
      </c>
      <c r="AD84" s="36">
        <v>1576086</v>
      </c>
      <c r="AE84" s="36">
        <v>1017294</v>
      </c>
      <c r="AF84" s="39">
        <v>0.64549999999999996</v>
      </c>
      <c r="AG84" s="36">
        <v>1077669</v>
      </c>
      <c r="AH84" s="36">
        <v>760318</v>
      </c>
      <c r="AI84" s="39">
        <v>0.70550000000000002</v>
      </c>
      <c r="AJ84" s="36">
        <v>193133</v>
      </c>
      <c r="AK84" s="36">
        <v>118567</v>
      </c>
      <c r="AL84" s="39">
        <v>0.6139</v>
      </c>
      <c r="AM84" s="36">
        <v>199976</v>
      </c>
      <c r="AN84" s="36">
        <v>115779</v>
      </c>
      <c r="AO84" s="39">
        <v>0.57899999999999996</v>
      </c>
    </row>
    <row r="85" spans="1:41" ht="14" x14ac:dyDescent="0.2">
      <c r="A85" s="1" t="s">
        <v>198</v>
      </c>
      <c r="B85" s="1" t="s">
        <v>428</v>
      </c>
      <c r="C85" s="1" t="s">
        <v>434</v>
      </c>
      <c r="D85" s="1" t="s">
        <v>199</v>
      </c>
      <c r="E85" s="25">
        <v>873</v>
      </c>
      <c r="F85" s="21">
        <v>200782.00020099999</v>
      </c>
      <c r="G85" s="20">
        <f t="shared" si="10"/>
        <v>120495.000268</v>
      </c>
      <c r="H85" s="24">
        <f t="shared" si="11"/>
        <v>0.60012849830848469</v>
      </c>
      <c r="I85" s="12">
        <v>409</v>
      </c>
      <c r="J85" s="12">
        <v>97812.000247000004</v>
      </c>
      <c r="K85" s="13">
        <f t="shared" si="12"/>
        <v>0.48715522382027177</v>
      </c>
      <c r="L85" s="4">
        <v>72</v>
      </c>
      <c r="M85" s="4">
        <v>19742.999979</v>
      </c>
      <c r="N85" s="17">
        <f t="shared" si="13"/>
        <v>9.8330527433911227E-2</v>
      </c>
      <c r="O85" s="9">
        <v>12</v>
      </c>
      <c r="P85" s="9">
        <v>2940.0000420000001</v>
      </c>
      <c r="Q85" s="18">
        <f t="shared" si="14"/>
        <v>1.464274705430172E-2</v>
      </c>
      <c r="R85" s="36">
        <v>3237792</v>
      </c>
      <c r="S85" s="36">
        <v>1860674</v>
      </c>
      <c r="T85" s="39">
        <v>0.57469999999999999</v>
      </c>
      <c r="U85" s="36">
        <v>4023703</v>
      </c>
      <c r="V85" s="36">
        <v>2394049</v>
      </c>
      <c r="W85" s="39">
        <v>0.59499999999999997</v>
      </c>
      <c r="X85" s="36">
        <v>3221342</v>
      </c>
      <c r="Y85" s="36">
        <v>1868812</v>
      </c>
      <c r="Z85" s="39">
        <v>0.58009999999999995</v>
      </c>
      <c r="AA85" s="36">
        <v>2977200</v>
      </c>
      <c r="AB85" s="36">
        <v>1460894</v>
      </c>
      <c r="AC85" s="39">
        <v>0.49070000000000003</v>
      </c>
      <c r="AD85" s="36">
        <v>2666738</v>
      </c>
      <c r="AE85" s="36">
        <v>1296984</v>
      </c>
      <c r="AF85" s="39">
        <v>0.4864</v>
      </c>
      <c r="AG85" s="36">
        <v>2006945</v>
      </c>
      <c r="AH85" s="36">
        <v>1111809</v>
      </c>
      <c r="AI85" s="39">
        <v>0.55400000000000005</v>
      </c>
      <c r="AJ85" s="36">
        <v>225633</v>
      </c>
      <c r="AK85" s="36">
        <v>145698</v>
      </c>
      <c r="AL85" s="39">
        <v>0.64570000000000005</v>
      </c>
      <c r="AM85" s="36">
        <v>217635</v>
      </c>
      <c r="AN85" s="36">
        <v>135257</v>
      </c>
      <c r="AO85" s="39">
        <v>0.62150000000000005</v>
      </c>
    </row>
    <row r="86" spans="1:41" ht="14" x14ac:dyDescent="0.2">
      <c r="A86" s="1" t="s">
        <v>200</v>
      </c>
      <c r="B86" s="1" t="s">
        <v>428</v>
      </c>
      <c r="C86" s="1" t="s">
        <v>434</v>
      </c>
      <c r="D86" s="1" t="s">
        <v>201</v>
      </c>
      <c r="E86" s="25">
        <v>636</v>
      </c>
      <c r="F86" s="21">
        <v>159041.00062199999</v>
      </c>
      <c r="G86" s="20">
        <f t="shared" si="10"/>
        <v>80075.000096000003</v>
      </c>
      <c r="H86" s="24">
        <f t="shared" si="11"/>
        <v>0.50348652097780688</v>
      </c>
      <c r="I86" s="12">
        <v>263</v>
      </c>
      <c r="J86" s="12">
        <v>70254.000090000001</v>
      </c>
      <c r="K86" s="13">
        <f t="shared" si="12"/>
        <v>0.44173514889393767</v>
      </c>
      <c r="L86" s="4">
        <v>32</v>
      </c>
      <c r="M86" s="4">
        <v>9412.9999919999991</v>
      </c>
      <c r="N86" s="17">
        <f t="shared" si="13"/>
        <v>5.9185995782133599E-2</v>
      </c>
      <c r="O86" s="9">
        <v>3</v>
      </c>
      <c r="P86" s="9">
        <v>408.00001400000002</v>
      </c>
      <c r="Q86" s="18">
        <f t="shared" si="14"/>
        <v>2.5653763017356277E-3</v>
      </c>
      <c r="R86" s="36">
        <v>2442245</v>
      </c>
      <c r="S86" s="36">
        <v>1595169</v>
      </c>
      <c r="T86" s="39">
        <v>0.6532</v>
      </c>
      <c r="U86" s="36">
        <v>2236016</v>
      </c>
      <c r="V86" s="36">
        <v>1407776</v>
      </c>
      <c r="W86" s="39">
        <v>0.62960000000000005</v>
      </c>
      <c r="X86" s="36">
        <v>2660921</v>
      </c>
      <c r="Y86" s="36">
        <v>1713047</v>
      </c>
      <c r="Z86" s="39">
        <v>0.64380000000000004</v>
      </c>
      <c r="AA86" s="36">
        <v>2098371</v>
      </c>
      <c r="AB86" s="36">
        <v>1076579</v>
      </c>
      <c r="AC86" s="39">
        <v>0.5131</v>
      </c>
      <c r="AD86" s="36">
        <v>1922349</v>
      </c>
      <c r="AE86" s="36">
        <v>993297</v>
      </c>
      <c r="AF86" s="39">
        <v>0.51670000000000005</v>
      </c>
      <c r="AG86" s="36">
        <v>1402878</v>
      </c>
      <c r="AH86" s="36">
        <v>809723</v>
      </c>
      <c r="AI86" s="39">
        <v>0.57720000000000005</v>
      </c>
      <c r="AJ86" s="36">
        <v>181832</v>
      </c>
      <c r="AK86" s="36">
        <v>102942</v>
      </c>
      <c r="AL86" s="39">
        <v>0.56610000000000005</v>
      </c>
      <c r="AM86" s="36">
        <v>179453</v>
      </c>
      <c r="AN86" s="36">
        <v>109039</v>
      </c>
      <c r="AO86" s="39">
        <v>0.60760000000000003</v>
      </c>
    </row>
    <row r="87" spans="1:41" ht="14" x14ac:dyDescent="0.2">
      <c r="A87" s="1" t="s">
        <v>202</v>
      </c>
      <c r="B87" s="1" t="s">
        <v>428</v>
      </c>
      <c r="C87" s="1" t="s">
        <v>437</v>
      </c>
      <c r="D87" s="1" t="s">
        <v>203</v>
      </c>
      <c r="E87" s="25">
        <v>962</v>
      </c>
      <c r="F87" s="21">
        <v>211942.00106899999</v>
      </c>
      <c r="G87" s="20">
        <f t="shared" si="10"/>
        <v>106010.00056499999</v>
      </c>
      <c r="H87" s="24">
        <f t="shared" si="11"/>
        <v>0.50018401275020186</v>
      </c>
      <c r="I87" s="12">
        <v>379</v>
      </c>
      <c r="J87" s="12">
        <v>87597.000476999994</v>
      </c>
      <c r="K87" s="13">
        <f t="shared" si="12"/>
        <v>0.4133064708041605</v>
      </c>
      <c r="L87" s="4">
        <v>73</v>
      </c>
      <c r="M87" s="4">
        <v>16221.000045000001</v>
      </c>
      <c r="N87" s="17">
        <f t="shared" si="13"/>
        <v>7.6535089615007837E-2</v>
      </c>
      <c r="O87" s="9">
        <v>10</v>
      </c>
      <c r="P87" s="9">
        <v>2192.000043</v>
      </c>
      <c r="Q87" s="18">
        <f t="shared" si="14"/>
        <v>1.0342452331033578E-2</v>
      </c>
      <c r="R87" s="36">
        <v>2548987</v>
      </c>
      <c r="S87" s="36">
        <v>1637051</v>
      </c>
      <c r="T87" s="39">
        <v>0.64219999999999999</v>
      </c>
      <c r="U87" s="36">
        <v>2458632</v>
      </c>
      <c r="V87" s="36">
        <v>1534709</v>
      </c>
      <c r="W87" s="39">
        <v>0.62419999999999998</v>
      </c>
      <c r="X87" s="36">
        <v>2352861</v>
      </c>
      <c r="Y87" s="36">
        <v>1515305</v>
      </c>
      <c r="Z87" s="39">
        <v>0.64400000000000002</v>
      </c>
      <c r="AA87" s="36">
        <v>2583911</v>
      </c>
      <c r="AB87" s="36">
        <v>1276315</v>
      </c>
      <c r="AC87" s="39">
        <v>0.49390000000000001</v>
      </c>
      <c r="AD87" s="36">
        <v>2204546</v>
      </c>
      <c r="AE87" s="36">
        <v>1087423</v>
      </c>
      <c r="AF87" s="39">
        <v>0.49330000000000002</v>
      </c>
      <c r="AG87" s="36">
        <v>1567901</v>
      </c>
      <c r="AH87" s="36">
        <v>870634</v>
      </c>
      <c r="AI87" s="39">
        <v>0.55530000000000002</v>
      </c>
      <c r="AJ87" s="36">
        <v>239248</v>
      </c>
      <c r="AK87" s="36">
        <v>131357</v>
      </c>
      <c r="AL87" s="39">
        <v>0.54900000000000004</v>
      </c>
      <c r="AM87" s="36">
        <v>233289</v>
      </c>
      <c r="AN87" s="36">
        <v>116360</v>
      </c>
      <c r="AO87" s="39">
        <v>0.49880000000000002</v>
      </c>
    </row>
    <row r="88" spans="1:41" ht="14" x14ac:dyDescent="0.2">
      <c r="A88" s="1" t="s">
        <v>204</v>
      </c>
      <c r="B88" s="1" t="s">
        <v>428</v>
      </c>
      <c r="C88" s="1" t="s">
        <v>432</v>
      </c>
      <c r="D88" s="1" t="s">
        <v>205</v>
      </c>
      <c r="E88" s="25">
        <v>719</v>
      </c>
      <c r="F88" s="21">
        <v>217733.00109500001</v>
      </c>
      <c r="G88" s="20">
        <f t="shared" si="10"/>
        <v>39801.000303000001</v>
      </c>
      <c r="H88" s="24">
        <f t="shared" si="11"/>
        <v>0.1827972797088038</v>
      </c>
      <c r="I88" s="12">
        <v>127</v>
      </c>
      <c r="J88" s="12">
        <v>33773.000178000002</v>
      </c>
      <c r="K88" s="13">
        <f t="shared" si="12"/>
        <v>0.15511199500375397</v>
      </c>
      <c r="L88" s="4">
        <v>25</v>
      </c>
      <c r="M88" s="4">
        <v>5729.0001099999999</v>
      </c>
      <c r="N88" s="17">
        <f t="shared" si="13"/>
        <v>2.6312043104115189E-2</v>
      </c>
      <c r="O88" s="9">
        <v>1</v>
      </c>
      <c r="P88" s="9">
        <v>299.00001500000002</v>
      </c>
      <c r="Q88" s="18">
        <f t="shared" si="14"/>
        <v>1.3732416009346331E-3</v>
      </c>
      <c r="R88" s="36">
        <v>2659612</v>
      </c>
      <c r="S88" s="36">
        <v>1309356</v>
      </c>
      <c r="T88" s="39">
        <v>0.49230000000000002</v>
      </c>
      <c r="U88" s="36">
        <v>2054293</v>
      </c>
      <c r="V88" s="36">
        <v>969211</v>
      </c>
      <c r="W88" s="39">
        <v>0.4718</v>
      </c>
      <c r="X88" s="36">
        <v>1853782</v>
      </c>
      <c r="Y88" s="36">
        <v>987852</v>
      </c>
      <c r="Z88" s="39">
        <v>0.53290000000000004</v>
      </c>
      <c r="AA88" s="36">
        <v>1700594</v>
      </c>
      <c r="AB88" s="36">
        <v>695057</v>
      </c>
      <c r="AC88" s="39">
        <v>0.40870000000000001</v>
      </c>
      <c r="AD88" s="36">
        <v>1378617</v>
      </c>
      <c r="AE88" s="36">
        <v>572703</v>
      </c>
      <c r="AF88" s="39">
        <v>0.41539999999999999</v>
      </c>
      <c r="AG88" s="36">
        <v>904835</v>
      </c>
      <c r="AH88" s="36">
        <v>447771</v>
      </c>
      <c r="AI88" s="39">
        <v>0.49490000000000001</v>
      </c>
      <c r="AJ88" s="36">
        <v>209574</v>
      </c>
      <c r="AK88" s="36">
        <v>128866</v>
      </c>
      <c r="AL88" s="39">
        <v>0.6149</v>
      </c>
      <c r="AM88" s="36">
        <v>198543</v>
      </c>
      <c r="AN88" s="36">
        <v>121117</v>
      </c>
      <c r="AO88" s="39">
        <v>0.61</v>
      </c>
    </row>
    <row r="89" spans="1:41" ht="14" x14ac:dyDescent="0.2">
      <c r="A89" s="1" t="s">
        <v>206</v>
      </c>
      <c r="B89" s="1" t="s">
        <v>428</v>
      </c>
      <c r="C89" s="1" t="s">
        <v>432</v>
      </c>
      <c r="D89" s="1" t="s">
        <v>207</v>
      </c>
      <c r="E89" s="25">
        <v>590</v>
      </c>
      <c r="F89" s="21">
        <v>132747.00053300001</v>
      </c>
      <c r="G89" s="20">
        <f t="shared" si="10"/>
        <v>75722.000323</v>
      </c>
      <c r="H89" s="24">
        <f t="shared" si="11"/>
        <v>0.57042343720735156</v>
      </c>
      <c r="I89" s="12">
        <v>249</v>
      </c>
      <c r="J89" s="12">
        <v>66015.000255000006</v>
      </c>
      <c r="K89" s="13">
        <f t="shared" si="12"/>
        <v>0.49729937392136497</v>
      </c>
      <c r="L89" s="4">
        <v>28</v>
      </c>
      <c r="M89" s="4">
        <v>7934.0000319999999</v>
      </c>
      <c r="N89" s="17">
        <f t="shared" si="13"/>
        <v>5.9767829029234151E-2</v>
      </c>
      <c r="O89" s="9">
        <v>8</v>
      </c>
      <c r="P89" s="9">
        <v>1773.0000359999999</v>
      </c>
      <c r="Q89" s="18">
        <f t="shared" si="14"/>
        <v>1.335623425675252E-2</v>
      </c>
      <c r="R89" s="36">
        <v>2431821</v>
      </c>
      <c r="S89" s="36">
        <v>1628759</v>
      </c>
      <c r="T89" s="39">
        <v>0.66979999999999995</v>
      </c>
      <c r="U89" s="36">
        <v>2424162</v>
      </c>
      <c r="V89" s="36">
        <v>1590132</v>
      </c>
      <c r="W89" s="39">
        <v>0.65600000000000003</v>
      </c>
      <c r="X89" s="36">
        <v>2738470</v>
      </c>
      <c r="Y89" s="36">
        <v>1817995</v>
      </c>
      <c r="Z89" s="39">
        <v>0.66390000000000005</v>
      </c>
      <c r="AA89" s="36">
        <v>2142704</v>
      </c>
      <c r="AB89" s="36">
        <v>1270441</v>
      </c>
      <c r="AC89" s="39">
        <v>0.59289999999999998</v>
      </c>
      <c r="AD89" s="36">
        <v>2023351</v>
      </c>
      <c r="AE89" s="36">
        <v>1181574</v>
      </c>
      <c r="AF89" s="39">
        <v>0.58399999999999996</v>
      </c>
      <c r="AG89" s="36">
        <v>1478586</v>
      </c>
      <c r="AH89" s="36">
        <v>938418</v>
      </c>
      <c r="AI89" s="39">
        <v>0.63470000000000004</v>
      </c>
      <c r="AJ89" s="36">
        <v>168474</v>
      </c>
      <c r="AK89" s="36">
        <v>95621</v>
      </c>
      <c r="AL89" s="39">
        <v>0.56759999999999999</v>
      </c>
      <c r="AM89" s="36">
        <v>145276</v>
      </c>
      <c r="AN89" s="36">
        <v>76690</v>
      </c>
      <c r="AO89" s="39">
        <v>0.52790000000000004</v>
      </c>
    </row>
    <row r="90" spans="1:41" ht="14" x14ac:dyDescent="0.2">
      <c r="A90" s="1" t="s">
        <v>208</v>
      </c>
      <c r="B90" s="1" t="s">
        <v>429</v>
      </c>
      <c r="C90" s="1" t="s">
        <v>432</v>
      </c>
      <c r="D90" s="1" t="s">
        <v>209</v>
      </c>
      <c r="E90" s="25">
        <v>1112</v>
      </c>
      <c r="F90" s="21">
        <v>313492.001185</v>
      </c>
      <c r="G90" s="20">
        <f t="shared" si="10"/>
        <v>271889.00093899999</v>
      </c>
      <c r="H90" s="24">
        <f t="shared" si="11"/>
        <v>0.86729166904182364</v>
      </c>
      <c r="I90" s="12">
        <v>899</v>
      </c>
      <c r="J90" s="12">
        <v>241421.000891</v>
      </c>
      <c r="K90" s="13">
        <f t="shared" si="12"/>
        <v>0.7701025862810803</v>
      </c>
      <c r="L90" s="4">
        <v>77</v>
      </c>
      <c r="M90" s="4">
        <v>26752.000002000001</v>
      </c>
      <c r="N90" s="17">
        <f t="shared" si="13"/>
        <v>8.5335510637838993E-2</v>
      </c>
      <c r="O90" s="9">
        <v>15</v>
      </c>
      <c r="P90" s="9">
        <v>3716.0000460000001</v>
      </c>
      <c r="Q90" s="18">
        <f t="shared" si="14"/>
        <v>1.1853572122904308E-2</v>
      </c>
      <c r="R90" s="36">
        <v>5214312</v>
      </c>
      <c r="S90" s="36">
        <v>3990501</v>
      </c>
      <c r="T90" s="39">
        <v>0.76529999999999998</v>
      </c>
      <c r="U90" s="36">
        <v>4867568</v>
      </c>
      <c r="V90" s="36">
        <v>3611633</v>
      </c>
      <c r="W90" s="39">
        <v>0.74199999999999999</v>
      </c>
      <c r="X90" s="36">
        <v>5069241</v>
      </c>
      <c r="Y90" s="36">
        <v>3807253</v>
      </c>
      <c r="Z90" s="39">
        <v>0.751</v>
      </c>
      <c r="AA90" s="36">
        <v>4220787</v>
      </c>
      <c r="AB90" s="36">
        <v>2796407</v>
      </c>
      <c r="AC90" s="39">
        <v>0.66249999999999998</v>
      </c>
      <c r="AD90" s="36">
        <v>4079503</v>
      </c>
      <c r="AE90" s="36">
        <v>2898061</v>
      </c>
      <c r="AF90" s="39">
        <v>0.71040000000000003</v>
      </c>
      <c r="AG90" s="36">
        <v>2883918</v>
      </c>
      <c r="AH90" s="36">
        <v>2212868</v>
      </c>
      <c r="AI90" s="39">
        <v>0.76729999999999998</v>
      </c>
      <c r="AJ90" s="36">
        <v>357708</v>
      </c>
      <c r="AK90" s="36">
        <v>352650</v>
      </c>
      <c r="AL90" s="39">
        <v>0.9859</v>
      </c>
      <c r="AM90" s="36">
        <v>436078</v>
      </c>
      <c r="AN90" s="36">
        <v>420957</v>
      </c>
      <c r="AO90" s="39">
        <v>0.96530000000000005</v>
      </c>
    </row>
    <row r="91" spans="1:41" ht="14" x14ac:dyDescent="0.2">
      <c r="A91" s="1" t="s">
        <v>210</v>
      </c>
      <c r="B91" s="1" t="s">
        <v>428</v>
      </c>
      <c r="C91" s="1" t="s">
        <v>434</v>
      </c>
      <c r="D91" s="1" t="s">
        <v>211</v>
      </c>
      <c r="E91" s="25">
        <v>874</v>
      </c>
      <c r="F91" s="21">
        <v>216649.00067400001</v>
      </c>
      <c r="G91" s="20">
        <f t="shared" si="10"/>
        <v>115502.00046</v>
      </c>
      <c r="H91" s="24">
        <f t="shared" si="11"/>
        <v>0.53312962488020077</v>
      </c>
      <c r="I91" s="12">
        <v>377</v>
      </c>
      <c r="J91" s="12">
        <v>97755.000444999998</v>
      </c>
      <c r="K91" s="13">
        <f t="shared" si="12"/>
        <v>0.45121371499929358</v>
      </c>
      <c r="L91" s="4">
        <v>57</v>
      </c>
      <c r="M91" s="4">
        <v>14533.000018999999</v>
      </c>
      <c r="N91" s="17">
        <f t="shared" si="13"/>
        <v>6.7080854164051087E-2</v>
      </c>
      <c r="O91" s="9">
        <v>13</v>
      </c>
      <c r="P91" s="9">
        <v>3213.999996</v>
      </c>
      <c r="Q91" s="18">
        <f t="shared" si="14"/>
        <v>1.483505571685617E-2</v>
      </c>
      <c r="R91" s="36">
        <v>2905349</v>
      </c>
      <c r="S91" s="36">
        <v>1764307</v>
      </c>
      <c r="T91" s="39">
        <v>0.60729999999999995</v>
      </c>
      <c r="U91" s="36">
        <v>2602856</v>
      </c>
      <c r="V91" s="36">
        <v>1538433</v>
      </c>
      <c r="W91" s="39">
        <v>0.59109999999999996</v>
      </c>
      <c r="X91" s="36">
        <v>2505029</v>
      </c>
      <c r="Y91" s="36">
        <v>1560438</v>
      </c>
      <c r="Z91" s="39">
        <v>0.62290000000000001</v>
      </c>
      <c r="AA91" s="36">
        <v>2699092</v>
      </c>
      <c r="AB91" s="36">
        <v>1356734</v>
      </c>
      <c r="AC91" s="39">
        <v>0.50270000000000004</v>
      </c>
      <c r="AD91" s="36">
        <v>2327897</v>
      </c>
      <c r="AE91" s="36">
        <v>1213964</v>
      </c>
      <c r="AF91" s="39">
        <v>0.52149999999999996</v>
      </c>
      <c r="AG91" s="36">
        <v>1744785</v>
      </c>
      <c r="AH91" s="36">
        <v>990241</v>
      </c>
      <c r="AI91" s="39">
        <v>0.5675</v>
      </c>
      <c r="AJ91" s="36">
        <v>243865</v>
      </c>
      <c r="AK91" s="36">
        <v>137376</v>
      </c>
      <c r="AL91" s="39">
        <v>0.56330000000000002</v>
      </c>
      <c r="AM91" s="36">
        <v>233271</v>
      </c>
      <c r="AN91" s="36">
        <v>131808</v>
      </c>
      <c r="AO91" s="39">
        <v>0.56499999999999995</v>
      </c>
    </row>
    <row r="92" spans="1:41" ht="14" x14ac:dyDescent="0.2">
      <c r="A92" s="1" t="s">
        <v>212</v>
      </c>
      <c r="B92" s="1" t="s">
        <v>428</v>
      </c>
      <c r="C92" s="1" t="s">
        <v>440</v>
      </c>
      <c r="D92" s="1" t="s">
        <v>213</v>
      </c>
      <c r="E92" s="25">
        <v>775</v>
      </c>
      <c r="F92" s="21">
        <v>172903.000225</v>
      </c>
      <c r="G92" s="20">
        <f t="shared" si="10"/>
        <v>91227.000112000009</v>
      </c>
      <c r="H92" s="24">
        <f t="shared" si="11"/>
        <v>0.52761953230010827</v>
      </c>
      <c r="I92" s="12">
        <v>324</v>
      </c>
      <c r="J92" s="12">
        <v>75851.000050000002</v>
      </c>
      <c r="K92" s="13">
        <f t="shared" si="12"/>
        <v>0.43869105771036082</v>
      </c>
      <c r="L92" s="4">
        <v>52</v>
      </c>
      <c r="M92" s="4">
        <v>11262.000031</v>
      </c>
      <c r="N92" s="17">
        <f t="shared" si="13"/>
        <v>6.5134786651155116E-2</v>
      </c>
      <c r="O92" s="9">
        <v>14</v>
      </c>
      <c r="P92" s="9">
        <v>4114.0000309999996</v>
      </c>
      <c r="Q92" s="18">
        <f t="shared" si="14"/>
        <v>2.3793687938592274E-2</v>
      </c>
      <c r="R92" s="36">
        <v>2491166</v>
      </c>
      <c r="S92" s="36">
        <v>1187620</v>
      </c>
      <c r="T92" s="39">
        <v>0.47670000000000001</v>
      </c>
      <c r="U92" s="36">
        <v>2178478</v>
      </c>
      <c r="V92" s="36">
        <v>1026710</v>
      </c>
      <c r="W92" s="39">
        <v>0.4713</v>
      </c>
      <c r="X92" s="36">
        <v>1813192</v>
      </c>
      <c r="Y92" s="36">
        <v>893224</v>
      </c>
      <c r="Z92" s="39">
        <v>0.49259999999999998</v>
      </c>
      <c r="AA92" s="36">
        <v>2181727</v>
      </c>
      <c r="AB92" s="36">
        <v>984785</v>
      </c>
      <c r="AC92" s="39">
        <v>0.45140000000000002</v>
      </c>
      <c r="AD92" s="36">
        <v>1856297</v>
      </c>
      <c r="AE92" s="36">
        <v>795536</v>
      </c>
      <c r="AF92" s="39">
        <v>0.42859999999999998</v>
      </c>
      <c r="AG92" s="36">
        <v>1304966</v>
      </c>
      <c r="AH92" s="36">
        <v>563076</v>
      </c>
      <c r="AI92" s="39">
        <v>0.43149999999999999</v>
      </c>
      <c r="AJ92" s="36">
        <v>199347</v>
      </c>
      <c r="AK92" s="36">
        <v>110182</v>
      </c>
      <c r="AL92" s="39">
        <v>0.55269999999999997</v>
      </c>
      <c r="AM92" s="36">
        <v>203067</v>
      </c>
      <c r="AN92" s="36">
        <v>110967</v>
      </c>
      <c r="AO92" s="39">
        <v>0.54649999999999999</v>
      </c>
    </row>
    <row r="93" spans="1:41" ht="14" x14ac:dyDescent="0.2">
      <c r="A93" s="1" t="s">
        <v>214</v>
      </c>
      <c r="B93" s="1" t="s">
        <v>428</v>
      </c>
      <c r="C93" s="1" t="s">
        <v>433</v>
      </c>
      <c r="D93" s="1" t="s">
        <v>215</v>
      </c>
      <c r="E93" s="25">
        <v>657</v>
      </c>
      <c r="F93" s="21">
        <v>160698.000222</v>
      </c>
      <c r="G93" s="20">
        <f t="shared" si="10"/>
        <v>80572.000054000004</v>
      </c>
      <c r="H93" s="24">
        <f t="shared" si="11"/>
        <v>0.50138769581881504</v>
      </c>
      <c r="I93" s="12">
        <v>276</v>
      </c>
      <c r="J93" s="12">
        <v>70912.000071000002</v>
      </c>
      <c r="K93" s="13">
        <f t="shared" si="12"/>
        <v>0.44127493791482758</v>
      </c>
      <c r="L93" s="4">
        <v>36</v>
      </c>
      <c r="M93" s="4">
        <v>8889.9999640000005</v>
      </c>
      <c r="N93" s="17">
        <f t="shared" si="13"/>
        <v>5.5321161132800049E-2</v>
      </c>
      <c r="O93" s="9">
        <v>3</v>
      </c>
      <c r="P93" s="9">
        <v>770.00001899999995</v>
      </c>
      <c r="Q93" s="18">
        <f t="shared" si="14"/>
        <v>4.791596771187354E-3</v>
      </c>
      <c r="R93" s="36">
        <v>2454065</v>
      </c>
      <c r="S93" s="36">
        <v>1416990</v>
      </c>
      <c r="T93" s="39">
        <v>0.57740000000000002</v>
      </c>
      <c r="U93" s="36">
        <v>2223226</v>
      </c>
      <c r="V93" s="36">
        <v>1223719</v>
      </c>
      <c r="W93" s="39">
        <v>0.5504</v>
      </c>
      <c r="X93" s="36">
        <v>2190789</v>
      </c>
      <c r="Y93" s="36">
        <v>1246469</v>
      </c>
      <c r="Z93" s="39">
        <v>0.56899999999999995</v>
      </c>
      <c r="AA93" s="36">
        <v>2122446</v>
      </c>
      <c r="AB93" s="36">
        <v>1060643</v>
      </c>
      <c r="AC93" s="39">
        <v>0.49969999999999998</v>
      </c>
      <c r="AD93" s="36">
        <v>1919992</v>
      </c>
      <c r="AE93" s="36">
        <v>956861</v>
      </c>
      <c r="AF93" s="39">
        <v>0.49840000000000001</v>
      </c>
      <c r="AG93" s="36">
        <v>1371696</v>
      </c>
      <c r="AH93" s="36">
        <v>723014</v>
      </c>
      <c r="AI93" s="39">
        <v>0.52710000000000001</v>
      </c>
      <c r="AJ93" s="36">
        <v>174448</v>
      </c>
      <c r="AK93" s="36">
        <v>101649</v>
      </c>
      <c r="AL93" s="39">
        <v>0.5827</v>
      </c>
      <c r="AM93" s="36">
        <v>154065</v>
      </c>
      <c r="AN93" s="36">
        <v>88255</v>
      </c>
      <c r="AO93" s="39">
        <v>0.57279999999999998</v>
      </c>
    </row>
    <row r="94" spans="1:41" ht="14" x14ac:dyDescent="0.2">
      <c r="A94" s="1" t="s">
        <v>216</v>
      </c>
      <c r="B94" s="1" t="s">
        <v>428</v>
      </c>
      <c r="C94" s="1" t="s">
        <v>432</v>
      </c>
      <c r="D94" s="1" t="s">
        <v>217</v>
      </c>
      <c r="E94" s="25">
        <v>913</v>
      </c>
      <c r="F94" s="21">
        <v>203130.000806</v>
      </c>
      <c r="G94" s="20">
        <f t="shared" si="10"/>
        <v>96254.000125000006</v>
      </c>
      <c r="H94" s="24">
        <f t="shared" si="11"/>
        <v>0.47385418078606578</v>
      </c>
      <c r="I94" s="12">
        <v>352</v>
      </c>
      <c r="J94" s="12">
        <v>82247.000182999996</v>
      </c>
      <c r="K94" s="13">
        <f t="shared" si="12"/>
        <v>0.40489834025821858</v>
      </c>
      <c r="L94" s="4">
        <v>52</v>
      </c>
      <c r="M94" s="4">
        <v>11018.999905000001</v>
      </c>
      <c r="N94" s="17">
        <f t="shared" si="13"/>
        <v>5.4246048645092727E-2</v>
      </c>
      <c r="O94" s="9">
        <v>14</v>
      </c>
      <c r="P94" s="9">
        <v>2988.0000369999998</v>
      </c>
      <c r="Q94" s="18">
        <f t="shared" si="14"/>
        <v>1.4709791882754432E-2</v>
      </c>
      <c r="R94" s="36">
        <v>3730521</v>
      </c>
      <c r="S94" s="36">
        <v>2529694</v>
      </c>
      <c r="T94" s="39">
        <v>0.67810000000000004</v>
      </c>
      <c r="U94" s="36">
        <v>2966703</v>
      </c>
      <c r="V94" s="36">
        <v>1947387</v>
      </c>
      <c r="W94" s="39">
        <v>0.65639999999999998</v>
      </c>
      <c r="X94" s="36">
        <v>2801775</v>
      </c>
      <c r="Y94" s="36">
        <v>1877423</v>
      </c>
      <c r="Z94" s="39">
        <v>0.67010000000000003</v>
      </c>
      <c r="AA94" s="36">
        <v>3452350</v>
      </c>
      <c r="AB94" s="36">
        <v>1931000</v>
      </c>
      <c r="AC94" s="39">
        <v>0.55930000000000002</v>
      </c>
      <c r="AD94" s="36">
        <v>3241991</v>
      </c>
      <c r="AE94" s="36">
        <v>1757593</v>
      </c>
      <c r="AF94" s="39">
        <v>0.54210000000000003</v>
      </c>
      <c r="AG94" s="36">
        <v>2354787</v>
      </c>
      <c r="AH94" s="36">
        <v>1373397</v>
      </c>
      <c r="AI94" s="39">
        <v>0.58320000000000005</v>
      </c>
      <c r="AJ94" s="36">
        <v>227738</v>
      </c>
      <c r="AK94" s="36">
        <v>124529</v>
      </c>
      <c r="AL94" s="39">
        <v>0.54679999999999995</v>
      </c>
      <c r="AM94" s="36">
        <v>228224</v>
      </c>
      <c r="AN94" s="36">
        <v>126511</v>
      </c>
      <c r="AO94" s="39">
        <v>0.55430000000000001</v>
      </c>
    </row>
    <row r="95" spans="1:41" ht="14" x14ac:dyDescent="0.2">
      <c r="A95" s="1" t="s">
        <v>218</v>
      </c>
      <c r="B95" s="1" t="s">
        <v>428</v>
      </c>
      <c r="C95" s="1" t="s">
        <v>438</v>
      </c>
      <c r="D95" s="1" t="s">
        <v>219</v>
      </c>
      <c r="E95" s="25">
        <v>756</v>
      </c>
      <c r="F95" s="21">
        <v>168079.00107299999</v>
      </c>
      <c r="G95" s="20">
        <f t="shared" si="10"/>
        <v>88271.000652000002</v>
      </c>
      <c r="H95" s="24">
        <f t="shared" si="11"/>
        <v>0.52517566197137366</v>
      </c>
      <c r="I95" s="12">
        <v>320</v>
      </c>
      <c r="J95" s="12">
        <v>70916.000650000002</v>
      </c>
      <c r="K95" s="13">
        <f t="shared" si="12"/>
        <v>0.42192064563258441</v>
      </c>
      <c r="L95" s="4">
        <v>63</v>
      </c>
      <c r="M95" s="4">
        <v>16265.999997000001</v>
      </c>
      <c r="N95" s="17">
        <f t="shared" si="13"/>
        <v>9.6775920211087871E-2</v>
      </c>
      <c r="O95" s="9">
        <v>9</v>
      </c>
      <c r="P95" s="9">
        <v>1089.0000050000001</v>
      </c>
      <c r="Q95" s="18">
        <f t="shared" si="14"/>
        <v>6.4790961277014381E-3</v>
      </c>
      <c r="R95" s="36">
        <v>2916916</v>
      </c>
      <c r="S95" s="36">
        <v>1595897</v>
      </c>
      <c r="T95" s="39">
        <v>0.54710000000000003</v>
      </c>
      <c r="U95" s="36">
        <v>2698923</v>
      </c>
      <c r="V95" s="36">
        <v>1447033</v>
      </c>
      <c r="W95" s="39">
        <v>0.53620000000000001</v>
      </c>
      <c r="X95" s="36">
        <v>2578597</v>
      </c>
      <c r="Y95" s="36">
        <v>1535950</v>
      </c>
      <c r="Z95" s="39">
        <v>0.59570000000000001</v>
      </c>
      <c r="AA95" s="36">
        <v>2413148</v>
      </c>
      <c r="AB95" s="36">
        <v>1249879</v>
      </c>
      <c r="AC95" s="39">
        <v>0.51790000000000003</v>
      </c>
      <c r="AD95" s="36">
        <v>2074109</v>
      </c>
      <c r="AE95" s="36">
        <v>1116865</v>
      </c>
      <c r="AF95" s="39">
        <v>0.53849999999999998</v>
      </c>
      <c r="AG95" s="36">
        <v>1597456</v>
      </c>
      <c r="AH95" s="36">
        <v>941007</v>
      </c>
      <c r="AI95" s="39">
        <v>0.58909999999999996</v>
      </c>
      <c r="AJ95" s="36">
        <v>190404</v>
      </c>
      <c r="AK95" s="36">
        <v>107890</v>
      </c>
      <c r="AL95" s="39">
        <v>0.56659999999999999</v>
      </c>
      <c r="AM95" s="36">
        <v>180163</v>
      </c>
      <c r="AN95" s="36">
        <v>97406</v>
      </c>
      <c r="AO95" s="39">
        <v>0.54069999999999996</v>
      </c>
    </row>
    <row r="96" spans="1:41" ht="14" x14ac:dyDescent="0.2">
      <c r="A96" s="1" t="s">
        <v>220</v>
      </c>
      <c r="B96" s="1" t="s">
        <v>428</v>
      </c>
      <c r="C96" s="1" t="s">
        <v>437</v>
      </c>
      <c r="D96" s="1" t="s">
        <v>221</v>
      </c>
      <c r="E96" s="25">
        <v>732</v>
      </c>
      <c r="F96" s="21">
        <v>155644.00034900001</v>
      </c>
      <c r="G96" s="20">
        <f t="shared" si="10"/>
        <v>74828.000325000015</v>
      </c>
      <c r="H96" s="24">
        <f t="shared" si="11"/>
        <v>0.48076379530989594</v>
      </c>
      <c r="I96" s="12">
        <v>269</v>
      </c>
      <c r="J96" s="12">
        <v>59564.000202000003</v>
      </c>
      <c r="K96" s="13">
        <f t="shared" si="12"/>
        <v>0.38269384022795516</v>
      </c>
      <c r="L96" s="4">
        <v>62</v>
      </c>
      <c r="M96" s="4">
        <v>13021.000124</v>
      </c>
      <c r="N96" s="17">
        <f t="shared" si="13"/>
        <v>8.3658863141547732E-2</v>
      </c>
      <c r="O96" s="9">
        <v>7</v>
      </c>
      <c r="P96" s="9">
        <v>2242.9999990000001</v>
      </c>
      <c r="Q96" s="18">
        <f t="shared" si="14"/>
        <v>1.4411091940393006E-2</v>
      </c>
      <c r="R96" s="36">
        <v>2375841</v>
      </c>
      <c r="S96" s="36">
        <v>1500486</v>
      </c>
      <c r="T96" s="39">
        <v>0.63160000000000005</v>
      </c>
      <c r="U96" s="36">
        <v>1837555</v>
      </c>
      <c r="V96" s="36">
        <v>1199029</v>
      </c>
      <c r="W96" s="39">
        <v>0.65249999999999997</v>
      </c>
      <c r="X96" s="36">
        <v>1230896</v>
      </c>
      <c r="Y96" s="36">
        <v>824578</v>
      </c>
      <c r="Z96" s="39">
        <v>0.66990000000000005</v>
      </c>
      <c r="AA96" s="36">
        <v>1836433</v>
      </c>
      <c r="AB96" s="36">
        <v>1119610</v>
      </c>
      <c r="AC96" s="39">
        <v>0.60970000000000002</v>
      </c>
      <c r="AD96" s="36">
        <v>1739438</v>
      </c>
      <c r="AE96" s="36">
        <v>1115803</v>
      </c>
      <c r="AF96" s="39">
        <v>0.64149999999999996</v>
      </c>
      <c r="AG96" s="36">
        <v>1155529</v>
      </c>
      <c r="AH96" s="36">
        <v>736980</v>
      </c>
      <c r="AI96" s="39">
        <v>0.63780000000000003</v>
      </c>
      <c r="AJ96" s="36">
        <v>178370</v>
      </c>
      <c r="AK96" s="36">
        <v>94027</v>
      </c>
      <c r="AL96" s="39">
        <v>0.52710000000000001</v>
      </c>
      <c r="AM96" s="36">
        <v>184967</v>
      </c>
      <c r="AN96" s="36">
        <v>94362</v>
      </c>
      <c r="AO96" s="39">
        <v>0.51019999999999999</v>
      </c>
    </row>
    <row r="97" spans="1:41" ht="14" x14ac:dyDescent="0.2">
      <c r="A97" s="1" t="s">
        <v>222</v>
      </c>
      <c r="B97" s="1" t="s">
        <v>429</v>
      </c>
      <c r="C97" s="1" t="s">
        <v>432</v>
      </c>
      <c r="D97" s="1" t="s">
        <v>223</v>
      </c>
      <c r="E97" s="25">
        <v>895</v>
      </c>
      <c r="F97" s="21">
        <v>204668.000653</v>
      </c>
      <c r="G97" s="20">
        <f t="shared" si="10"/>
        <v>182942.000497</v>
      </c>
      <c r="H97" s="24">
        <f t="shared" si="11"/>
        <v>0.89384759666053082</v>
      </c>
      <c r="I97" s="12">
        <v>735</v>
      </c>
      <c r="J97" s="12">
        <v>161451.00049100001</v>
      </c>
      <c r="K97" s="13">
        <f t="shared" si="12"/>
        <v>0.78884339503921119</v>
      </c>
      <c r="L97" s="4">
        <v>75</v>
      </c>
      <c r="M97" s="4">
        <v>17802.000040999999</v>
      </c>
      <c r="N97" s="17">
        <f t="shared" si="13"/>
        <v>8.6979889304640359E-2</v>
      </c>
      <c r="O97" s="9">
        <v>19</v>
      </c>
      <c r="P97" s="9">
        <v>3688.999965</v>
      </c>
      <c r="Q97" s="18">
        <f t="shared" si="14"/>
        <v>1.8024312316679326E-2</v>
      </c>
      <c r="R97" s="36">
        <v>3286858</v>
      </c>
      <c r="S97" s="36">
        <v>2584701</v>
      </c>
      <c r="T97" s="39">
        <v>0.78639999999999999</v>
      </c>
      <c r="U97" s="36">
        <v>3052845</v>
      </c>
      <c r="V97" s="36">
        <v>2316597</v>
      </c>
      <c r="W97" s="39">
        <v>0.75880000000000003</v>
      </c>
      <c r="X97" s="36">
        <v>2695156</v>
      </c>
      <c r="Y97" s="36">
        <v>1972969</v>
      </c>
      <c r="Z97" s="39">
        <v>0.73199999999999998</v>
      </c>
      <c r="AA97" s="36">
        <v>2880581</v>
      </c>
      <c r="AB97" s="36">
        <v>1901274</v>
      </c>
      <c r="AC97" s="39">
        <v>0.66</v>
      </c>
      <c r="AD97" s="36">
        <v>2536510</v>
      </c>
      <c r="AE97" s="36">
        <v>1806742</v>
      </c>
      <c r="AF97" s="39">
        <v>0.71230000000000004</v>
      </c>
      <c r="AG97" s="36">
        <v>1795248</v>
      </c>
      <c r="AH97" s="36">
        <v>1368282</v>
      </c>
      <c r="AI97" s="39">
        <v>0.76219999999999999</v>
      </c>
      <c r="AJ97" s="36">
        <v>227752</v>
      </c>
      <c r="AK97" s="36">
        <v>217622</v>
      </c>
      <c r="AL97" s="39">
        <v>0.95550000000000002</v>
      </c>
      <c r="AM97" s="36">
        <v>216437</v>
      </c>
      <c r="AN97" s="36">
        <v>199648</v>
      </c>
      <c r="AO97" s="39">
        <v>0.9224</v>
      </c>
    </row>
    <row r="98" spans="1:41" ht="14" x14ac:dyDescent="0.2">
      <c r="A98" s="1" t="s">
        <v>224</v>
      </c>
      <c r="B98" s="1" t="s">
        <v>428</v>
      </c>
      <c r="C98" s="1" t="s">
        <v>433</v>
      </c>
      <c r="D98" s="1" t="s">
        <v>225</v>
      </c>
      <c r="E98" s="25">
        <v>715</v>
      </c>
      <c r="F98" s="21">
        <v>212905.000898</v>
      </c>
      <c r="G98" s="20">
        <f t="shared" si="10"/>
        <v>102540.00055900001</v>
      </c>
      <c r="H98" s="24">
        <f t="shared" si="11"/>
        <v>0.48162325979428533</v>
      </c>
      <c r="I98" s="12">
        <v>304</v>
      </c>
      <c r="J98" s="12">
        <v>87111.000486000004</v>
      </c>
      <c r="K98" s="13">
        <f t="shared" si="12"/>
        <v>0.40915431821037285</v>
      </c>
      <c r="L98" s="4">
        <v>41</v>
      </c>
      <c r="M98" s="4">
        <v>12623.000048</v>
      </c>
      <c r="N98" s="17">
        <f t="shared" si="13"/>
        <v>5.9289354382274534E-2</v>
      </c>
      <c r="O98" s="9">
        <v>7</v>
      </c>
      <c r="P98" s="9">
        <v>2806.0000249999998</v>
      </c>
      <c r="Q98" s="18">
        <f t="shared" si="14"/>
        <v>1.3179587201637963E-2</v>
      </c>
      <c r="R98" s="36">
        <v>2648101</v>
      </c>
      <c r="S98" s="36">
        <v>1992237</v>
      </c>
      <c r="T98" s="39">
        <v>0.75229999999999997</v>
      </c>
      <c r="U98" s="36">
        <v>2969201</v>
      </c>
      <c r="V98" s="36">
        <v>2014157</v>
      </c>
      <c r="W98" s="39">
        <v>0.67830000000000001</v>
      </c>
      <c r="X98" s="36">
        <v>3709431</v>
      </c>
      <c r="Y98" s="36">
        <v>2423186</v>
      </c>
      <c r="Z98" s="39">
        <v>0.65329999999999999</v>
      </c>
      <c r="AA98" s="36">
        <v>2731718</v>
      </c>
      <c r="AB98" s="36">
        <v>1631668</v>
      </c>
      <c r="AC98" s="39">
        <v>0.59730000000000005</v>
      </c>
      <c r="AD98" s="36">
        <v>2646656</v>
      </c>
      <c r="AE98" s="36">
        <v>1573919</v>
      </c>
      <c r="AF98" s="39">
        <v>0.59470000000000001</v>
      </c>
      <c r="AG98" s="36">
        <v>1903302</v>
      </c>
      <c r="AH98" s="36">
        <v>1164077</v>
      </c>
      <c r="AI98" s="39">
        <v>0.61160000000000003</v>
      </c>
      <c r="AJ98" s="36">
        <v>236180</v>
      </c>
      <c r="AK98" s="36">
        <v>137042</v>
      </c>
      <c r="AL98" s="39">
        <v>0.58020000000000005</v>
      </c>
      <c r="AM98" s="36">
        <v>246901</v>
      </c>
      <c r="AN98" s="36">
        <v>151625</v>
      </c>
      <c r="AO98" s="39">
        <v>0.61409999999999998</v>
      </c>
    </row>
    <row r="99" spans="1:41" ht="14" x14ac:dyDescent="0.2">
      <c r="A99" s="1" t="s">
        <v>226</v>
      </c>
      <c r="B99" s="1" t="s">
        <v>428</v>
      </c>
      <c r="C99" s="1" t="s">
        <v>433</v>
      </c>
      <c r="D99" s="1" t="s">
        <v>227</v>
      </c>
      <c r="E99" s="25">
        <v>510</v>
      </c>
      <c r="F99" s="21">
        <v>111292.000216</v>
      </c>
      <c r="G99" s="20">
        <f t="shared" ref="G99:G130" si="15">J99+M99+P99</f>
        <v>50440.000102000005</v>
      </c>
      <c r="H99" s="24">
        <f t="shared" ref="H99:H130" si="16">G99/F99</f>
        <v>0.45322215436962243</v>
      </c>
      <c r="I99" s="12">
        <v>192</v>
      </c>
      <c r="J99" s="12">
        <v>41985.000083999999</v>
      </c>
      <c r="K99" s="13">
        <f t="shared" ref="K99:K130" si="17">J99/F99</f>
        <v>0.37725083566216638</v>
      </c>
      <c r="L99" s="4">
        <v>25</v>
      </c>
      <c r="M99" s="4">
        <v>6631.0000069999996</v>
      </c>
      <c r="N99" s="17">
        <f t="shared" ref="N99:N130" si="18">M99/F99</f>
        <v>5.9582000450439272E-2</v>
      </c>
      <c r="O99" s="9">
        <v>9</v>
      </c>
      <c r="P99" s="9">
        <v>1824.0000110000001</v>
      </c>
      <c r="Q99" s="18">
        <f t="shared" ref="Q99:Q130" si="19">P99/F99</f>
        <v>1.6389318257016741E-2</v>
      </c>
      <c r="R99" s="36">
        <v>2726845</v>
      </c>
      <c r="S99" s="36">
        <v>1497985</v>
      </c>
      <c r="T99" s="39">
        <v>0.54930000000000001</v>
      </c>
      <c r="U99" s="36">
        <v>2337090</v>
      </c>
      <c r="V99" s="36">
        <v>1242694</v>
      </c>
      <c r="W99" s="39">
        <v>0.53169999999999995</v>
      </c>
      <c r="X99" s="36">
        <v>2037184</v>
      </c>
      <c r="Y99" s="36">
        <v>1175351</v>
      </c>
      <c r="Z99" s="39">
        <v>0.57689999999999997</v>
      </c>
      <c r="AA99" s="36">
        <v>2060626</v>
      </c>
      <c r="AB99" s="36">
        <v>1057590</v>
      </c>
      <c r="AC99" s="39">
        <v>0.51319999999999999</v>
      </c>
      <c r="AD99" s="36">
        <v>1797704</v>
      </c>
      <c r="AE99" s="36">
        <v>935666</v>
      </c>
      <c r="AF99" s="39">
        <v>0.52049999999999996</v>
      </c>
      <c r="AG99" s="36">
        <v>1237333</v>
      </c>
      <c r="AH99" s="36">
        <v>623208</v>
      </c>
      <c r="AI99" s="39">
        <v>0.50370000000000004</v>
      </c>
      <c r="AJ99" s="36">
        <v>129077</v>
      </c>
      <c r="AK99" s="36">
        <v>66995</v>
      </c>
      <c r="AL99" s="39">
        <v>0.51900000000000002</v>
      </c>
      <c r="AM99" s="36">
        <v>122911</v>
      </c>
      <c r="AN99" s="36">
        <v>63018</v>
      </c>
      <c r="AO99" s="39">
        <v>0.51270000000000004</v>
      </c>
    </row>
    <row r="100" spans="1:41" ht="14" x14ac:dyDescent="0.2">
      <c r="A100" s="1" t="s">
        <v>228</v>
      </c>
      <c r="B100" s="1" t="s">
        <v>429</v>
      </c>
      <c r="C100" s="1" t="s">
        <v>441</v>
      </c>
      <c r="D100" s="1" t="s">
        <v>229</v>
      </c>
      <c r="E100" s="25">
        <v>1296</v>
      </c>
      <c r="F100" s="21">
        <v>282815.00094200001</v>
      </c>
      <c r="G100" s="20">
        <f t="shared" si="15"/>
        <v>252656.00078599999</v>
      </c>
      <c r="H100" s="24">
        <f t="shared" si="16"/>
        <v>0.89336138445433788</v>
      </c>
      <c r="I100" s="12">
        <v>1043</v>
      </c>
      <c r="J100" s="12">
        <v>225805.00063600001</v>
      </c>
      <c r="K100" s="13">
        <f t="shared" si="17"/>
        <v>0.79841946107486828</v>
      </c>
      <c r="L100" s="4">
        <v>104</v>
      </c>
      <c r="M100" s="4">
        <v>23951.000209000002</v>
      </c>
      <c r="N100" s="17">
        <f t="shared" si="18"/>
        <v>8.4687870619394395E-2</v>
      </c>
      <c r="O100" s="9">
        <v>22</v>
      </c>
      <c r="P100" s="9">
        <v>2899.999941</v>
      </c>
      <c r="Q100" s="18">
        <f t="shared" si="19"/>
        <v>1.0254052760075251E-2</v>
      </c>
      <c r="R100" s="36">
        <v>4041809</v>
      </c>
      <c r="S100" s="36">
        <v>3057467</v>
      </c>
      <c r="T100" s="39">
        <v>0.75649999999999995</v>
      </c>
      <c r="U100" s="36">
        <v>3615291</v>
      </c>
      <c r="V100" s="36">
        <v>2655593</v>
      </c>
      <c r="W100" s="39">
        <v>0.73450000000000004</v>
      </c>
      <c r="X100" s="36">
        <v>3165926</v>
      </c>
      <c r="Y100" s="36">
        <v>2338933</v>
      </c>
      <c r="Z100" s="39">
        <v>0.73880000000000001</v>
      </c>
      <c r="AA100" s="36">
        <v>3726646</v>
      </c>
      <c r="AB100" s="36">
        <v>2464922</v>
      </c>
      <c r="AC100" s="39">
        <v>0.66139999999999999</v>
      </c>
      <c r="AD100" s="36">
        <v>3237724</v>
      </c>
      <c r="AE100" s="36">
        <v>2323346</v>
      </c>
      <c r="AF100" s="39">
        <v>0.71760000000000002</v>
      </c>
      <c r="AG100" s="36">
        <v>2224268</v>
      </c>
      <c r="AH100" s="36">
        <v>1644963</v>
      </c>
      <c r="AI100" s="39">
        <v>0.73960000000000004</v>
      </c>
      <c r="AJ100" s="36">
        <v>314610</v>
      </c>
      <c r="AK100" s="36">
        <v>300723</v>
      </c>
      <c r="AL100" s="39">
        <v>0.95589999999999997</v>
      </c>
      <c r="AM100" s="36">
        <v>306987</v>
      </c>
      <c r="AN100" s="36">
        <v>285883</v>
      </c>
      <c r="AO100" s="39">
        <v>0.93130000000000002</v>
      </c>
    </row>
    <row r="101" spans="1:41" ht="14" x14ac:dyDescent="0.2">
      <c r="A101" s="1" t="s">
        <v>230</v>
      </c>
      <c r="B101" s="1" t="s">
        <v>428</v>
      </c>
      <c r="C101" s="1" t="s">
        <v>432</v>
      </c>
      <c r="D101" s="1" t="s">
        <v>231</v>
      </c>
      <c r="E101" s="25">
        <v>908</v>
      </c>
      <c r="F101" s="21">
        <v>201334.000692</v>
      </c>
      <c r="G101" s="20">
        <f t="shared" si="15"/>
        <v>102366.00018999999</v>
      </c>
      <c r="H101" s="24">
        <f t="shared" si="16"/>
        <v>0.508438712975257</v>
      </c>
      <c r="I101" s="12">
        <v>366</v>
      </c>
      <c r="J101" s="12">
        <v>82099.000079999998</v>
      </c>
      <c r="K101" s="13">
        <f t="shared" si="17"/>
        <v>0.40777513881321387</v>
      </c>
      <c r="L101" s="4">
        <v>70</v>
      </c>
      <c r="M101" s="4">
        <v>19568.000106</v>
      </c>
      <c r="N101" s="17">
        <f t="shared" si="18"/>
        <v>9.7191731345641186E-2</v>
      </c>
      <c r="O101" s="9">
        <v>4</v>
      </c>
      <c r="P101" s="9">
        <v>699.00000399999999</v>
      </c>
      <c r="Q101" s="18">
        <f t="shared" si="19"/>
        <v>3.4718428164020221E-3</v>
      </c>
      <c r="R101" s="36">
        <v>3231841</v>
      </c>
      <c r="S101" s="36">
        <v>1827312</v>
      </c>
      <c r="T101" s="39">
        <v>0.56540000000000001</v>
      </c>
      <c r="U101" s="36">
        <v>3126910</v>
      </c>
      <c r="V101" s="36">
        <v>1714654</v>
      </c>
      <c r="W101" s="39">
        <v>0.5484</v>
      </c>
      <c r="X101" s="36">
        <v>2990916</v>
      </c>
      <c r="Y101" s="36">
        <v>1688922</v>
      </c>
      <c r="Z101" s="39">
        <v>0.56469999999999998</v>
      </c>
      <c r="AA101" s="36">
        <v>3019122</v>
      </c>
      <c r="AB101" s="36">
        <v>1603970</v>
      </c>
      <c r="AC101" s="39">
        <v>0.53129999999999999</v>
      </c>
      <c r="AD101" s="36">
        <v>2784819</v>
      </c>
      <c r="AE101" s="36">
        <v>1570189</v>
      </c>
      <c r="AF101" s="39">
        <v>0.56379999999999997</v>
      </c>
      <c r="AG101" s="36">
        <v>1905071</v>
      </c>
      <c r="AH101" s="36">
        <v>1140818</v>
      </c>
      <c r="AI101" s="39">
        <v>0.5988</v>
      </c>
      <c r="AJ101" s="36">
        <v>232845</v>
      </c>
      <c r="AK101" s="36">
        <v>126838</v>
      </c>
      <c r="AL101" s="39">
        <v>0.54469999999999996</v>
      </c>
      <c r="AM101" s="36">
        <v>220275</v>
      </c>
      <c r="AN101" s="36">
        <v>122483</v>
      </c>
      <c r="AO101" s="39">
        <v>0.55600000000000005</v>
      </c>
    </row>
    <row r="102" spans="1:41" ht="14" x14ac:dyDescent="0.2">
      <c r="A102" s="1" t="s">
        <v>232</v>
      </c>
      <c r="B102" s="1" t="s">
        <v>428</v>
      </c>
      <c r="C102" s="1" t="s">
        <v>432</v>
      </c>
      <c r="D102" s="1" t="s">
        <v>233</v>
      </c>
      <c r="E102" s="25">
        <v>525</v>
      </c>
      <c r="F102" s="21">
        <v>142050.00076699999</v>
      </c>
      <c r="G102" s="20">
        <f t="shared" si="15"/>
        <v>79488.000563000009</v>
      </c>
      <c r="H102" s="24">
        <f t="shared" si="16"/>
        <v>0.55957761445831733</v>
      </c>
      <c r="I102" s="12">
        <v>239</v>
      </c>
      <c r="J102" s="12">
        <v>67758.000524000003</v>
      </c>
      <c r="K102" s="13">
        <f t="shared" si="17"/>
        <v>0.47700105707948043</v>
      </c>
      <c r="L102" s="4">
        <v>37</v>
      </c>
      <c r="M102" s="4">
        <v>10452.000023000001</v>
      </c>
      <c r="N102" s="17">
        <f t="shared" si="18"/>
        <v>7.3579725213406208E-2</v>
      </c>
      <c r="O102" s="9">
        <v>8</v>
      </c>
      <c r="P102" s="9">
        <v>1278.000016</v>
      </c>
      <c r="Q102" s="18">
        <f t="shared" si="19"/>
        <v>8.9968321654306915E-3</v>
      </c>
      <c r="R102" s="36">
        <v>3082412</v>
      </c>
      <c r="S102" s="36">
        <v>2018279</v>
      </c>
      <c r="T102" s="39">
        <v>0.65480000000000005</v>
      </c>
      <c r="U102" s="36">
        <v>3296387</v>
      </c>
      <c r="V102" s="36">
        <v>2011590</v>
      </c>
      <c r="W102" s="39">
        <v>0.61019999999999996</v>
      </c>
      <c r="X102" s="36">
        <v>3115472</v>
      </c>
      <c r="Y102" s="36">
        <v>1775951</v>
      </c>
      <c r="Z102" s="39">
        <v>0.56999999999999995</v>
      </c>
      <c r="AA102" s="36">
        <v>3110376</v>
      </c>
      <c r="AB102" s="36">
        <v>1711214</v>
      </c>
      <c r="AC102" s="39">
        <v>0.55020000000000002</v>
      </c>
      <c r="AD102" s="36">
        <v>2831230</v>
      </c>
      <c r="AE102" s="36">
        <v>1432091</v>
      </c>
      <c r="AF102" s="39">
        <v>0.50580000000000003</v>
      </c>
      <c r="AG102" s="36">
        <v>2015473</v>
      </c>
      <c r="AH102" s="36">
        <v>1077316</v>
      </c>
      <c r="AI102" s="39">
        <v>0.53449999999999998</v>
      </c>
      <c r="AJ102" s="36">
        <v>160349</v>
      </c>
      <c r="AK102" s="36">
        <v>91577</v>
      </c>
      <c r="AL102" s="39">
        <v>0.57110000000000005</v>
      </c>
      <c r="AM102" s="36">
        <v>150363</v>
      </c>
      <c r="AN102" s="36">
        <v>93989</v>
      </c>
      <c r="AO102" s="39">
        <v>0.62509999999999999</v>
      </c>
    </row>
    <row r="103" spans="1:41" ht="14" x14ac:dyDescent="0.2">
      <c r="A103" s="1" t="s">
        <v>234</v>
      </c>
      <c r="B103" s="1" t="s">
        <v>428</v>
      </c>
      <c r="C103" s="1" t="s">
        <v>432</v>
      </c>
      <c r="D103" s="1" t="s">
        <v>235</v>
      </c>
      <c r="E103" s="25">
        <v>594</v>
      </c>
      <c r="F103" s="21">
        <v>150310.00052</v>
      </c>
      <c r="G103" s="20">
        <f t="shared" si="15"/>
        <v>81482.000174000001</v>
      </c>
      <c r="H103" s="24">
        <f t="shared" si="16"/>
        <v>0.54209300706614083</v>
      </c>
      <c r="I103" s="12">
        <v>271</v>
      </c>
      <c r="J103" s="12">
        <v>69549.000195999994</v>
      </c>
      <c r="K103" s="13">
        <f t="shared" si="17"/>
        <v>0.46270374529568253</v>
      </c>
      <c r="L103" s="4">
        <v>35</v>
      </c>
      <c r="M103" s="4">
        <v>10041.999948999999</v>
      </c>
      <c r="N103" s="17">
        <f t="shared" si="18"/>
        <v>6.6808594998732818E-2</v>
      </c>
      <c r="O103" s="9">
        <v>9</v>
      </c>
      <c r="P103" s="9">
        <v>1891.000029</v>
      </c>
      <c r="Q103" s="18">
        <f t="shared" si="19"/>
        <v>1.2580666771725457E-2</v>
      </c>
      <c r="R103" s="36">
        <v>2805679</v>
      </c>
      <c r="S103" s="36">
        <v>1957213</v>
      </c>
      <c r="T103" s="39">
        <v>0.6976</v>
      </c>
      <c r="U103" s="36">
        <v>2686280</v>
      </c>
      <c r="V103" s="36">
        <v>1774065</v>
      </c>
      <c r="W103" s="39">
        <v>0.66039999999999999</v>
      </c>
      <c r="X103" s="36">
        <v>3060919</v>
      </c>
      <c r="Y103" s="36">
        <v>2127611</v>
      </c>
      <c r="Z103" s="39">
        <v>0.69510000000000005</v>
      </c>
      <c r="AA103" s="36">
        <v>2422225</v>
      </c>
      <c r="AB103" s="36">
        <v>1417960</v>
      </c>
      <c r="AC103" s="39">
        <v>0.58540000000000003</v>
      </c>
      <c r="AD103" s="36">
        <v>2501670</v>
      </c>
      <c r="AE103" s="36">
        <v>1422826</v>
      </c>
      <c r="AF103" s="39">
        <v>0.56879999999999997</v>
      </c>
      <c r="AG103" s="36">
        <v>1806924</v>
      </c>
      <c r="AH103" s="36">
        <v>1103027</v>
      </c>
      <c r="AI103" s="39">
        <v>0.61040000000000005</v>
      </c>
      <c r="AJ103" s="36">
        <v>168042</v>
      </c>
      <c r="AK103" s="36">
        <v>100099</v>
      </c>
      <c r="AL103" s="39">
        <v>0.59570000000000001</v>
      </c>
      <c r="AM103" s="36">
        <v>156874</v>
      </c>
      <c r="AN103" s="36">
        <v>101414</v>
      </c>
      <c r="AO103" s="39">
        <v>0.64649999999999996</v>
      </c>
    </row>
    <row r="104" spans="1:41" ht="14" x14ac:dyDescent="0.2">
      <c r="A104" s="1" t="s">
        <v>236</v>
      </c>
      <c r="B104" s="1" t="s">
        <v>428</v>
      </c>
      <c r="C104" s="1" t="s">
        <v>432</v>
      </c>
      <c r="D104" s="1" t="s">
        <v>237</v>
      </c>
      <c r="E104" s="25">
        <v>648</v>
      </c>
      <c r="F104" s="21">
        <v>174067.00040300001</v>
      </c>
      <c r="G104" s="20">
        <f t="shared" si="15"/>
        <v>90939.000176999994</v>
      </c>
      <c r="H104" s="24">
        <f t="shared" si="16"/>
        <v>0.52243676266298589</v>
      </c>
      <c r="I104" s="12">
        <v>266</v>
      </c>
      <c r="J104" s="12">
        <v>69514.000157999995</v>
      </c>
      <c r="K104" s="13">
        <f t="shared" si="17"/>
        <v>0.39935197364842934</v>
      </c>
      <c r="L104" s="4">
        <v>78</v>
      </c>
      <c r="M104" s="4">
        <v>20832.000005999998</v>
      </c>
      <c r="N104" s="17">
        <f t="shared" si="18"/>
        <v>0.11967805475920043</v>
      </c>
      <c r="O104" s="9">
        <v>4</v>
      </c>
      <c r="P104" s="9">
        <v>593.00001299999997</v>
      </c>
      <c r="Q104" s="18">
        <f t="shared" si="19"/>
        <v>3.4067342553561904E-3</v>
      </c>
      <c r="R104" s="36">
        <v>2856368</v>
      </c>
      <c r="S104" s="36">
        <v>1855774</v>
      </c>
      <c r="T104" s="39">
        <v>0.64970000000000006</v>
      </c>
      <c r="U104" s="36">
        <v>2784808</v>
      </c>
      <c r="V104" s="36">
        <v>1683418</v>
      </c>
      <c r="W104" s="39">
        <v>0.60450000000000004</v>
      </c>
      <c r="X104" s="36">
        <v>2917173</v>
      </c>
      <c r="Y104" s="36">
        <v>1782779</v>
      </c>
      <c r="Z104" s="39">
        <v>0.61109999999999998</v>
      </c>
      <c r="AA104" s="36">
        <v>2327313</v>
      </c>
      <c r="AB104" s="36">
        <v>1269166</v>
      </c>
      <c r="AC104" s="39">
        <v>0.54530000000000001</v>
      </c>
      <c r="AD104" s="36">
        <v>2171215</v>
      </c>
      <c r="AE104" s="36">
        <v>1154399</v>
      </c>
      <c r="AF104" s="39">
        <v>0.53169999999999995</v>
      </c>
      <c r="AG104" s="36">
        <v>1594834</v>
      </c>
      <c r="AH104" s="36">
        <v>912216</v>
      </c>
      <c r="AI104" s="39">
        <v>0.57199999999999995</v>
      </c>
      <c r="AJ104" s="36">
        <v>199344</v>
      </c>
      <c r="AK104" s="36">
        <v>130286</v>
      </c>
      <c r="AL104" s="39">
        <v>0.65359999999999996</v>
      </c>
      <c r="AM104" s="36">
        <v>233301</v>
      </c>
      <c r="AN104" s="36">
        <v>148921</v>
      </c>
      <c r="AO104" s="39">
        <v>0.63829999999999998</v>
      </c>
    </row>
    <row r="105" spans="1:41" ht="14" x14ac:dyDescent="0.2">
      <c r="A105" s="1" t="s">
        <v>238</v>
      </c>
      <c r="B105" s="1" t="s">
        <v>428</v>
      </c>
      <c r="C105" s="1" t="s">
        <v>437</v>
      </c>
      <c r="D105" s="1" t="s">
        <v>239</v>
      </c>
      <c r="E105" s="25">
        <v>481</v>
      </c>
      <c r="F105" s="21">
        <v>117270.000275</v>
      </c>
      <c r="G105" s="20">
        <f t="shared" si="15"/>
        <v>58489.000127999992</v>
      </c>
      <c r="H105" s="24">
        <f t="shared" si="16"/>
        <v>0.49875500972833942</v>
      </c>
      <c r="I105" s="12">
        <v>206</v>
      </c>
      <c r="J105" s="12">
        <v>49479.000100999998</v>
      </c>
      <c r="K105" s="13">
        <f t="shared" si="17"/>
        <v>0.42192376554081151</v>
      </c>
      <c r="L105" s="4">
        <v>24</v>
      </c>
      <c r="M105" s="4">
        <v>6856.0000149999996</v>
      </c>
      <c r="N105" s="17">
        <f t="shared" si="18"/>
        <v>5.8463375108063202E-2</v>
      </c>
      <c r="O105" s="9">
        <v>13</v>
      </c>
      <c r="P105" s="9">
        <v>2154.000012</v>
      </c>
      <c r="Q105" s="18">
        <f t="shared" si="19"/>
        <v>1.8367869079464791E-2</v>
      </c>
      <c r="R105" s="36">
        <v>3199049</v>
      </c>
      <c r="S105" s="36">
        <v>1798125</v>
      </c>
      <c r="T105" s="39">
        <v>0.56210000000000004</v>
      </c>
      <c r="U105" s="36">
        <v>3106011</v>
      </c>
      <c r="V105" s="36">
        <v>1676079</v>
      </c>
      <c r="W105" s="39">
        <v>0.53959999999999997</v>
      </c>
      <c r="X105" s="36">
        <v>2960628</v>
      </c>
      <c r="Y105" s="36">
        <v>1735607</v>
      </c>
      <c r="Z105" s="39">
        <v>0.58620000000000005</v>
      </c>
      <c r="AA105" s="36">
        <v>2748130</v>
      </c>
      <c r="AB105" s="36">
        <v>1353782</v>
      </c>
      <c r="AC105" s="39">
        <v>0.49259999999999998</v>
      </c>
      <c r="AD105" s="36">
        <v>2356149</v>
      </c>
      <c r="AE105" s="36">
        <v>1233541</v>
      </c>
      <c r="AF105" s="39">
        <v>0.52349999999999997</v>
      </c>
      <c r="AG105" s="36">
        <v>1860011</v>
      </c>
      <c r="AH105" s="36">
        <v>1087791</v>
      </c>
      <c r="AI105" s="39">
        <v>0.58479999999999999</v>
      </c>
      <c r="AJ105" s="36">
        <v>139962</v>
      </c>
      <c r="AK105" s="36">
        <v>73350</v>
      </c>
      <c r="AL105" s="39">
        <v>0.52410000000000001</v>
      </c>
      <c r="AM105" s="36">
        <v>130183</v>
      </c>
      <c r="AN105" s="36">
        <v>73760</v>
      </c>
      <c r="AO105" s="39">
        <v>0.56659999999999999</v>
      </c>
    </row>
    <row r="106" spans="1:41" ht="14" x14ac:dyDescent="0.2">
      <c r="A106" s="1" t="s">
        <v>240</v>
      </c>
      <c r="B106" s="1" t="s">
        <v>429</v>
      </c>
      <c r="C106" s="1" t="s">
        <v>432</v>
      </c>
      <c r="D106" s="1" t="s">
        <v>241</v>
      </c>
      <c r="E106" s="25">
        <v>729</v>
      </c>
      <c r="F106" s="21">
        <v>208901.00044800001</v>
      </c>
      <c r="G106" s="20">
        <f t="shared" si="15"/>
        <v>193905.000531</v>
      </c>
      <c r="H106" s="24">
        <f t="shared" si="16"/>
        <v>0.92821480086337438</v>
      </c>
      <c r="I106" s="12">
        <v>612</v>
      </c>
      <c r="J106" s="12">
        <v>172973.00054800001</v>
      </c>
      <c r="K106" s="13">
        <f t="shared" si="17"/>
        <v>0.82801422768224964</v>
      </c>
      <c r="L106" s="4">
        <v>56</v>
      </c>
      <c r="M106" s="4">
        <v>17307.999964999999</v>
      </c>
      <c r="N106" s="17">
        <f t="shared" si="18"/>
        <v>8.2852642772806323E-2</v>
      </c>
      <c r="O106" s="9">
        <v>13</v>
      </c>
      <c r="P106" s="9">
        <v>3624.0000180000002</v>
      </c>
      <c r="Q106" s="18">
        <f t="shared" si="19"/>
        <v>1.7347930408318425E-2</v>
      </c>
      <c r="R106" s="36">
        <v>3986430</v>
      </c>
      <c r="S106" s="36">
        <v>2653957</v>
      </c>
      <c r="T106" s="39">
        <v>0.66569999999999996</v>
      </c>
      <c r="U106" s="36">
        <v>3965267</v>
      </c>
      <c r="V106" s="36">
        <v>2634756</v>
      </c>
      <c r="W106" s="39">
        <v>0.66449999999999998</v>
      </c>
      <c r="X106" s="36">
        <v>4017083</v>
      </c>
      <c r="Y106" s="36">
        <v>2814886</v>
      </c>
      <c r="Z106" s="39">
        <v>0.70069999999999999</v>
      </c>
      <c r="AA106" s="36">
        <v>3377313</v>
      </c>
      <c r="AB106" s="36">
        <v>2021741</v>
      </c>
      <c r="AC106" s="39">
        <v>0.59860000000000002</v>
      </c>
      <c r="AD106" s="36">
        <v>3053446</v>
      </c>
      <c r="AE106" s="36">
        <v>1938552</v>
      </c>
      <c r="AF106" s="39">
        <v>0.63490000000000002</v>
      </c>
      <c r="AG106" s="36">
        <v>2321524</v>
      </c>
      <c r="AH106" s="36">
        <v>1564964</v>
      </c>
      <c r="AI106" s="39">
        <v>0.67410000000000003</v>
      </c>
      <c r="AJ106" s="36">
        <v>235784</v>
      </c>
      <c r="AK106" s="36">
        <v>225600</v>
      </c>
      <c r="AL106" s="39">
        <v>0.95679999999999998</v>
      </c>
      <c r="AM106" s="36">
        <v>207031</v>
      </c>
      <c r="AN106" s="36">
        <v>196777</v>
      </c>
      <c r="AO106" s="39">
        <v>0.95050000000000001</v>
      </c>
    </row>
    <row r="107" spans="1:41" ht="14" x14ac:dyDescent="0.2">
      <c r="A107" s="1" t="s">
        <v>242</v>
      </c>
      <c r="B107" s="1" t="s">
        <v>429</v>
      </c>
      <c r="C107" s="1" t="s">
        <v>432</v>
      </c>
      <c r="D107" s="1" t="s">
        <v>243</v>
      </c>
      <c r="E107" s="25">
        <v>760</v>
      </c>
      <c r="F107" s="21">
        <v>203333.000447</v>
      </c>
      <c r="G107" s="20">
        <f t="shared" si="15"/>
        <v>162178.00027000002</v>
      </c>
      <c r="H107" s="24">
        <f t="shared" si="16"/>
        <v>0.79759802842368777</v>
      </c>
      <c r="I107" s="12">
        <v>563</v>
      </c>
      <c r="J107" s="12">
        <v>144481.00011600001</v>
      </c>
      <c r="K107" s="13">
        <f t="shared" si="17"/>
        <v>0.71056345894851369</v>
      </c>
      <c r="L107" s="4">
        <v>56</v>
      </c>
      <c r="M107" s="4">
        <v>15770.000096</v>
      </c>
      <c r="N107" s="17">
        <f t="shared" si="18"/>
        <v>7.7557504494262103E-2</v>
      </c>
      <c r="O107" s="9">
        <v>10</v>
      </c>
      <c r="P107" s="9">
        <v>1927.0000580000001</v>
      </c>
      <c r="Q107" s="18">
        <f t="shared" si="19"/>
        <v>9.4770649809118642E-3</v>
      </c>
      <c r="R107" s="36">
        <v>3822093</v>
      </c>
      <c r="S107" s="36">
        <v>3154176</v>
      </c>
      <c r="T107" s="39">
        <v>0.82520000000000004</v>
      </c>
      <c r="U107" s="36">
        <v>3785065</v>
      </c>
      <c r="V107" s="36">
        <v>2832941</v>
      </c>
      <c r="W107" s="39">
        <v>0.74850000000000005</v>
      </c>
      <c r="X107" s="36">
        <v>4287401</v>
      </c>
      <c r="Y107" s="36">
        <v>3334418</v>
      </c>
      <c r="Z107" s="39">
        <v>0.77769999999999995</v>
      </c>
      <c r="AA107" s="36">
        <v>3280667</v>
      </c>
      <c r="AB107" s="36">
        <v>2228579</v>
      </c>
      <c r="AC107" s="39">
        <v>0.67930000000000001</v>
      </c>
      <c r="AD107" s="36">
        <v>3251226</v>
      </c>
      <c r="AE107" s="36">
        <v>2325231</v>
      </c>
      <c r="AF107" s="39">
        <v>0.71519999999999995</v>
      </c>
      <c r="AG107" s="36">
        <v>2183963</v>
      </c>
      <c r="AH107" s="36">
        <v>1608333</v>
      </c>
      <c r="AI107" s="39">
        <v>0.73640000000000005</v>
      </c>
      <c r="AJ107" s="36">
        <v>224573</v>
      </c>
      <c r="AK107" s="36">
        <v>220185</v>
      </c>
      <c r="AL107" s="39">
        <v>0.98050000000000004</v>
      </c>
      <c r="AM107" s="36">
        <v>245148</v>
      </c>
      <c r="AN107" s="36">
        <v>234202</v>
      </c>
      <c r="AO107" s="39">
        <v>0.95540000000000003</v>
      </c>
    </row>
    <row r="108" spans="1:41" ht="14" x14ac:dyDescent="0.2">
      <c r="A108" s="1" t="s">
        <v>244</v>
      </c>
      <c r="B108" s="1" t="s">
        <v>428</v>
      </c>
      <c r="C108" s="1" t="s">
        <v>432</v>
      </c>
      <c r="D108" s="1" t="s">
        <v>245</v>
      </c>
      <c r="E108" s="25">
        <v>1015</v>
      </c>
      <c r="F108" s="21">
        <v>278060.000551</v>
      </c>
      <c r="G108" s="20">
        <f t="shared" si="15"/>
        <v>143511.00057600002</v>
      </c>
      <c r="H108" s="24">
        <f t="shared" si="16"/>
        <v>0.51611522797820808</v>
      </c>
      <c r="I108" s="12">
        <v>421</v>
      </c>
      <c r="J108" s="12">
        <v>121506.000444</v>
      </c>
      <c r="K108" s="13">
        <f t="shared" si="17"/>
        <v>0.4369776314580498</v>
      </c>
      <c r="L108" s="4">
        <v>64</v>
      </c>
      <c r="M108" s="4">
        <v>15492.000110999999</v>
      </c>
      <c r="N108" s="17">
        <f t="shared" si="18"/>
        <v>5.5714594261315031E-2</v>
      </c>
      <c r="O108" s="9">
        <v>27</v>
      </c>
      <c r="P108" s="9">
        <v>6513.0000209999998</v>
      </c>
      <c r="Q108" s="18">
        <f t="shared" si="19"/>
        <v>2.3423002258843147E-2</v>
      </c>
      <c r="R108" s="36">
        <v>4345062</v>
      </c>
      <c r="S108" s="36">
        <v>2613728</v>
      </c>
      <c r="T108" s="39">
        <v>0.60150000000000003</v>
      </c>
      <c r="U108" s="36">
        <v>4252121</v>
      </c>
      <c r="V108" s="36">
        <v>2508024</v>
      </c>
      <c r="W108" s="39">
        <v>0.58979999999999999</v>
      </c>
      <c r="X108" s="36">
        <v>4767369</v>
      </c>
      <c r="Y108" s="36">
        <v>2882311</v>
      </c>
      <c r="Z108" s="39">
        <v>0.60460000000000003</v>
      </c>
      <c r="AA108" s="36">
        <v>3987428</v>
      </c>
      <c r="AB108" s="36">
        <v>1970233</v>
      </c>
      <c r="AC108" s="39">
        <v>0.49409999999999998</v>
      </c>
      <c r="AD108" s="36">
        <v>3586293</v>
      </c>
      <c r="AE108" s="36">
        <v>1802247</v>
      </c>
      <c r="AF108" s="39">
        <v>0.50249999999999995</v>
      </c>
      <c r="AG108" s="36">
        <v>2703633</v>
      </c>
      <c r="AH108" s="36">
        <v>1565796</v>
      </c>
      <c r="AI108" s="39">
        <v>0.57909999999999995</v>
      </c>
      <c r="AJ108" s="36">
        <v>308126</v>
      </c>
      <c r="AK108" s="36">
        <v>179976</v>
      </c>
      <c r="AL108" s="39">
        <v>0.58409999999999995</v>
      </c>
      <c r="AM108" s="36">
        <v>295677</v>
      </c>
      <c r="AN108" s="36">
        <v>169776</v>
      </c>
      <c r="AO108" s="39">
        <v>0.57420000000000004</v>
      </c>
    </row>
    <row r="109" spans="1:41" ht="14" x14ac:dyDescent="0.2">
      <c r="A109" s="1" t="s">
        <v>246</v>
      </c>
      <c r="B109" s="1" t="s">
        <v>428</v>
      </c>
      <c r="C109" s="1" t="s">
        <v>434</v>
      </c>
      <c r="D109" s="1" t="s">
        <v>247</v>
      </c>
      <c r="E109" s="25">
        <v>598</v>
      </c>
      <c r="F109" s="21">
        <v>176970.000485</v>
      </c>
      <c r="G109" s="20">
        <f t="shared" si="15"/>
        <v>93248.000226999997</v>
      </c>
      <c r="H109" s="24">
        <f t="shared" si="16"/>
        <v>0.5269141660815202</v>
      </c>
      <c r="I109" s="12">
        <v>266</v>
      </c>
      <c r="J109" s="12">
        <v>79717.000224999996</v>
      </c>
      <c r="K109" s="13">
        <f t="shared" si="17"/>
        <v>0.45045487939497869</v>
      </c>
      <c r="L109" s="4">
        <v>42</v>
      </c>
      <c r="M109" s="4">
        <v>12094.999994</v>
      </c>
      <c r="N109" s="17">
        <f t="shared" si="18"/>
        <v>6.8344916996398913E-2</v>
      </c>
      <c r="O109" s="9">
        <v>6</v>
      </c>
      <c r="P109" s="9">
        <v>1436.000008</v>
      </c>
      <c r="Q109" s="18">
        <f t="shared" si="19"/>
        <v>8.1143696901425713E-3</v>
      </c>
      <c r="R109" s="36">
        <v>2871137</v>
      </c>
      <c r="S109" s="36">
        <v>1976033</v>
      </c>
      <c r="T109" s="39">
        <v>0.68820000000000003</v>
      </c>
      <c r="U109" s="36">
        <v>2885354</v>
      </c>
      <c r="V109" s="36">
        <v>1737178</v>
      </c>
      <c r="W109" s="39">
        <v>0.60209999999999997</v>
      </c>
      <c r="X109" s="36">
        <v>3157327</v>
      </c>
      <c r="Y109" s="36">
        <v>1996483</v>
      </c>
      <c r="Z109" s="39">
        <v>0.63229999999999997</v>
      </c>
      <c r="AA109" s="36">
        <v>2717250</v>
      </c>
      <c r="AB109" s="36">
        <v>1381259</v>
      </c>
      <c r="AC109" s="39">
        <v>0.50829999999999997</v>
      </c>
      <c r="AD109" s="36">
        <v>2521621</v>
      </c>
      <c r="AE109" s="36">
        <v>1262497</v>
      </c>
      <c r="AF109" s="39">
        <v>0.50070000000000003</v>
      </c>
      <c r="AG109" s="36">
        <v>1797975</v>
      </c>
      <c r="AH109" s="36">
        <v>982874</v>
      </c>
      <c r="AI109" s="39">
        <v>0.54669999999999996</v>
      </c>
      <c r="AJ109" s="36">
        <v>205372</v>
      </c>
      <c r="AK109" s="36">
        <v>120430</v>
      </c>
      <c r="AL109" s="39">
        <v>0.58640000000000003</v>
      </c>
      <c r="AM109" s="36">
        <v>216085</v>
      </c>
      <c r="AN109" s="36">
        <v>137212</v>
      </c>
      <c r="AO109" s="39">
        <v>0.63500000000000001</v>
      </c>
    </row>
    <row r="110" spans="1:41" ht="14" x14ac:dyDescent="0.2">
      <c r="A110" s="1" t="s">
        <v>248</v>
      </c>
      <c r="B110" s="1" t="s">
        <v>428</v>
      </c>
      <c r="C110" s="1" t="s">
        <v>434</v>
      </c>
      <c r="D110" s="1" t="s">
        <v>249</v>
      </c>
      <c r="E110" s="25">
        <v>923</v>
      </c>
      <c r="F110" s="21">
        <v>229250.00059099999</v>
      </c>
      <c r="G110" s="20">
        <f t="shared" si="15"/>
        <v>126269.000288</v>
      </c>
      <c r="H110" s="24">
        <f t="shared" si="16"/>
        <v>0.55079171194103427</v>
      </c>
      <c r="I110" s="12">
        <v>412</v>
      </c>
      <c r="J110" s="12">
        <v>103334.00012300001</v>
      </c>
      <c r="K110" s="13">
        <f t="shared" si="17"/>
        <v>0.45074809097756985</v>
      </c>
      <c r="L110" s="4">
        <v>77</v>
      </c>
      <c r="M110" s="4">
        <v>19553.000106</v>
      </c>
      <c r="N110" s="17">
        <f t="shared" si="18"/>
        <v>8.5291167090917872E-2</v>
      </c>
      <c r="O110" s="9">
        <v>11</v>
      </c>
      <c r="P110" s="9">
        <v>3382.000059</v>
      </c>
      <c r="Q110" s="18">
        <f t="shared" si="19"/>
        <v>1.4752453872546565E-2</v>
      </c>
      <c r="R110" s="36">
        <v>3201783</v>
      </c>
      <c r="S110" s="36">
        <v>1813077</v>
      </c>
      <c r="T110" s="39">
        <v>0.56630000000000003</v>
      </c>
      <c r="U110" s="36">
        <v>3155587</v>
      </c>
      <c r="V110" s="36">
        <v>1791100</v>
      </c>
      <c r="W110" s="39">
        <v>0.56759999999999999</v>
      </c>
      <c r="X110" s="36">
        <v>3265435</v>
      </c>
      <c r="Y110" s="36">
        <v>1885992</v>
      </c>
      <c r="Z110" s="39">
        <v>0.5776</v>
      </c>
      <c r="AA110" s="36">
        <v>2932250</v>
      </c>
      <c r="AB110" s="36">
        <v>1391246</v>
      </c>
      <c r="AC110" s="39">
        <v>0.47449999999999998</v>
      </c>
      <c r="AD110" s="36">
        <v>2654623</v>
      </c>
      <c r="AE110" s="36">
        <v>1323632</v>
      </c>
      <c r="AF110" s="39">
        <v>0.49859999999999999</v>
      </c>
      <c r="AG110" s="36">
        <v>1806223</v>
      </c>
      <c r="AH110" s="36">
        <v>1011378</v>
      </c>
      <c r="AI110" s="39">
        <v>0.55989999999999995</v>
      </c>
      <c r="AJ110" s="36">
        <v>244219</v>
      </c>
      <c r="AK110" s="36">
        <v>138433</v>
      </c>
      <c r="AL110" s="39">
        <v>0.56679999999999997</v>
      </c>
      <c r="AM110" s="36">
        <v>216295</v>
      </c>
      <c r="AN110" s="36">
        <v>129768</v>
      </c>
      <c r="AO110" s="39">
        <v>0.6</v>
      </c>
    </row>
    <row r="111" spans="1:41" ht="14" x14ac:dyDescent="0.2">
      <c r="A111" s="1" t="s">
        <v>250</v>
      </c>
      <c r="B111" s="1" t="s">
        <v>428</v>
      </c>
      <c r="C111" s="1" t="s">
        <v>434</v>
      </c>
      <c r="D111" s="1" t="s">
        <v>251</v>
      </c>
      <c r="E111" s="25">
        <v>400</v>
      </c>
      <c r="F111" s="21">
        <v>82415.000450000007</v>
      </c>
      <c r="G111" s="20">
        <f t="shared" si="15"/>
        <v>43190.000119999997</v>
      </c>
      <c r="H111" s="24">
        <f t="shared" si="16"/>
        <v>0.5240550856540096</v>
      </c>
      <c r="I111" s="12">
        <v>169</v>
      </c>
      <c r="J111" s="12">
        <v>32738.000071999999</v>
      </c>
      <c r="K111" s="13">
        <f t="shared" si="17"/>
        <v>0.39723351202141499</v>
      </c>
      <c r="L111" s="4">
        <v>41</v>
      </c>
      <c r="M111" s="4">
        <v>9723.0000459999992</v>
      </c>
      <c r="N111" s="17">
        <f t="shared" si="18"/>
        <v>0.11797609649834077</v>
      </c>
      <c r="O111" s="9">
        <v>4</v>
      </c>
      <c r="P111" s="9">
        <v>729.00000199999999</v>
      </c>
      <c r="Q111" s="18">
        <f t="shared" si="19"/>
        <v>8.8454771342539006E-3</v>
      </c>
      <c r="R111" s="36">
        <v>2473242</v>
      </c>
      <c r="S111" s="36">
        <v>1556469</v>
      </c>
      <c r="T111" s="39">
        <v>0.62929999999999997</v>
      </c>
      <c r="U111" s="36">
        <v>2504244</v>
      </c>
      <c r="V111" s="36">
        <v>1473981</v>
      </c>
      <c r="W111" s="39">
        <v>0.58860000000000001</v>
      </c>
      <c r="X111" s="36">
        <v>2361835</v>
      </c>
      <c r="Y111" s="36">
        <v>1391185</v>
      </c>
      <c r="Z111" s="39">
        <v>0.58899999999999997</v>
      </c>
      <c r="AA111" s="36">
        <v>2505604</v>
      </c>
      <c r="AB111" s="36">
        <v>1330935</v>
      </c>
      <c r="AC111" s="39">
        <v>0.53120000000000001</v>
      </c>
      <c r="AD111" s="36">
        <v>2129293</v>
      </c>
      <c r="AE111" s="36">
        <v>1162418</v>
      </c>
      <c r="AF111" s="39">
        <v>0.54590000000000005</v>
      </c>
      <c r="AG111" s="36">
        <v>1496805</v>
      </c>
      <c r="AH111" s="36">
        <v>828912</v>
      </c>
      <c r="AI111" s="39">
        <v>0.55379999999999996</v>
      </c>
      <c r="AJ111" s="36">
        <v>100884</v>
      </c>
      <c r="AK111" s="36">
        <v>58760</v>
      </c>
      <c r="AL111" s="39">
        <v>0.58250000000000002</v>
      </c>
      <c r="AM111" s="36">
        <v>123672</v>
      </c>
      <c r="AN111" s="36">
        <v>65675</v>
      </c>
      <c r="AO111" s="39">
        <v>0.53100000000000003</v>
      </c>
    </row>
    <row r="112" spans="1:41" ht="14" x14ac:dyDescent="0.2">
      <c r="A112" s="1" t="s">
        <v>252</v>
      </c>
      <c r="B112" s="1" t="s">
        <v>428</v>
      </c>
      <c r="C112" s="1" t="s">
        <v>432</v>
      </c>
      <c r="D112" s="1" t="s">
        <v>253</v>
      </c>
      <c r="E112" s="25">
        <v>719</v>
      </c>
      <c r="F112" s="21">
        <v>162413.00038700001</v>
      </c>
      <c r="G112" s="20">
        <f t="shared" si="15"/>
        <v>87895.000352000003</v>
      </c>
      <c r="H112" s="24">
        <f t="shared" si="16"/>
        <v>0.54118204911283296</v>
      </c>
      <c r="I112" s="12">
        <v>302</v>
      </c>
      <c r="J112" s="12">
        <v>74730.000283000001</v>
      </c>
      <c r="K112" s="13">
        <f t="shared" si="17"/>
        <v>0.46012326664080028</v>
      </c>
      <c r="L112" s="4">
        <v>54</v>
      </c>
      <c r="M112" s="4">
        <v>12104.000077000001</v>
      </c>
      <c r="N112" s="17">
        <f t="shared" si="18"/>
        <v>7.4526054245401638E-2</v>
      </c>
      <c r="O112" s="9">
        <v>6</v>
      </c>
      <c r="P112" s="9">
        <v>1060.999992</v>
      </c>
      <c r="Q112" s="18">
        <f t="shared" si="19"/>
        <v>6.5327282266310835E-3</v>
      </c>
      <c r="R112" s="36">
        <v>2918481</v>
      </c>
      <c r="S112" s="36">
        <v>1736159</v>
      </c>
      <c r="T112" s="39">
        <v>0.59489999999999998</v>
      </c>
      <c r="U112" s="36">
        <v>2625517</v>
      </c>
      <c r="V112" s="36">
        <v>1495700</v>
      </c>
      <c r="W112" s="39">
        <v>0.56969999999999998</v>
      </c>
      <c r="X112" s="36">
        <v>2373786</v>
      </c>
      <c r="Y112" s="36">
        <v>1352745</v>
      </c>
      <c r="Z112" s="39">
        <v>0.56989999999999996</v>
      </c>
      <c r="AA112" s="36">
        <v>2597665</v>
      </c>
      <c r="AB112" s="36">
        <v>1322030</v>
      </c>
      <c r="AC112" s="39">
        <v>0.50890000000000002</v>
      </c>
      <c r="AD112" s="36">
        <v>2295673</v>
      </c>
      <c r="AE112" s="36">
        <v>1149527</v>
      </c>
      <c r="AF112" s="39">
        <v>0.50070000000000003</v>
      </c>
      <c r="AG112" s="36">
        <v>1700605</v>
      </c>
      <c r="AH112" s="36">
        <v>1001635</v>
      </c>
      <c r="AI112" s="39">
        <v>0.58899999999999997</v>
      </c>
      <c r="AJ112" s="36">
        <v>172565</v>
      </c>
      <c r="AK112" s="36">
        <v>97945</v>
      </c>
      <c r="AL112" s="39">
        <v>0.56759999999999999</v>
      </c>
      <c r="AM112" s="36">
        <v>161744</v>
      </c>
      <c r="AN112" s="36">
        <v>85307</v>
      </c>
      <c r="AO112" s="39">
        <v>0.52739999999999998</v>
      </c>
    </row>
    <row r="113" spans="1:41" ht="14" x14ac:dyDescent="0.2">
      <c r="A113" s="1" t="s">
        <v>254</v>
      </c>
      <c r="B113" s="1" t="s">
        <v>429</v>
      </c>
      <c r="C113" s="1" t="s">
        <v>432</v>
      </c>
      <c r="D113" s="1" t="s">
        <v>255</v>
      </c>
      <c r="E113" s="25">
        <v>1046</v>
      </c>
      <c r="F113" s="21">
        <v>298662.00066100003</v>
      </c>
      <c r="G113" s="20">
        <f t="shared" si="15"/>
        <v>189101.00047899998</v>
      </c>
      <c r="H113" s="24">
        <f t="shared" si="16"/>
        <v>0.63316056297915646</v>
      </c>
      <c r="I113" s="12">
        <v>599</v>
      </c>
      <c r="J113" s="12">
        <v>167037.00046499999</v>
      </c>
      <c r="K113" s="13">
        <f t="shared" si="17"/>
        <v>0.5592844087808726</v>
      </c>
      <c r="L113" s="4">
        <v>65</v>
      </c>
      <c r="M113" s="4">
        <v>21189.000004000001</v>
      </c>
      <c r="N113" s="17">
        <f t="shared" si="18"/>
        <v>7.0946420894202861E-2</v>
      </c>
      <c r="O113" s="9">
        <v>4</v>
      </c>
      <c r="P113" s="9">
        <v>875.00000999999997</v>
      </c>
      <c r="Q113" s="18">
        <f t="shared" si="19"/>
        <v>2.929733304081022E-3</v>
      </c>
      <c r="R113" s="36">
        <v>5247320</v>
      </c>
      <c r="S113" s="36">
        <v>3503428</v>
      </c>
      <c r="T113" s="39">
        <v>0.66769999999999996</v>
      </c>
      <c r="U113" s="36">
        <v>4739595</v>
      </c>
      <c r="V113" s="36">
        <v>3114524</v>
      </c>
      <c r="W113" s="39">
        <v>0.65710000000000002</v>
      </c>
      <c r="X113" s="36">
        <v>5390626</v>
      </c>
      <c r="Y113" s="36">
        <v>3729854</v>
      </c>
      <c r="Z113" s="39">
        <v>0.69189999999999996</v>
      </c>
      <c r="AA113" s="36">
        <v>4590805</v>
      </c>
      <c r="AB113" s="36">
        <v>2621623</v>
      </c>
      <c r="AC113" s="39">
        <v>0.57110000000000005</v>
      </c>
      <c r="AD113" s="36">
        <v>4277261</v>
      </c>
      <c r="AE113" s="36">
        <v>2641695</v>
      </c>
      <c r="AF113" s="39">
        <v>0.61760000000000004</v>
      </c>
      <c r="AG113" s="36">
        <v>3022687</v>
      </c>
      <c r="AH113" s="36">
        <v>1948208</v>
      </c>
      <c r="AI113" s="39">
        <v>0.64449999999999996</v>
      </c>
      <c r="AJ113" s="36">
        <v>334471</v>
      </c>
      <c r="AK113" s="36">
        <v>329578</v>
      </c>
      <c r="AL113" s="39">
        <v>0.98540000000000005</v>
      </c>
      <c r="AM113" s="36">
        <v>575290</v>
      </c>
      <c r="AN113" s="36">
        <v>562148</v>
      </c>
      <c r="AO113" s="39">
        <v>0.97719999999999996</v>
      </c>
    </row>
    <row r="114" spans="1:41" ht="14" x14ac:dyDescent="0.2">
      <c r="A114" s="1" t="s">
        <v>256</v>
      </c>
      <c r="B114" s="1" t="s">
        <v>428</v>
      </c>
      <c r="C114" s="1" t="s">
        <v>434</v>
      </c>
      <c r="D114" s="1" t="s">
        <v>257</v>
      </c>
      <c r="E114" s="25">
        <v>565</v>
      </c>
      <c r="F114" s="21">
        <v>149676.00054199999</v>
      </c>
      <c r="G114" s="20">
        <f t="shared" si="15"/>
        <v>67077.000098000004</v>
      </c>
      <c r="H114" s="24">
        <f t="shared" si="16"/>
        <v>0.44814799871124156</v>
      </c>
      <c r="I114" s="12">
        <v>206</v>
      </c>
      <c r="J114" s="12">
        <v>53343.000052000003</v>
      </c>
      <c r="K114" s="13">
        <f t="shared" si="17"/>
        <v>0.35638980102913448</v>
      </c>
      <c r="L114" s="4">
        <v>48</v>
      </c>
      <c r="M114" s="4">
        <v>13143.000008000001</v>
      </c>
      <c r="N114" s="17">
        <f t="shared" si="18"/>
        <v>8.7809668620267511E-2</v>
      </c>
      <c r="O114" s="9">
        <v>7</v>
      </c>
      <c r="P114" s="9">
        <v>591.00003800000002</v>
      </c>
      <c r="Q114" s="18">
        <f t="shared" si="19"/>
        <v>3.9485290618395553E-3</v>
      </c>
      <c r="R114" s="36">
        <v>1415671</v>
      </c>
      <c r="S114" s="36">
        <v>810395</v>
      </c>
      <c r="T114" s="39">
        <v>0.57240000000000002</v>
      </c>
      <c r="U114" s="36">
        <v>2341543</v>
      </c>
      <c r="V114" s="36">
        <v>1187854</v>
      </c>
      <c r="W114" s="39">
        <v>0.50729999999999997</v>
      </c>
      <c r="X114" s="36">
        <v>2029000</v>
      </c>
      <c r="Y114" s="36">
        <v>1072346</v>
      </c>
      <c r="Z114" s="39">
        <v>0.52849999999999997</v>
      </c>
      <c r="AA114" s="36">
        <v>2018322</v>
      </c>
      <c r="AB114" s="36">
        <v>981535</v>
      </c>
      <c r="AC114" s="39">
        <v>0.48630000000000001</v>
      </c>
      <c r="AD114" s="36">
        <v>1769772</v>
      </c>
      <c r="AE114" s="36">
        <v>924272</v>
      </c>
      <c r="AF114" s="39">
        <v>0.52229999999999999</v>
      </c>
      <c r="AG114" s="36">
        <v>1179475</v>
      </c>
      <c r="AH114" s="36">
        <v>654476</v>
      </c>
      <c r="AI114" s="39">
        <v>0.55489999999999995</v>
      </c>
      <c r="AJ114" s="36">
        <v>160203</v>
      </c>
      <c r="AK114" s="36">
        <v>102222</v>
      </c>
      <c r="AL114" s="39">
        <v>0.6381</v>
      </c>
      <c r="AM114" s="36">
        <v>125994</v>
      </c>
      <c r="AN114" s="36">
        <v>78066</v>
      </c>
      <c r="AO114" s="39">
        <v>0.61960000000000004</v>
      </c>
    </row>
    <row r="115" spans="1:41" ht="14" x14ac:dyDescent="0.2">
      <c r="A115" s="1" t="s">
        <v>258</v>
      </c>
      <c r="B115" s="1" t="s">
        <v>428</v>
      </c>
      <c r="C115" s="1" t="s">
        <v>434</v>
      </c>
      <c r="D115" s="1" t="s">
        <v>259</v>
      </c>
      <c r="E115" s="25">
        <v>632</v>
      </c>
      <c r="F115" s="21">
        <v>168629.00042900001</v>
      </c>
      <c r="G115" s="20">
        <f t="shared" si="15"/>
        <v>75601.000236000007</v>
      </c>
      <c r="H115" s="24">
        <f t="shared" si="16"/>
        <v>0.44832739353057632</v>
      </c>
      <c r="I115" s="12">
        <v>217</v>
      </c>
      <c r="J115" s="12">
        <v>58120.000081999999</v>
      </c>
      <c r="K115" s="13">
        <f t="shared" si="17"/>
        <v>0.34466194980780307</v>
      </c>
      <c r="L115" s="4">
        <v>47</v>
      </c>
      <c r="M115" s="4">
        <v>14989.000167</v>
      </c>
      <c r="N115" s="17">
        <f t="shared" si="18"/>
        <v>8.8887440054007838E-2</v>
      </c>
      <c r="O115" s="9">
        <v>9</v>
      </c>
      <c r="P115" s="9">
        <v>2491.9999870000001</v>
      </c>
      <c r="Q115" s="18">
        <f t="shared" si="19"/>
        <v>1.4778003668765376E-2</v>
      </c>
      <c r="R115" s="36">
        <v>2720438</v>
      </c>
      <c r="S115" s="36">
        <v>1778957</v>
      </c>
      <c r="T115" s="39">
        <v>0.65390000000000004</v>
      </c>
      <c r="U115" s="36">
        <v>2660819</v>
      </c>
      <c r="V115" s="36">
        <v>1632309</v>
      </c>
      <c r="W115" s="39">
        <v>0.61350000000000005</v>
      </c>
      <c r="X115" s="36">
        <v>3079556</v>
      </c>
      <c r="Y115" s="36">
        <v>2041713</v>
      </c>
      <c r="Z115" s="39">
        <v>0.66300000000000003</v>
      </c>
      <c r="AA115" s="36">
        <v>2388574</v>
      </c>
      <c r="AB115" s="36">
        <v>1302370</v>
      </c>
      <c r="AC115" s="39">
        <v>0.54520000000000002</v>
      </c>
      <c r="AD115" s="36">
        <v>2239503</v>
      </c>
      <c r="AE115" s="36">
        <v>1227989</v>
      </c>
      <c r="AF115" s="39">
        <v>0.54830000000000001</v>
      </c>
      <c r="AG115" s="36">
        <v>1558894</v>
      </c>
      <c r="AH115" s="36">
        <v>927850</v>
      </c>
      <c r="AI115" s="39">
        <v>0.59519999999999995</v>
      </c>
      <c r="AJ115" s="36">
        <v>192648</v>
      </c>
      <c r="AK115" s="36">
        <v>118709</v>
      </c>
      <c r="AL115" s="39">
        <v>0.61619999999999997</v>
      </c>
      <c r="AM115" s="36">
        <v>250807</v>
      </c>
      <c r="AN115" s="36">
        <v>162257</v>
      </c>
      <c r="AO115" s="39">
        <v>0.64690000000000003</v>
      </c>
    </row>
    <row r="116" spans="1:41" ht="14" x14ac:dyDescent="0.2">
      <c r="A116" s="1" t="s">
        <v>260</v>
      </c>
      <c r="B116" s="1" t="s">
        <v>428</v>
      </c>
      <c r="C116" s="1" t="s">
        <v>434</v>
      </c>
      <c r="D116" s="1" t="s">
        <v>261</v>
      </c>
      <c r="E116" s="25">
        <v>421</v>
      </c>
      <c r="F116" s="21">
        <v>102875.00046700001</v>
      </c>
      <c r="G116" s="20">
        <f t="shared" si="15"/>
        <v>48890.000035000005</v>
      </c>
      <c r="H116" s="24">
        <f t="shared" si="16"/>
        <v>0.47523693621447732</v>
      </c>
      <c r="I116" s="12">
        <v>176</v>
      </c>
      <c r="J116" s="12">
        <v>45086.000065</v>
      </c>
      <c r="K116" s="13">
        <f t="shared" si="17"/>
        <v>0.43826002294369448</v>
      </c>
      <c r="L116" s="4">
        <v>13</v>
      </c>
      <c r="M116" s="4">
        <v>2338.9999809999999</v>
      </c>
      <c r="N116" s="17">
        <f t="shared" si="18"/>
        <v>2.2736330210275903E-2</v>
      </c>
      <c r="O116" s="9">
        <v>5</v>
      </c>
      <c r="P116" s="9">
        <v>1464.9999889999999</v>
      </c>
      <c r="Q116" s="18">
        <f t="shared" si="19"/>
        <v>1.4240583060506903E-2</v>
      </c>
      <c r="R116" s="36">
        <v>2629758</v>
      </c>
      <c r="S116" s="36">
        <v>1613945</v>
      </c>
      <c r="T116" s="39">
        <v>0.61370000000000002</v>
      </c>
      <c r="U116" s="36">
        <v>2395460</v>
      </c>
      <c r="V116" s="36">
        <v>1413705</v>
      </c>
      <c r="W116" s="39">
        <v>0.59019999999999995</v>
      </c>
      <c r="X116" s="36">
        <v>2558510</v>
      </c>
      <c r="Y116" s="36">
        <v>1592333</v>
      </c>
      <c r="Z116" s="39">
        <v>0.62239999999999995</v>
      </c>
      <c r="AA116" s="36">
        <v>2276161</v>
      </c>
      <c r="AB116" s="36">
        <v>1256529</v>
      </c>
      <c r="AC116" s="39">
        <v>0.55200000000000005</v>
      </c>
      <c r="AD116" s="36">
        <v>2054691</v>
      </c>
      <c r="AE116" s="36">
        <v>1173315</v>
      </c>
      <c r="AF116" s="39">
        <v>0.57099999999999995</v>
      </c>
      <c r="AG116" s="36">
        <v>1590750</v>
      </c>
      <c r="AH116" s="36">
        <v>954682</v>
      </c>
      <c r="AI116" s="39">
        <v>0.60009999999999997</v>
      </c>
      <c r="AJ116" s="36">
        <v>111621</v>
      </c>
      <c r="AK116" s="36">
        <v>63030</v>
      </c>
      <c r="AL116" s="39">
        <v>0.56469999999999998</v>
      </c>
      <c r="AM116" s="36">
        <v>104341</v>
      </c>
      <c r="AN116" s="36">
        <v>64129</v>
      </c>
      <c r="AO116" s="39">
        <v>0.61460000000000004</v>
      </c>
    </row>
    <row r="117" spans="1:41" ht="14" x14ac:dyDescent="0.2">
      <c r="A117" s="1" t="s">
        <v>262</v>
      </c>
      <c r="B117" s="1" t="s">
        <v>428</v>
      </c>
      <c r="C117" s="1" t="s">
        <v>432</v>
      </c>
      <c r="D117" s="1" t="s">
        <v>263</v>
      </c>
      <c r="E117" s="25">
        <v>412</v>
      </c>
      <c r="F117" s="21">
        <v>107022.00038</v>
      </c>
      <c r="G117" s="20">
        <f t="shared" si="15"/>
        <v>56156.000211999999</v>
      </c>
      <c r="H117" s="24">
        <f t="shared" si="16"/>
        <v>0.52471454479086987</v>
      </c>
      <c r="I117" s="12">
        <v>164</v>
      </c>
      <c r="J117" s="12">
        <v>46519.000182999996</v>
      </c>
      <c r="K117" s="13">
        <f t="shared" si="17"/>
        <v>0.4346676385960484</v>
      </c>
      <c r="L117" s="4">
        <v>34</v>
      </c>
      <c r="M117" s="4">
        <v>8079.0000120000004</v>
      </c>
      <c r="N117" s="17">
        <f t="shared" si="18"/>
        <v>7.5489151607278163E-2</v>
      </c>
      <c r="O117" s="9">
        <v>7</v>
      </c>
      <c r="P117" s="9">
        <v>1558.0000170000001</v>
      </c>
      <c r="Q117" s="18">
        <f t="shared" si="19"/>
        <v>1.4557754587543248E-2</v>
      </c>
      <c r="R117" s="36">
        <v>2145856</v>
      </c>
      <c r="S117" s="36">
        <v>1145393</v>
      </c>
      <c r="T117" s="39">
        <v>0.53380000000000005</v>
      </c>
      <c r="U117" s="36">
        <v>2066791</v>
      </c>
      <c r="V117" s="36">
        <v>1022545</v>
      </c>
      <c r="W117" s="39">
        <v>0.49480000000000002</v>
      </c>
      <c r="X117" s="36">
        <v>2133366</v>
      </c>
      <c r="Y117" s="36">
        <v>1122340</v>
      </c>
      <c r="Z117" s="39">
        <v>0.52610000000000001</v>
      </c>
      <c r="AA117" s="36">
        <v>1754591</v>
      </c>
      <c r="AB117" s="36">
        <v>907758</v>
      </c>
      <c r="AC117" s="39">
        <v>0.51739999999999997</v>
      </c>
      <c r="AD117" s="36">
        <v>1635101</v>
      </c>
      <c r="AE117" s="36">
        <v>909474</v>
      </c>
      <c r="AF117" s="39">
        <v>0.55620000000000003</v>
      </c>
      <c r="AG117" s="36">
        <v>1192118</v>
      </c>
      <c r="AH117" s="36">
        <v>712302</v>
      </c>
      <c r="AI117" s="39">
        <v>0.59750000000000003</v>
      </c>
      <c r="AJ117" s="36">
        <v>120519</v>
      </c>
      <c r="AK117" s="36">
        <v>63688</v>
      </c>
      <c r="AL117" s="39">
        <v>0.52849999999999997</v>
      </c>
      <c r="AM117" s="36">
        <v>122447</v>
      </c>
      <c r="AN117" s="36">
        <v>65678</v>
      </c>
      <c r="AO117" s="39">
        <v>0.53639999999999999</v>
      </c>
    </row>
    <row r="118" spans="1:41" ht="14" x14ac:dyDescent="0.2">
      <c r="A118" s="1" t="s">
        <v>264</v>
      </c>
      <c r="B118" s="1" t="s">
        <v>429</v>
      </c>
      <c r="C118" s="1" t="s">
        <v>432</v>
      </c>
      <c r="D118" s="1" t="s">
        <v>265</v>
      </c>
      <c r="E118" s="25">
        <v>726</v>
      </c>
      <c r="F118" s="21">
        <v>205834.00060699999</v>
      </c>
      <c r="G118" s="20">
        <f t="shared" si="15"/>
        <v>187757.000677</v>
      </c>
      <c r="H118" s="24">
        <f t="shared" si="16"/>
        <v>0.91217680326529482</v>
      </c>
      <c r="I118" s="12">
        <v>603</v>
      </c>
      <c r="J118" s="12">
        <v>171625.000546</v>
      </c>
      <c r="K118" s="13">
        <f t="shared" si="17"/>
        <v>0.83380296763353767</v>
      </c>
      <c r="L118" s="4">
        <v>58</v>
      </c>
      <c r="M118" s="4">
        <v>14625.000131000001</v>
      </c>
      <c r="N118" s="17">
        <f t="shared" si="18"/>
        <v>7.1052401876615101E-2</v>
      </c>
      <c r="O118" s="9">
        <v>7</v>
      </c>
      <c r="P118" s="9">
        <v>1507</v>
      </c>
      <c r="Q118" s="18">
        <f t="shared" si="19"/>
        <v>7.3214337551419581E-3</v>
      </c>
      <c r="R118" s="36">
        <v>2943038</v>
      </c>
      <c r="S118" s="36">
        <v>2412344</v>
      </c>
      <c r="T118" s="39">
        <v>0.81969999999999998</v>
      </c>
      <c r="U118" s="36">
        <v>2815576</v>
      </c>
      <c r="V118" s="36">
        <v>2267261</v>
      </c>
      <c r="W118" s="39">
        <v>0.80530000000000002</v>
      </c>
      <c r="X118" s="36">
        <v>2990969</v>
      </c>
      <c r="Y118" s="36">
        <v>2474748</v>
      </c>
      <c r="Z118" s="39">
        <v>0.82740000000000002</v>
      </c>
      <c r="AA118" s="36">
        <v>2555272</v>
      </c>
      <c r="AB118" s="36">
        <v>1831270</v>
      </c>
      <c r="AC118" s="39">
        <v>0.7167</v>
      </c>
      <c r="AD118" s="36">
        <v>2440451</v>
      </c>
      <c r="AE118" s="36">
        <v>1883121</v>
      </c>
      <c r="AF118" s="39">
        <v>0.77159999999999995</v>
      </c>
      <c r="AG118" s="36">
        <v>1778834</v>
      </c>
      <c r="AH118" s="36">
        <v>1443909</v>
      </c>
      <c r="AI118" s="39">
        <v>0.81169999999999998</v>
      </c>
      <c r="AJ118" s="36">
        <v>224589</v>
      </c>
      <c r="AK118" s="36">
        <v>214676</v>
      </c>
      <c r="AL118" s="39">
        <v>0.95589999999999997</v>
      </c>
      <c r="AM118" s="36">
        <v>205608</v>
      </c>
      <c r="AN118" s="36">
        <v>190219</v>
      </c>
      <c r="AO118" s="39">
        <v>0.92520000000000002</v>
      </c>
    </row>
    <row r="119" spans="1:41" ht="14" x14ac:dyDescent="0.2">
      <c r="A119" s="1" t="s">
        <v>266</v>
      </c>
      <c r="B119" s="1" t="s">
        <v>428</v>
      </c>
      <c r="C119" s="1" t="s">
        <v>434</v>
      </c>
      <c r="D119" s="1" t="s">
        <v>267</v>
      </c>
      <c r="E119" s="25">
        <v>602</v>
      </c>
      <c r="F119" s="21">
        <v>160111.000371</v>
      </c>
      <c r="G119" s="20">
        <f t="shared" si="15"/>
        <v>90023.000037999998</v>
      </c>
      <c r="H119" s="24">
        <f t="shared" si="16"/>
        <v>0.56225368543950061</v>
      </c>
      <c r="I119" s="12">
        <v>270</v>
      </c>
      <c r="J119" s="12">
        <v>75037.000140000004</v>
      </c>
      <c r="K119" s="13">
        <f t="shared" si="17"/>
        <v>0.46865611960532744</v>
      </c>
      <c r="L119" s="4">
        <v>43</v>
      </c>
      <c r="M119" s="4">
        <v>12174.999904</v>
      </c>
      <c r="N119" s="17">
        <f t="shared" si="18"/>
        <v>7.6040995782855586E-2</v>
      </c>
      <c r="O119" s="9">
        <v>7</v>
      </c>
      <c r="P119" s="9">
        <v>2810.9999939999998</v>
      </c>
      <c r="Q119" s="18">
        <f t="shared" si="19"/>
        <v>1.75565700513176E-2</v>
      </c>
      <c r="R119" s="36">
        <v>3459338</v>
      </c>
      <c r="S119" s="36">
        <v>2241035</v>
      </c>
      <c r="T119" s="39">
        <v>0.64780000000000004</v>
      </c>
      <c r="U119" s="36">
        <v>3340865</v>
      </c>
      <c r="V119" s="36">
        <v>2147053</v>
      </c>
      <c r="W119" s="39">
        <v>0.64270000000000005</v>
      </c>
      <c r="X119" s="36">
        <v>3340325</v>
      </c>
      <c r="Y119" s="36">
        <v>2244392</v>
      </c>
      <c r="Z119" s="39">
        <v>0.67190000000000005</v>
      </c>
      <c r="AA119" s="36">
        <v>2972004</v>
      </c>
      <c r="AB119" s="36">
        <v>1704436</v>
      </c>
      <c r="AC119" s="39">
        <v>0.57350000000000001</v>
      </c>
      <c r="AD119" s="36">
        <v>2677172</v>
      </c>
      <c r="AE119" s="36">
        <v>1591797</v>
      </c>
      <c r="AF119" s="39">
        <v>0.59460000000000002</v>
      </c>
      <c r="AG119" s="36">
        <v>1988995</v>
      </c>
      <c r="AH119" s="36">
        <v>1295348</v>
      </c>
      <c r="AI119" s="39">
        <v>0.65129999999999999</v>
      </c>
      <c r="AJ119" s="36">
        <v>175207</v>
      </c>
      <c r="AK119" s="36">
        <v>97436</v>
      </c>
      <c r="AL119" s="39">
        <v>0.55610000000000004</v>
      </c>
      <c r="AM119" s="36">
        <v>153668</v>
      </c>
      <c r="AN119" s="36">
        <v>88385</v>
      </c>
      <c r="AO119" s="39">
        <v>0.57520000000000004</v>
      </c>
    </row>
    <row r="120" spans="1:41" ht="14" x14ac:dyDescent="0.2">
      <c r="A120" s="1" t="s">
        <v>268</v>
      </c>
      <c r="B120" s="1" t="s">
        <v>428</v>
      </c>
      <c r="C120" s="1" t="s">
        <v>432</v>
      </c>
      <c r="D120" s="1" t="s">
        <v>269</v>
      </c>
      <c r="E120" s="25">
        <v>511</v>
      </c>
      <c r="F120" s="21">
        <v>134333.00093099999</v>
      </c>
      <c r="G120" s="20">
        <f t="shared" si="15"/>
        <v>55239.000301</v>
      </c>
      <c r="H120" s="24">
        <f t="shared" si="16"/>
        <v>0.41120945648622453</v>
      </c>
      <c r="I120" s="12">
        <v>183</v>
      </c>
      <c r="J120" s="12">
        <v>48311.000275999999</v>
      </c>
      <c r="K120" s="13">
        <f t="shared" si="17"/>
        <v>0.35963612769147396</v>
      </c>
      <c r="L120" s="4">
        <v>18</v>
      </c>
      <c r="M120" s="4">
        <v>4945.0000389999996</v>
      </c>
      <c r="N120" s="17">
        <f t="shared" si="18"/>
        <v>3.6811505770945996E-2</v>
      </c>
      <c r="O120" s="9">
        <v>10</v>
      </c>
      <c r="P120" s="9">
        <v>1982.999986</v>
      </c>
      <c r="Q120" s="18">
        <f t="shared" si="19"/>
        <v>1.4761823023804597E-2</v>
      </c>
      <c r="R120" s="36">
        <v>2133981</v>
      </c>
      <c r="S120" s="36">
        <v>1318805</v>
      </c>
      <c r="T120" s="39">
        <v>0.61799999999999999</v>
      </c>
      <c r="U120" s="36">
        <v>2127833</v>
      </c>
      <c r="V120" s="36">
        <v>1284886</v>
      </c>
      <c r="W120" s="39">
        <v>0.6038</v>
      </c>
      <c r="X120" s="36">
        <v>2514650</v>
      </c>
      <c r="Y120" s="36">
        <v>1581184</v>
      </c>
      <c r="Z120" s="39">
        <v>0.62880000000000003</v>
      </c>
      <c r="AA120" s="36">
        <v>2015266</v>
      </c>
      <c r="AB120" s="36">
        <v>1030234</v>
      </c>
      <c r="AC120" s="39">
        <v>0.51119999999999999</v>
      </c>
      <c r="AD120" s="36">
        <v>1939082</v>
      </c>
      <c r="AE120" s="36">
        <v>966265</v>
      </c>
      <c r="AF120" s="39">
        <v>0.49830000000000002</v>
      </c>
      <c r="AG120" s="36">
        <v>1530108</v>
      </c>
      <c r="AH120" s="36">
        <v>854241</v>
      </c>
      <c r="AI120" s="39">
        <v>0.55830000000000002</v>
      </c>
      <c r="AJ120" s="36">
        <v>146166</v>
      </c>
      <c r="AK120" s="36">
        <v>80617</v>
      </c>
      <c r="AL120" s="39">
        <v>0.55149999999999999</v>
      </c>
      <c r="AM120" s="36">
        <v>131824</v>
      </c>
      <c r="AN120" s="36">
        <v>75500</v>
      </c>
      <c r="AO120" s="39">
        <v>0.57269999999999999</v>
      </c>
    </row>
    <row r="121" spans="1:41" ht="14" x14ac:dyDescent="0.2">
      <c r="A121" s="1" t="s">
        <v>270</v>
      </c>
      <c r="B121" s="1" t="s">
        <v>428</v>
      </c>
      <c r="C121" s="1" t="s">
        <v>438</v>
      </c>
      <c r="D121" s="1" t="s">
        <v>271</v>
      </c>
      <c r="E121" s="25">
        <v>771</v>
      </c>
      <c r="F121" s="21">
        <v>169008.00031</v>
      </c>
      <c r="G121" s="20">
        <f t="shared" si="15"/>
        <v>86032.000510999991</v>
      </c>
      <c r="H121" s="24">
        <f t="shared" si="16"/>
        <v>0.50904099423220961</v>
      </c>
      <c r="I121" s="12">
        <v>338</v>
      </c>
      <c r="J121" s="12">
        <v>70972.000396999996</v>
      </c>
      <c r="K121" s="13">
        <f t="shared" si="17"/>
        <v>0.4199327858256463</v>
      </c>
      <c r="L121" s="4">
        <v>55</v>
      </c>
      <c r="M121" s="4">
        <v>12835.000040999999</v>
      </c>
      <c r="N121" s="17">
        <f t="shared" si="18"/>
        <v>7.5943150723383646E-2</v>
      </c>
      <c r="O121" s="9">
        <v>16</v>
      </c>
      <c r="P121" s="9">
        <v>2225.0000730000002</v>
      </c>
      <c r="Q121" s="18">
        <f t="shared" si="19"/>
        <v>1.3165057683179686E-2</v>
      </c>
      <c r="R121" s="36">
        <v>3223394</v>
      </c>
      <c r="S121" s="36">
        <v>1802454</v>
      </c>
      <c r="T121" s="39">
        <v>0.55920000000000003</v>
      </c>
      <c r="U121" s="36">
        <v>2842762</v>
      </c>
      <c r="V121" s="36">
        <v>1535991</v>
      </c>
      <c r="W121" s="39">
        <v>0.5403</v>
      </c>
      <c r="X121" s="36">
        <v>2048673</v>
      </c>
      <c r="Y121" s="36">
        <v>1177716</v>
      </c>
      <c r="Z121" s="39">
        <v>0.57489999999999997</v>
      </c>
      <c r="AA121" s="36">
        <v>2359765</v>
      </c>
      <c r="AB121" s="36">
        <v>1266191</v>
      </c>
      <c r="AC121" s="39">
        <v>0.53659999999999997</v>
      </c>
      <c r="AD121" s="36">
        <v>2197226</v>
      </c>
      <c r="AE121" s="36">
        <v>1214655</v>
      </c>
      <c r="AF121" s="39">
        <v>0.55279999999999996</v>
      </c>
      <c r="AG121" s="36">
        <v>1486801</v>
      </c>
      <c r="AH121" s="36">
        <v>876175</v>
      </c>
      <c r="AI121" s="39">
        <v>0.58930000000000005</v>
      </c>
      <c r="AJ121" s="36">
        <v>191025</v>
      </c>
      <c r="AK121" s="36">
        <v>115774</v>
      </c>
      <c r="AL121" s="39">
        <v>0.60609999999999997</v>
      </c>
      <c r="AM121" s="36">
        <v>188285</v>
      </c>
      <c r="AN121" s="36">
        <v>110744</v>
      </c>
      <c r="AO121" s="39">
        <v>0.58819999999999995</v>
      </c>
    </row>
    <row r="122" spans="1:41" ht="14" x14ac:dyDescent="0.2">
      <c r="A122" s="1" t="s">
        <v>272</v>
      </c>
      <c r="B122" s="1" t="s">
        <v>429</v>
      </c>
      <c r="C122" s="1" t="s">
        <v>432</v>
      </c>
      <c r="D122" s="1" t="s">
        <v>273</v>
      </c>
      <c r="E122" s="25">
        <v>1043</v>
      </c>
      <c r="F122" s="21">
        <v>250867.000955</v>
      </c>
      <c r="G122" s="20">
        <f t="shared" si="15"/>
        <v>233704.00074699998</v>
      </c>
      <c r="H122" s="24">
        <f t="shared" si="16"/>
        <v>0.93158526174162426</v>
      </c>
      <c r="I122" s="12">
        <v>886</v>
      </c>
      <c r="J122" s="12">
        <v>208892.00073599999</v>
      </c>
      <c r="K122" s="13">
        <f t="shared" si="17"/>
        <v>0.83268026460550948</v>
      </c>
      <c r="L122" s="4">
        <v>79</v>
      </c>
      <c r="M122" s="4">
        <v>19833.999975999999</v>
      </c>
      <c r="N122" s="17">
        <f t="shared" si="18"/>
        <v>7.9061813233689437E-2</v>
      </c>
      <c r="O122" s="9">
        <v>20</v>
      </c>
      <c r="P122" s="9">
        <v>4978.000035</v>
      </c>
      <c r="Q122" s="18">
        <f t="shared" si="19"/>
        <v>1.9843183902425426E-2</v>
      </c>
      <c r="R122" s="36">
        <v>4063842</v>
      </c>
      <c r="S122" s="36">
        <v>2975887</v>
      </c>
      <c r="T122" s="39">
        <v>0.73229999999999995</v>
      </c>
      <c r="U122" s="36">
        <v>3800158</v>
      </c>
      <c r="V122" s="36">
        <v>2647596</v>
      </c>
      <c r="W122" s="39">
        <v>0.69669999999999999</v>
      </c>
      <c r="X122" s="36">
        <v>3607694</v>
      </c>
      <c r="Y122" s="36">
        <v>2568984</v>
      </c>
      <c r="Z122" s="39">
        <v>0.71209999999999996</v>
      </c>
      <c r="AA122" s="36">
        <v>3660573</v>
      </c>
      <c r="AB122" s="36">
        <v>2338644</v>
      </c>
      <c r="AC122" s="39">
        <v>0.63890000000000002</v>
      </c>
      <c r="AD122" s="36">
        <v>3229043</v>
      </c>
      <c r="AE122" s="36">
        <v>2261885</v>
      </c>
      <c r="AF122" s="39">
        <v>0.70050000000000001</v>
      </c>
      <c r="AG122" s="36">
        <v>2317510</v>
      </c>
      <c r="AH122" s="36">
        <v>1745707</v>
      </c>
      <c r="AI122" s="39">
        <v>0.75329999999999997</v>
      </c>
      <c r="AJ122" s="36">
        <v>273630</v>
      </c>
      <c r="AK122" s="36">
        <v>270013</v>
      </c>
      <c r="AL122" s="39">
        <v>0.98680000000000001</v>
      </c>
      <c r="AM122" s="36">
        <v>254740</v>
      </c>
      <c r="AN122" s="36">
        <v>241585</v>
      </c>
      <c r="AO122" s="39">
        <v>0.94840000000000002</v>
      </c>
    </row>
    <row r="123" spans="1:41" ht="14" x14ac:dyDescent="0.2">
      <c r="A123" s="1" t="s">
        <v>274</v>
      </c>
      <c r="B123" s="1" t="s">
        <v>428</v>
      </c>
      <c r="C123" s="1" t="s">
        <v>434</v>
      </c>
      <c r="D123" s="1" t="s">
        <v>275</v>
      </c>
      <c r="E123" s="25">
        <v>1096</v>
      </c>
      <c r="F123" s="21">
        <v>258121.00107599999</v>
      </c>
      <c r="G123" s="20">
        <f t="shared" si="15"/>
        <v>140984.00068900001</v>
      </c>
      <c r="H123" s="24">
        <f t="shared" si="16"/>
        <v>0.5461934523006492</v>
      </c>
      <c r="I123" s="12">
        <v>499</v>
      </c>
      <c r="J123" s="12">
        <v>122976.000633</v>
      </c>
      <c r="K123" s="13">
        <f t="shared" si="17"/>
        <v>0.47642772234868058</v>
      </c>
      <c r="L123" s="4">
        <v>66</v>
      </c>
      <c r="M123" s="4">
        <v>15016.000007000001</v>
      </c>
      <c r="N123" s="17">
        <f t="shared" si="18"/>
        <v>5.8174266891901437E-2</v>
      </c>
      <c r="O123" s="9">
        <v>15</v>
      </c>
      <c r="P123" s="9">
        <v>2992.0000490000002</v>
      </c>
      <c r="Q123" s="18">
        <f t="shared" si="19"/>
        <v>1.1591463060067125E-2</v>
      </c>
      <c r="R123" s="36">
        <v>3615394</v>
      </c>
      <c r="S123" s="36">
        <v>2123785</v>
      </c>
      <c r="T123" s="39">
        <v>0.58740000000000003</v>
      </c>
      <c r="U123" s="36">
        <v>3749327</v>
      </c>
      <c r="V123" s="36">
        <v>2150787</v>
      </c>
      <c r="W123" s="39">
        <v>0.5736</v>
      </c>
      <c r="X123" s="36">
        <v>3663760</v>
      </c>
      <c r="Y123" s="36">
        <v>2256653</v>
      </c>
      <c r="Z123" s="39">
        <v>0.6159</v>
      </c>
      <c r="AA123" s="36">
        <v>2973769</v>
      </c>
      <c r="AB123" s="36">
        <v>1492073</v>
      </c>
      <c r="AC123" s="39">
        <v>0.50170000000000003</v>
      </c>
      <c r="AD123" s="36">
        <v>2768199</v>
      </c>
      <c r="AE123" s="36">
        <v>1425958</v>
      </c>
      <c r="AF123" s="39">
        <v>0.5151</v>
      </c>
      <c r="AG123" s="36">
        <v>1997305</v>
      </c>
      <c r="AH123" s="36">
        <v>1129544</v>
      </c>
      <c r="AI123" s="39">
        <v>0.5655</v>
      </c>
      <c r="AJ123" s="36">
        <v>281100</v>
      </c>
      <c r="AK123" s="36">
        <v>165259</v>
      </c>
      <c r="AL123" s="39">
        <v>0.58789999999999998</v>
      </c>
      <c r="AM123" s="36">
        <v>251713</v>
      </c>
      <c r="AN123" s="36">
        <v>147789</v>
      </c>
      <c r="AO123" s="39">
        <v>0.58709999999999996</v>
      </c>
    </row>
    <row r="124" spans="1:41" ht="14" x14ac:dyDescent="0.2">
      <c r="A124" s="1" t="s">
        <v>276</v>
      </c>
      <c r="B124" s="1" t="s">
        <v>428</v>
      </c>
      <c r="C124" s="1" t="s">
        <v>433</v>
      </c>
      <c r="D124" s="1" t="s">
        <v>277</v>
      </c>
      <c r="E124" s="25">
        <v>771</v>
      </c>
      <c r="F124" s="21">
        <v>228949.00069700001</v>
      </c>
      <c r="G124" s="20">
        <f t="shared" si="15"/>
        <v>134928.00048700001</v>
      </c>
      <c r="H124" s="24">
        <f t="shared" si="16"/>
        <v>0.58933649011890188</v>
      </c>
      <c r="I124" s="12">
        <v>353</v>
      </c>
      <c r="J124" s="12">
        <v>109025.00046900001</v>
      </c>
      <c r="K124" s="13">
        <f t="shared" si="17"/>
        <v>0.47619775643086526</v>
      </c>
      <c r="L124" s="4">
        <v>66</v>
      </c>
      <c r="M124" s="4">
        <v>21637.000045000001</v>
      </c>
      <c r="N124" s="17">
        <f t="shared" si="18"/>
        <v>9.4505763201103668E-2</v>
      </c>
      <c r="O124" s="9">
        <v>13</v>
      </c>
      <c r="P124" s="9">
        <v>4265.999973</v>
      </c>
      <c r="Q124" s="18">
        <f t="shared" si="19"/>
        <v>1.8632970486932982E-2</v>
      </c>
      <c r="R124" s="36">
        <v>4463496</v>
      </c>
      <c r="S124" s="36">
        <v>2658184</v>
      </c>
      <c r="T124" s="39">
        <v>0.59550000000000003</v>
      </c>
      <c r="U124" s="36">
        <v>4308733</v>
      </c>
      <c r="V124" s="36">
        <v>2479827</v>
      </c>
      <c r="W124" s="39">
        <v>0.57550000000000001</v>
      </c>
      <c r="X124" s="36">
        <v>4633643</v>
      </c>
      <c r="Y124" s="36">
        <v>2746311</v>
      </c>
      <c r="Z124" s="39">
        <v>0.5927</v>
      </c>
      <c r="AA124" s="36">
        <v>3785292</v>
      </c>
      <c r="AB124" s="36">
        <v>1942360</v>
      </c>
      <c r="AC124" s="39">
        <v>0.5131</v>
      </c>
      <c r="AD124" s="36">
        <v>3931373</v>
      </c>
      <c r="AE124" s="36">
        <v>1961572</v>
      </c>
      <c r="AF124" s="39">
        <v>0.499</v>
      </c>
      <c r="AG124" s="36">
        <v>2764297</v>
      </c>
      <c r="AH124" s="36">
        <v>1484189</v>
      </c>
      <c r="AI124" s="39">
        <v>0.53690000000000004</v>
      </c>
      <c r="AJ124" s="36">
        <v>254008</v>
      </c>
      <c r="AK124" s="36">
        <v>150373</v>
      </c>
      <c r="AL124" s="39">
        <v>0.59199999999999997</v>
      </c>
      <c r="AM124" s="36">
        <v>232508</v>
      </c>
      <c r="AN124" s="36">
        <v>140179</v>
      </c>
      <c r="AO124" s="39">
        <v>0.60289999999999999</v>
      </c>
    </row>
    <row r="125" spans="1:41" ht="14" x14ac:dyDescent="0.2">
      <c r="A125" s="1" t="s">
        <v>278</v>
      </c>
      <c r="B125" s="1" t="s">
        <v>428</v>
      </c>
      <c r="C125" s="1" t="s">
        <v>433</v>
      </c>
      <c r="D125" s="1" t="s">
        <v>279</v>
      </c>
      <c r="E125" s="25">
        <v>809</v>
      </c>
      <c r="F125" s="21">
        <v>220517.00076</v>
      </c>
      <c r="G125" s="20">
        <f t="shared" si="15"/>
        <v>115534.000392</v>
      </c>
      <c r="H125" s="24">
        <f t="shared" si="16"/>
        <v>0.5239233256112602</v>
      </c>
      <c r="I125" s="12">
        <v>355</v>
      </c>
      <c r="J125" s="12">
        <v>102892.000392</v>
      </c>
      <c r="K125" s="13">
        <f t="shared" si="17"/>
        <v>0.4665944123917351</v>
      </c>
      <c r="L125" s="4">
        <v>39</v>
      </c>
      <c r="M125" s="4">
        <v>10902.999997000001</v>
      </c>
      <c r="N125" s="17">
        <f t="shared" si="18"/>
        <v>4.9442899909863627E-2</v>
      </c>
      <c r="O125" s="9">
        <v>12</v>
      </c>
      <c r="P125" s="9">
        <v>1739.0000030000001</v>
      </c>
      <c r="Q125" s="18">
        <f t="shared" si="19"/>
        <v>7.8860133096615229E-3</v>
      </c>
      <c r="R125" s="36">
        <v>2284343</v>
      </c>
      <c r="S125" s="36">
        <v>1643051</v>
      </c>
      <c r="T125" s="39">
        <v>0.71930000000000005</v>
      </c>
      <c r="U125" s="36">
        <v>2747701</v>
      </c>
      <c r="V125" s="36">
        <v>1734534</v>
      </c>
      <c r="W125" s="39">
        <v>0.63129999999999997</v>
      </c>
      <c r="X125" s="36">
        <v>3314464</v>
      </c>
      <c r="Y125" s="36">
        <v>2084036</v>
      </c>
      <c r="Z125" s="39">
        <v>0.62880000000000003</v>
      </c>
      <c r="AA125" s="36">
        <v>2488308</v>
      </c>
      <c r="AB125" s="36">
        <v>1386833</v>
      </c>
      <c r="AC125" s="39">
        <v>0.55730000000000002</v>
      </c>
      <c r="AD125" s="36">
        <v>2362366</v>
      </c>
      <c r="AE125" s="36">
        <v>1241387</v>
      </c>
      <c r="AF125" s="39">
        <v>0.52549999999999997</v>
      </c>
      <c r="AG125" s="36">
        <v>1789752</v>
      </c>
      <c r="AH125" s="36">
        <v>1027379</v>
      </c>
      <c r="AI125" s="39">
        <v>0.57399999999999995</v>
      </c>
      <c r="AJ125" s="36">
        <v>243091</v>
      </c>
      <c r="AK125" s="36">
        <v>140629</v>
      </c>
      <c r="AL125" s="39">
        <v>0.57850000000000001</v>
      </c>
      <c r="AM125" s="36">
        <v>231754</v>
      </c>
      <c r="AN125" s="36">
        <v>131491</v>
      </c>
      <c r="AO125" s="39">
        <v>0.56740000000000002</v>
      </c>
    </row>
    <row r="126" spans="1:41" ht="14" x14ac:dyDescent="0.2">
      <c r="A126" s="1" t="s">
        <v>280</v>
      </c>
      <c r="B126" s="1" t="s">
        <v>429</v>
      </c>
      <c r="C126" s="1" t="s">
        <v>441</v>
      </c>
      <c r="D126" s="1" t="s">
        <v>281</v>
      </c>
      <c r="E126" s="25">
        <v>1407</v>
      </c>
      <c r="F126" s="21">
        <v>290207.00070899999</v>
      </c>
      <c r="G126" s="20">
        <f t="shared" si="15"/>
        <v>268796.00064700004</v>
      </c>
      <c r="H126" s="24">
        <f t="shared" si="16"/>
        <v>0.92622162797695751</v>
      </c>
      <c r="I126" s="12">
        <v>1189</v>
      </c>
      <c r="J126" s="12">
        <v>242769.00049100001</v>
      </c>
      <c r="K126" s="13">
        <f t="shared" si="17"/>
        <v>0.83653736780262034</v>
      </c>
      <c r="L126" s="4">
        <v>93</v>
      </c>
      <c r="M126" s="4">
        <v>20777.000109000001</v>
      </c>
      <c r="N126" s="17">
        <f t="shared" si="18"/>
        <v>7.1593724680107829E-2</v>
      </c>
      <c r="O126" s="9">
        <v>24</v>
      </c>
      <c r="P126" s="9">
        <v>5250.0000470000004</v>
      </c>
      <c r="Q126" s="18">
        <f t="shared" si="19"/>
        <v>1.8090535494229329E-2</v>
      </c>
      <c r="R126" s="36">
        <v>4138746</v>
      </c>
      <c r="S126" s="36">
        <v>3268186</v>
      </c>
      <c r="T126" s="39">
        <v>0.78969999999999996</v>
      </c>
      <c r="U126" s="36">
        <v>3970495</v>
      </c>
      <c r="V126" s="36">
        <v>2990838</v>
      </c>
      <c r="W126" s="39">
        <v>0.75329999999999997</v>
      </c>
      <c r="X126" s="36">
        <v>3638567</v>
      </c>
      <c r="Y126" s="36">
        <v>2619570</v>
      </c>
      <c r="Z126" s="39">
        <v>0.71989999999999998</v>
      </c>
      <c r="AA126" s="36">
        <v>2485419</v>
      </c>
      <c r="AB126" s="36">
        <v>1673092</v>
      </c>
      <c r="AC126" s="39">
        <v>0.67320000000000002</v>
      </c>
      <c r="AD126" s="36">
        <v>3245239</v>
      </c>
      <c r="AE126" s="36">
        <v>2417801</v>
      </c>
      <c r="AF126" s="39">
        <v>0.745</v>
      </c>
      <c r="AG126" s="36">
        <v>2348644</v>
      </c>
      <c r="AH126" s="36">
        <v>1783985</v>
      </c>
      <c r="AI126" s="39">
        <v>0.75960000000000005</v>
      </c>
      <c r="AJ126" s="36">
        <v>334361</v>
      </c>
      <c r="AK126" s="36">
        <v>320918</v>
      </c>
      <c r="AL126" s="39">
        <v>0.95979999999999999</v>
      </c>
      <c r="AM126" s="36">
        <v>300262</v>
      </c>
      <c r="AN126" s="36">
        <v>281788</v>
      </c>
      <c r="AO126" s="39">
        <v>0.9385</v>
      </c>
    </row>
    <row r="127" spans="1:41" ht="14" x14ac:dyDescent="0.2">
      <c r="A127" s="1" t="s">
        <v>282</v>
      </c>
      <c r="B127" s="1" t="s">
        <v>428</v>
      </c>
      <c r="C127" s="1" t="s">
        <v>432</v>
      </c>
      <c r="D127" s="1" t="s">
        <v>283</v>
      </c>
      <c r="E127" s="25">
        <v>1573</v>
      </c>
      <c r="F127" s="21">
        <v>314354.00102800003</v>
      </c>
      <c r="G127" s="20">
        <f t="shared" si="15"/>
        <v>160791.00061700001</v>
      </c>
      <c r="H127" s="24">
        <f t="shared" si="16"/>
        <v>0.51149659330303254</v>
      </c>
      <c r="I127" s="12">
        <v>649</v>
      </c>
      <c r="J127" s="12">
        <v>132932.000505</v>
      </c>
      <c r="K127" s="13">
        <f t="shared" si="17"/>
        <v>0.42287357587396995</v>
      </c>
      <c r="L127" s="4">
        <v>102</v>
      </c>
      <c r="M127" s="4">
        <v>24917.000119</v>
      </c>
      <c r="N127" s="17">
        <f t="shared" si="18"/>
        <v>7.9264141819466144E-2</v>
      </c>
      <c r="O127" s="9">
        <v>13</v>
      </c>
      <c r="P127" s="9">
        <v>2941.9999929999999</v>
      </c>
      <c r="Q127" s="18">
        <f t="shared" si="19"/>
        <v>9.358875609596428E-3</v>
      </c>
      <c r="R127" s="36">
        <v>3692143</v>
      </c>
      <c r="S127" s="36">
        <v>1834600</v>
      </c>
      <c r="T127" s="39">
        <v>0.49690000000000001</v>
      </c>
      <c r="U127" s="36">
        <v>3353710</v>
      </c>
      <c r="V127" s="36">
        <v>1683534</v>
      </c>
      <c r="W127" s="39">
        <v>0.502</v>
      </c>
      <c r="X127" s="36">
        <v>2882993</v>
      </c>
      <c r="Y127" s="36">
        <v>1416086</v>
      </c>
      <c r="Z127" s="39">
        <v>0.49120000000000003</v>
      </c>
      <c r="AA127" s="36">
        <v>3132261</v>
      </c>
      <c r="AB127" s="36">
        <v>1346234</v>
      </c>
      <c r="AC127" s="39">
        <v>0.42980000000000002</v>
      </c>
      <c r="AD127" s="36">
        <v>2135259</v>
      </c>
      <c r="AE127" s="36">
        <v>1046590</v>
      </c>
      <c r="AF127" s="39">
        <v>0.49009999999999998</v>
      </c>
      <c r="AG127" s="36">
        <v>1870127</v>
      </c>
      <c r="AH127" s="36">
        <v>978538</v>
      </c>
      <c r="AI127" s="39">
        <v>0.5232</v>
      </c>
      <c r="AJ127" s="36">
        <v>344315</v>
      </c>
      <c r="AK127" s="36">
        <v>186990</v>
      </c>
      <c r="AL127" s="39">
        <v>0.54310000000000003</v>
      </c>
      <c r="AM127" s="36">
        <v>333973</v>
      </c>
      <c r="AN127" s="36">
        <v>176203</v>
      </c>
      <c r="AO127" s="39">
        <v>0.52759999999999996</v>
      </c>
    </row>
    <row r="128" spans="1:41" ht="14" x14ac:dyDescent="0.2">
      <c r="A128" s="1" t="s">
        <v>284</v>
      </c>
      <c r="B128" s="1" t="s">
        <v>429</v>
      </c>
      <c r="C128" s="1" t="s">
        <v>442</v>
      </c>
      <c r="D128" s="1" t="s">
        <v>285</v>
      </c>
      <c r="E128" s="25">
        <v>1827</v>
      </c>
      <c r="F128" s="21">
        <v>362285.00098200003</v>
      </c>
      <c r="G128" s="20">
        <f t="shared" si="15"/>
        <v>321922.00099900004</v>
      </c>
      <c r="H128" s="24">
        <f t="shared" si="16"/>
        <v>0.88858771444141182</v>
      </c>
      <c r="I128" s="12">
        <v>1468</v>
      </c>
      <c r="J128" s="12">
        <v>282204.00098800001</v>
      </c>
      <c r="K128" s="13">
        <f t="shared" si="17"/>
        <v>0.77895579508692159</v>
      </c>
      <c r="L128" s="4">
        <v>176</v>
      </c>
      <c r="M128" s="4">
        <v>33734.999988000003</v>
      </c>
      <c r="N128" s="17">
        <f t="shared" si="18"/>
        <v>9.3117296870029995E-2</v>
      </c>
      <c r="O128" s="9">
        <v>22</v>
      </c>
      <c r="P128" s="9">
        <v>5983.0000229999996</v>
      </c>
      <c r="Q128" s="18">
        <f t="shared" si="19"/>
        <v>1.6514622484460135E-2</v>
      </c>
      <c r="R128" s="36">
        <v>5369125</v>
      </c>
      <c r="S128" s="36">
        <v>3630939</v>
      </c>
      <c r="T128" s="39">
        <v>0.67630000000000001</v>
      </c>
      <c r="U128" s="36">
        <v>4933314</v>
      </c>
      <c r="V128" s="36">
        <v>3346440</v>
      </c>
      <c r="W128" s="39">
        <v>0.67830000000000001</v>
      </c>
      <c r="X128" s="36">
        <v>4204999</v>
      </c>
      <c r="Y128" s="36">
        <v>2778487</v>
      </c>
      <c r="Z128" s="39">
        <v>0.66080000000000005</v>
      </c>
      <c r="AA128" s="36">
        <v>4517654</v>
      </c>
      <c r="AB128" s="36">
        <v>2893586</v>
      </c>
      <c r="AC128" s="39">
        <v>0.64049999999999996</v>
      </c>
      <c r="AD128" s="36">
        <v>3743941</v>
      </c>
      <c r="AE128" s="36">
        <v>2590360</v>
      </c>
      <c r="AF128" s="39">
        <v>0.69189999999999996</v>
      </c>
      <c r="AG128" s="36">
        <v>2564969</v>
      </c>
      <c r="AH128" s="36">
        <v>1865904</v>
      </c>
      <c r="AI128" s="39">
        <v>0.72750000000000004</v>
      </c>
      <c r="AJ128" s="36">
        <v>410144</v>
      </c>
      <c r="AK128" s="36">
        <v>386014</v>
      </c>
      <c r="AL128" s="39">
        <v>0.94120000000000004</v>
      </c>
      <c r="AM128" s="36">
        <v>402583</v>
      </c>
      <c r="AN128" s="36">
        <v>375489</v>
      </c>
      <c r="AO128" s="39">
        <v>0.93269999999999997</v>
      </c>
    </row>
    <row r="129" spans="1:41" ht="14" x14ac:dyDescent="0.2">
      <c r="A129" s="1" t="s">
        <v>286</v>
      </c>
      <c r="B129" s="1" t="s">
        <v>428</v>
      </c>
      <c r="C129" s="1" t="s">
        <v>434</v>
      </c>
      <c r="D129" s="1" t="s">
        <v>287</v>
      </c>
      <c r="E129" s="25">
        <v>835</v>
      </c>
      <c r="F129" s="21">
        <v>194806.00094999999</v>
      </c>
      <c r="G129" s="20">
        <f t="shared" si="15"/>
        <v>109237.000421</v>
      </c>
      <c r="H129" s="24">
        <f t="shared" si="16"/>
        <v>0.56074761500307879</v>
      </c>
      <c r="I129" s="12">
        <v>380</v>
      </c>
      <c r="J129" s="12">
        <v>90472.000507999997</v>
      </c>
      <c r="K129" s="13">
        <f t="shared" si="17"/>
        <v>0.46442101406938208</v>
      </c>
      <c r="L129" s="4">
        <v>65</v>
      </c>
      <c r="M129" s="4">
        <v>17311.999918000001</v>
      </c>
      <c r="N129" s="17">
        <f t="shared" si="18"/>
        <v>8.8867898491707134E-2</v>
      </c>
      <c r="O129" s="9">
        <v>8</v>
      </c>
      <c r="P129" s="9">
        <v>1452.9999949999999</v>
      </c>
      <c r="Q129" s="18">
        <f t="shared" si="19"/>
        <v>7.4587024419896343E-3</v>
      </c>
      <c r="R129" s="36">
        <v>3598725</v>
      </c>
      <c r="S129" s="36">
        <v>2009086</v>
      </c>
      <c r="T129" s="39">
        <v>0.55830000000000002</v>
      </c>
      <c r="U129" s="36">
        <v>3569668</v>
      </c>
      <c r="V129" s="36">
        <v>1955179</v>
      </c>
      <c r="W129" s="39">
        <v>0.54769999999999996</v>
      </c>
      <c r="X129" s="36">
        <v>3647042</v>
      </c>
      <c r="Y129" s="36">
        <v>2086605</v>
      </c>
      <c r="Z129" s="39">
        <v>0.57210000000000005</v>
      </c>
      <c r="AA129" s="36">
        <v>3030341</v>
      </c>
      <c r="AB129" s="36">
        <v>1583171</v>
      </c>
      <c r="AC129" s="39">
        <v>0.52239999999999998</v>
      </c>
      <c r="AD129" s="36">
        <v>2854215</v>
      </c>
      <c r="AE129" s="36">
        <v>1483363</v>
      </c>
      <c r="AF129" s="39">
        <v>0.51970000000000005</v>
      </c>
      <c r="AG129" s="36">
        <v>1924389</v>
      </c>
      <c r="AH129" s="36">
        <v>1092419</v>
      </c>
      <c r="AI129" s="39">
        <v>0.56769999999999998</v>
      </c>
      <c r="AJ129" s="36">
        <v>219951</v>
      </c>
      <c r="AK129" s="36">
        <v>128189</v>
      </c>
      <c r="AL129" s="39">
        <v>0.58279999999999998</v>
      </c>
      <c r="AM129" s="36">
        <v>208305</v>
      </c>
      <c r="AN129" s="36">
        <v>123286</v>
      </c>
      <c r="AO129" s="39">
        <v>0.59189999999999998</v>
      </c>
    </row>
    <row r="130" spans="1:41" ht="14" x14ac:dyDescent="0.2">
      <c r="A130" s="1" t="s">
        <v>288</v>
      </c>
      <c r="B130" s="1" t="s">
        <v>428</v>
      </c>
      <c r="C130" s="1" t="s">
        <v>434</v>
      </c>
      <c r="D130" s="1" t="s">
        <v>289</v>
      </c>
      <c r="E130" s="25">
        <v>587</v>
      </c>
      <c r="F130" s="21">
        <v>156835.00051099999</v>
      </c>
      <c r="G130" s="20">
        <f t="shared" si="15"/>
        <v>82750.00033499999</v>
      </c>
      <c r="H130" s="24">
        <f t="shared" si="16"/>
        <v>0.52762457401335061</v>
      </c>
      <c r="I130" s="12">
        <v>259</v>
      </c>
      <c r="J130" s="12">
        <v>66289.000251999998</v>
      </c>
      <c r="K130" s="13">
        <f t="shared" si="17"/>
        <v>0.42266713447901999</v>
      </c>
      <c r="L130" s="4">
        <v>53</v>
      </c>
      <c r="M130" s="4">
        <v>14480.000106</v>
      </c>
      <c r="N130" s="17">
        <f t="shared" si="18"/>
        <v>9.2326330594709377E-2</v>
      </c>
      <c r="O130" s="9">
        <v>9</v>
      </c>
      <c r="P130" s="9">
        <v>1980.9999769999999</v>
      </c>
      <c r="Q130" s="18">
        <f t="shared" si="19"/>
        <v>1.263110893962128E-2</v>
      </c>
      <c r="R130" s="36">
        <v>4618307</v>
      </c>
      <c r="S130" s="36">
        <v>2619874</v>
      </c>
      <c r="T130" s="39">
        <v>0.56730000000000003</v>
      </c>
      <c r="U130" s="36">
        <v>4098916</v>
      </c>
      <c r="V130" s="36">
        <v>2110356</v>
      </c>
      <c r="W130" s="39">
        <v>0.51490000000000002</v>
      </c>
      <c r="X130" s="36">
        <v>4659667</v>
      </c>
      <c r="Y130" s="36">
        <v>2640232</v>
      </c>
      <c r="Z130" s="39">
        <v>0.56659999999999999</v>
      </c>
      <c r="AA130" s="36">
        <v>3938978</v>
      </c>
      <c r="AB130" s="36">
        <v>1911834</v>
      </c>
      <c r="AC130" s="39">
        <v>0.4854</v>
      </c>
      <c r="AD130" s="36">
        <v>3633453</v>
      </c>
      <c r="AE130" s="36">
        <v>1840602</v>
      </c>
      <c r="AF130" s="39">
        <v>0.50660000000000005</v>
      </c>
      <c r="AG130" s="36">
        <v>2379688</v>
      </c>
      <c r="AH130" s="36">
        <v>1247651</v>
      </c>
      <c r="AI130" s="39">
        <v>0.52429999999999999</v>
      </c>
      <c r="AJ130" s="36">
        <v>168759</v>
      </c>
      <c r="AK130" s="36">
        <v>108980</v>
      </c>
      <c r="AL130" s="39">
        <v>0.64580000000000004</v>
      </c>
      <c r="AM130" s="36">
        <v>227931</v>
      </c>
      <c r="AN130" s="36">
        <v>152428</v>
      </c>
      <c r="AO130" s="39">
        <v>0.66869999999999996</v>
      </c>
    </row>
    <row r="131" spans="1:41" ht="14" x14ac:dyDescent="0.2">
      <c r="A131" s="1" t="s">
        <v>290</v>
      </c>
      <c r="B131" s="1" t="s">
        <v>428</v>
      </c>
      <c r="C131" s="1" t="s">
        <v>432</v>
      </c>
      <c r="D131" s="1" t="s">
        <v>291</v>
      </c>
      <c r="E131" s="25">
        <v>818</v>
      </c>
      <c r="F131" s="21">
        <v>202102.000466</v>
      </c>
      <c r="G131" s="20">
        <f t="shared" ref="G131:G162" si="20">J131+M131+P131</f>
        <v>121869.00028099999</v>
      </c>
      <c r="H131" s="24">
        <f t="shared" ref="H131:H162" si="21">G131/F131</f>
        <v>0.60300739230684774</v>
      </c>
      <c r="I131" s="12">
        <v>378</v>
      </c>
      <c r="J131" s="12">
        <v>91505.000113999995</v>
      </c>
      <c r="K131" s="13">
        <f t="shared" ref="K131:K162" si="22">J131/F131</f>
        <v>0.45276642439466624</v>
      </c>
      <c r="L131" s="4">
        <v>96</v>
      </c>
      <c r="M131" s="4">
        <v>28805.000198000002</v>
      </c>
      <c r="N131" s="17">
        <f t="shared" ref="N131:N162" si="23">M131/F131</f>
        <v>0.14252704145224887</v>
      </c>
      <c r="O131" s="9">
        <v>7</v>
      </c>
      <c r="P131" s="9">
        <v>1558.999969</v>
      </c>
      <c r="Q131" s="18">
        <f t="shared" ref="Q131:Q162" si="24">P131/F131</f>
        <v>7.7139264599326591E-3</v>
      </c>
      <c r="R131" s="36">
        <v>5039328</v>
      </c>
      <c r="S131" s="36">
        <v>2993551</v>
      </c>
      <c r="T131" s="39">
        <v>0.59399999999999997</v>
      </c>
      <c r="U131" s="36">
        <v>4896692</v>
      </c>
      <c r="V131" s="36">
        <v>2830836</v>
      </c>
      <c r="W131" s="39">
        <v>0.57809999999999995</v>
      </c>
      <c r="X131" s="36">
        <v>4656277</v>
      </c>
      <c r="Y131" s="36">
        <v>2832211</v>
      </c>
      <c r="Z131" s="39">
        <v>0.60829999999999995</v>
      </c>
      <c r="AA131" s="36">
        <v>4143679</v>
      </c>
      <c r="AB131" s="36">
        <v>2397826</v>
      </c>
      <c r="AC131" s="39">
        <v>0.57869999999999999</v>
      </c>
      <c r="AD131" s="36">
        <v>3918435</v>
      </c>
      <c r="AE131" s="36">
        <v>2358902</v>
      </c>
      <c r="AF131" s="39">
        <v>0.60199999999999998</v>
      </c>
      <c r="AG131" s="36">
        <v>2707674</v>
      </c>
      <c r="AH131" s="36">
        <v>1659561</v>
      </c>
      <c r="AI131" s="39">
        <v>0.6129</v>
      </c>
      <c r="AJ131" s="36">
        <v>226789</v>
      </c>
      <c r="AK131" s="36">
        <v>145515</v>
      </c>
      <c r="AL131" s="39">
        <v>0.64159999999999995</v>
      </c>
      <c r="AM131" s="36">
        <v>211597</v>
      </c>
      <c r="AN131" s="36">
        <v>133206</v>
      </c>
      <c r="AO131" s="39">
        <v>0.62949999999999995</v>
      </c>
    </row>
    <row r="132" spans="1:41" ht="14" x14ac:dyDescent="0.2">
      <c r="A132" s="1" t="s">
        <v>292</v>
      </c>
      <c r="B132" s="1" t="s">
        <v>429</v>
      </c>
      <c r="C132" s="1" t="s">
        <v>443</v>
      </c>
      <c r="D132" s="1" t="s">
        <v>293</v>
      </c>
      <c r="E132" s="25">
        <v>1267</v>
      </c>
      <c r="F132" s="21">
        <v>286920.00120200001</v>
      </c>
      <c r="G132" s="20">
        <f t="shared" si="20"/>
        <v>246392.00087600001</v>
      </c>
      <c r="H132" s="24">
        <f t="shared" si="21"/>
        <v>0.85874808254490731</v>
      </c>
      <c r="I132" s="12">
        <v>1024</v>
      </c>
      <c r="J132" s="12">
        <v>220385.000856</v>
      </c>
      <c r="K132" s="13">
        <f t="shared" si="22"/>
        <v>0.76810609205610092</v>
      </c>
      <c r="L132" s="4">
        <v>88</v>
      </c>
      <c r="M132" s="4">
        <v>19475.999985999999</v>
      </c>
      <c r="N132" s="17">
        <f t="shared" si="23"/>
        <v>6.7879547972984733E-2</v>
      </c>
      <c r="O132" s="9">
        <v>27</v>
      </c>
      <c r="P132" s="9">
        <v>6531.0000339999997</v>
      </c>
      <c r="Q132" s="18">
        <f t="shared" si="24"/>
        <v>2.2762442515821636E-2</v>
      </c>
      <c r="R132" s="36">
        <v>3586596</v>
      </c>
      <c r="S132" s="36">
        <v>2825272</v>
      </c>
      <c r="T132" s="39">
        <v>0.78769999999999996</v>
      </c>
      <c r="U132" s="36">
        <v>1624169</v>
      </c>
      <c r="V132" s="36">
        <v>1292151</v>
      </c>
      <c r="W132" s="39">
        <v>0.79559999999999997</v>
      </c>
      <c r="X132" s="36">
        <v>3382263</v>
      </c>
      <c r="Y132" s="36">
        <v>2643111</v>
      </c>
      <c r="Z132" s="39">
        <v>0.78149999999999997</v>
      </c>
      <c r="AA132" s="36">
        <v>3199441</v>
      </c>
      <c r="AB132" s="36">
        <v>2257134</v>
      </c>
      <c r="AC132" s="39">
        <v>0.70550000000000002</v>
      </c>
      <c r="AD132" s="36">
        <v>2913459</v>
      </c>
      <c r="AE132" s="36">
        <v>2181467</v>
      </c>
      <c r="AF132" s="39">
        <v>0.74880000000000002</v>
      </c>
      <c r="AG132" s="36">
        <v>2037030</v>
      </c>
      <c r="AH132" s="36">
        <v>1598439</v>
      </c>
      <c r="AI132" s="39">
        <v>0.78469999999999995</v>
      </c>
      <c r="AJ132" s="36">
        <v>314539</v>
      </c>
      <c r="AK132" s="36">
        <v>306909</v>
      </c>
      <c r="AL132" s="39">
        <v>0.97570000000000001</v>
      </c>
      <c r="AM132" s="36">
        <v>277088</v>
      </c>
      <c r="AN132" s="36">
        <v>259831</v>
      </c>
      <c r="AO132" s="39">
        <v>0.93769999999999998</v>
      </c>
    </row>
    <row r="133" spans="1:41" ht="14" x14ac:dyDescent="0.2">
      <c r="A133" s="1" t="s">
        <v>294</v>
      </c>
      <c r="B133" s="1" t="s">
        <v>429</v>
      </c>
      <c r="C133" s="1" t="s">
        <v>432</v>
      </c>
      <c r="D133" s="1" t="s">
        <v>295</v>
      </c>
      <c r="E133" s="25">
        <v>1018</v>
      </c>
      <c r="F133" s="21">
        <v>285779.00069399999</v>
      </c>
      <c r="G133" s="20">
        <f t="shared" si="20"/>
        <v>261344.00047199999</v>
      </c>
      <c r="H133" s="24">
        <f t="shared" si="21"/>
        <v>0.91449686589056289</v>
      </c>
      <c r="I133" s="12">
        <v>814</v>
      </c>
      <c r="J133" s="12">
        <v>227782.000374</v>
      </c>
      <c r="K133" s="13">
        <f t="shared" si="22"/>
        <v>0.79705646608338199</v>
      </c>
      <c r="L133" s="4">
        <v>119</v>
      </c>
      <c r="M133" s="4">
        <v>31390.000145000002</v>
      </c>
      <c r="N133" s="17">
        <f t="shared" si="23"/>
        <v>0.10984012145318921</v>
      </c>
      <c r="O133" s="9">
        <v>10</v>
      </c>
      <c r="P133" s="9">
        <v>2171.999953</v>
      </c>
      <c r="Q133" s="18">
        <f t="shared" si="24"/>
        <v>7.600278353991745E-3</v>
      </c>
      <c r="R133" s="36">
        <v>6049268</v>
      </c>
      <c r="S133" s="36">
        <v>3746157</v>
      </c>
      <c r="T133" s="39">
        <v>0.61929999999999996</v>
      </c>
      <c r="U133" s="36">
        <v>5437225</v>
      </c>
      <c r="V133" s="36">
        <v>3289656</v>
      </c>
      <c r="W133" s="39">
        <v>0.60499999999999998</v>
      </c>
      <c r="X133" s="36">
        <v>5560003</v>
      </c>
      <c r="Y133" s="36">
        <v>3634260</v>
      </c>
      <c r="Z133" s="39">
        <v>0.65359999999999996</v>
      </c>
      <c r="AA133" s="36">
        <v>5019806</v>
      </c>
      <c r="AB133" s="36">
        <v>2935450</v>
      </c>
      <c r="AC133" s="39">
        <v>0.58479999999999999</v>
      </c>
      <c r="AD133" s="36">
        <v>4636333</v>
      </c>
      <c r="AE133" s="36">
        <v>2861807</v>
      </c>
      <c r="AF133" s="39">
        <v>0.61729999999999996</v>
      </c>
      <c r="AG133" s="36">
        <v>3278327</v>
      </c>
      <c r="AH133" s="36">
        <v>2175691</v>
      </c>
      <c r="AI133" s="39">
        <v>0.66369999999999996</v>
      </c>
      <c r="AJ133" s="36">
        <v>308341</v>
      </c>
      <c r="AK133" s="36">
        <v>304662</v>
      </c>
      <c r="AL133" s="39">
        <v>0.98809999999999998</v>
      </c>
      <c r="AM133" s="36">
        <v>295942</v>
      </c>
      <c r="AN133" s="36">
        <v>287222</v>
      </c>
      <c r="AO133" s="39">
        <v>0.97050000000000003</v>
      </c>
    </row>
    <row r="134" spans="1:41" ht="14" x14ac:dyDescent="0.2">
      <c r="A134" s="1" t="s">
        <v>296</v>
      </c>
      <c r="B134" s="1" t="s">
        <v>428</v>
      </c>
      <c r="C134" s="1" t="s">
        <v>432</v>
      </c>
      <c r="D134" s="1" t="s">
        <v>297</v>
      </c>
      <c r="E134" s="25">
        <v>896</v>
      </c>
      <c r="F134" s="21">
        <v>218542.00068900001</v>
      </c>
      <c r="G134" s="20">
        <f t="shared" si="20"/>
        <v>125433.00018</v>
      </c>
      <c r="H134" s="24">
        <f t="shared" si="21"/>
        <v>0.57395374703510482</v>
      </c>
      <c r="I134" s="12">
        <v>431</v>
      </c>
      <c r="J134" s="12">
        <v>107958.00017</v>
      </c>
      <c r="K134" s="13">
        <f t="shared" si="22"/>
        <v>0.49399200075792987</v>
      </c>
      <c r="L134" s="4">
        <v>60</v>
      </c>
      <c r="M134" s="4">
        <v>16305.999996</v>
      </c>
      <c r="N134" s="17">
        <f t="shared" si="23"/>
        <v>7.4612660013141083E-2</v>
      </c>
      <c r="O134" s="9">
        <v>10</v>
      </c>
      <c r="P134" s="9">
        <v>1169.000014</v>
      </c>
      <c r="Q134" s="18">
        <f t="shared" si="24"/>
        <v>5.349086264033822E-3</v>
      </c>
      <c r="R134" s="36">
        <v>5331774</v>
      </c>
      <c r="S134" s="36">
        <v>2996918</v>
      </c>
      <c r="T134" s="39">
        <v>0.56210000000000004</v>
      </c>
      <c r="U134" s="36">
        <v>5092147</v>
      </c>
      <c r="V134" s="36">
        <v>2751853</v>
      </c>
      <c r="W134" s="39">
        <v>0.54039999999999999</v>
      </c>
      <c r="X134" s="36">
        <v>4782945</v>
      </c>
      <c r="Y134" s="36">
        <v>2718220</v>
      </c>
      <c r="Z134" s="39">
        <v>0.56830000000000003</v>
      </c>
      <c r="AA134" s="36">
        <v>4546973</v>
      </c>
      <c r="AB134" s="36">
        <v>2233112</v>
      </c>
      <c r="AC134" s="39">
        <v>0.49109999999999998</v>
      </c>
      <c r="AD134" s="36">
        <v>4424094</v>
      </c>
      <c r="AE134" s="36">
        <v>2170167</v>
      </c>
      <c r="AF134" s="39">
        <v>0.49049999999999999</v>
      </c>
      <c r="AG134" s="36">
        <v>3035068</v>
      </c>
      <c r="AH134" s="36">
        <v>1520611</v>
      </c>
      <c r="AI134" s="39">
        <v>0.501</v>
      </c>
      <c r="AJ134" s="36">
        <v>246542</v>
      </c>
      <c r="AK134" s="36">
        <v>153914</v>
      </c>
      <c r="AL134" s="39">
        <v>0.62429999999999997</v>
      </c>
      <c r="AM134" s="36">
        <v>259566</v>
      </c>
      <c r="AN134" s="36">
        <v>167168</v>
      </c>
      <c r="AO134" s="39">
        <v>0.64400000000000002</v>
      </c>
    </row>
    <row r="135" spans="1:41" ht="14" x14ac:dyDescent="0.2">
      <c r="A135" s="1" t="s">
        <v>298</v>
      </c>
      <c r="B135" s="1" t="s">
        <v>428</v>
      </c>
      <c r="C135" s="1" t="s">
        <v>434</v>
      </c>
      <c r="D135" s="1" t="s">
        <v>299</v>
      </c>
      <c r="E135" s="25">
        <v>1106</v>
      </c>
      <c r="F135" s="21">
        <v>256625.00079600001</v>
      </c>
      <c r="G135" s="20">
        <f t="shared" si="20"/>
        <v>124084.000529</v>
      </c>
      <c r="H135" s="24">
        <f t="shared" si="21"/>
        <v>0.4835226503423905</v>
      </c>
      <c r="I135" s="12">
        <v>473</v>
      </c>
      <c r="J135" s="12">
        <v>107383.000363</v>
      </c>
      <c r="K135" s="13">
        <f t="shared" si="22"/>
        <v>0.41844325389155057</v>
      </c>
      <c r="L135" s="4">
        <v>69</v>
      </c>
      <c r="M135" s="4">
        <v>14891.00013</v>
      </c>
      <c r="N135" s="17">
        <f t="shared" si="23"/>
        <v>5.8026303297851196E-2</v>
      </c>
      <c r="O135" s="9">
        <v>9</v>
      </c>
      <c r="P135" s="9">
        <v>1810.0000359999999</v>
      </c>
      <c r="Q135" s="18">
        <f t="shared" si="24"/>
        <v>7.0530931529887491E-3</v>
      </c>
      <c r="R135" s="36">
        <v>2596859</v>
      </c>
      <c r="S135" s="36">
        <v>1862280</v>
      </c>
      <c r="T135" s="39">
        <v>0.71709999999999996</v>
      </c>
      <c r="U135" s="36">
        <v>2440407</v>
      </c>
      <c r="V135" s="36">
        <v>1741380</v>
      </c>
      <c r="W135" s="39">
        <v>0.71360000000000001</v>
      </c>
      <c r="X135" s="36">
        <v>2483269</v>
      </c>
      <c r="Y135" s="36">
        <v>1783213</v>
      </c>
      <c r="Z135" s="39">
        <v>0.71809999999999996</v>
      </c>
      <c r="AA135" s="36">
        <v>2311416</v>
      </c>
      <c r="AB135" s="36">
        <v>1453544</v>
      </c>
      <c r="AC135" s="39">
        <v>0.62890000000000001</v>
      </c>
      <c r="AD135" s="36">
        <v>2169924</v>
      </c>
      <c r="AE135" s="36">
        <v>1287050</v>
      </c>
      <c r="AF135" s="39">
        <v>0.59309999999999996</v>
      </c>
      <c r="AG135" s="36">
        <v>1516030</v>
      </c>
      <c r="AH135" s="36">
        <v>938131</v>
      </c>
      <c r="AI135" s="39">
        <v>0.61880000000000002</v>
      </c>
      <c r="AJ135" s="36">
        <v>281495</v>
      </c>
      <c r="AK135" s="36">
        <v>163914</v>
      </c>
      <c r="AL135" s="39">
        <v>0.58230000000000004</v>
      </c>
      <c r="AM135" s="36">
        <v>274935</v>
      </c>
      <c r="AN135" s="36">
        <v>165341</v>
      </c>
      <c r="AO135" s="39">
        <v>0.60140000000000005</v>
      </c>
    </row>
    <row r="136" spans="1:41" ht="14" x14ac:dyDescent="0.2">
      <c r="A136" s="1" t="s">
        <v>300</v>
      </c>
      <c r="B136" s="1" t="s">
        <v>428</v>
      </c>
      <c r="C136" s="1" t="s">
        <v>438</v>
      </c>
      <c r="D136" s="1" t="s">
        <v>301</v>
      </c>
      <c r="E136" s="25">
        <v>1233</v>
      </c>
      <c r="F136" s="21">
        <v>311830.00128700002</v>
      </c>
      <c r="G136" s="20">
        <f t="shared" si="20"/>
        <v>101961.00015200001</v>
      </c>
      <c r="H136" s="24">
        <f t="shared" si="21"/>
        <v>0.3269762361901728</v>
      </c>
      <c r="I136" s="12">
        <v>358</v>
      </c>
      <c r="J136" s="12">
        <v>86461.000039000006</v>
      </c>
      <c r="K136" s="13">
        <f t="shared" si="22"/>
        <v>0.27726966514496343</v>
      </c>
      <c r="L136" s="4">
        <v>52</v>
      </c>
      <c r="M136" s="4">
        <v>12992.00008</v>
      </c>
      <c r="N136" s="17">
        <f t="shared" si="23"/>
        <v>4.166372711534741E-2</v>
      </c>
      <c r="O136" s="9">
        <v>14</v>
      </c>
      <c r="P136" s="9">
        <v>2508.0000329999998</v>
      </c>
      <c r="Q136" s="18">
        <f t="shared" si="24"/>
        <v>8.0428439298619748E-3</v>
      </c>
      <c r="R136" s="36">
        <v>3832256</v>
      </c>
      <c r="S136" s="36">
        <v>1879454</v>
      </c>
      <c r="T136" s="39">
        <v>0.4904</v>
      </c>
      <c r="U136" s="36">
        <v>3358699</v>
      </c>
      <c r="V136" s="36">
        <v>1580478</v>
      </c>
      <c r="W136" s="39">
        <v>0.47060000000000002</v>
      </c>
      <c r="X136" s="36">
        <v>3449585</v>
      </c>
      <c r="Y136" s="36">
        <v>1677633</v>
      </c>
      <c r="Z136" s="39">
        <v>0.48630000000000001</v>
      </c>
      <c r="AA136" s="36">
        <v>3389066</v>
      </c>
      <c r="AB136" s="36">
        <v>1290442</v>
      </c>
      <c r="AC136" s="39">
        <v>0.38080000000000003</v>
      </c>
      <c r="AD136" s="36">
        <v>3457018</v>
      </c>
      <c r="AE136" s="36">
        <v>1328483</v>
      </c>
      <c r="AF136" s="39">
        <v>0.38429999999999997</v>
      </c>
      <c r="AG136" s="36">
        <v>2213328</v>
      </c>
      <c r="AH136" s="36">
        <v>993746</v>
      </c>
      <c r="AI136" s="39">
        <v>0.44900000000000001</v>
      </c>
      <c r="AJ136" s="36">
        <v>327221</v>
      </c>
      <c r="AK136" s="36">
        <v>166856</v>
      </c>
      <c r="AL136" s="39">
        <v>0.50990000000000002</v>
      </c>
      <c r="AM136" s="36">
        <v>341856</v>
      </c>
      <c r="AN136" s="36">
        <v>174542</v>
      </c>
      <c r="AO136" s="39">
        <v>0.51060000000000005</v>
      </c>
    </row>
    <row r="137" spans="1:41" ht="14" x14ac:dyDescent="0.2">
      <c r="A137" s="1" t="s">
        <v>302</v>
      </c>
      <c r="B137" s="1" t="s">
        <v>428</v>
      </c>
      <c r="C137" s="1" t="s">
        <v>434</v>
      </c>
      <c r="D137" s="1" t="s">
        <v>303</v>
      </c>
      <c r="E137" s="25">
        <v>984</v>
      </c>
      <c r="F137" s="21">
        <v>237047.00082700001</v>
      </c>
      <c r="G137" s="20">
        <f t="shared" si="20"/>
        <v>136357.00038799999</v>
      </c>
      <c r="H137" s="24">
        <f t="shared" si="21"/>
        <v>0.57523191566348941</v>
      </c>
      <c r="I137" s="12">
        <v>435</v>
      </c>
      <c r="J137" s="12">
        <v>111068.000289</v>
      </c>
      <c r="K137" s="13">
        <f t="shared" si="22"/>
        <v>0.46854843090826059</v>
      </c>
      <c r="L137" s="4">
        <v>78</v>
      </c>
      <c r="M137" s="4">
        <v>21540.000008999999</v>
      </c>
      <c r="N137" s="17">
        <f t="shared" si="23"/>
        <v>9.0868055422984123E-2</v>
      </c>
      <c r="O137" s="9">
        <v>14</v>
      </c>
      <c r="P137" s="9">
        <v>3749.00009</v>
      </c>
      <c r="Q137" s="18">
        <f t="shared" si="24"/>
        <v>1.5815429332244828E-2</v>
      </c>
      <c r="R137" s="36">
        <v>3246868</v>
      </c>
      <c r="S137" s="36">
        <v>1956474</v>
      </c>
      <c r="T137" s="39">
        <v>0.60260000000000002</v>
      </c>
      <c r="U137" s="36">
        <v>3145562</v>
      </c>
      <c r="V137" s="36">
        <v>1825648</v>
      </c>
      <c r="W137" s="39">
        <v>0.58040000000000003</v>
      </c>
      <c r="X137" s="36">
        <v>3162670</v>
      </c>
      <c r="Y137" s="36">
        <v>1903907</v>
      </c>
      <c r="Z137" s="39">
        <v>0.60199999999999998</v>
      </c>
      <c r="AA137" s="36">
        <v>2924926</v>
      </c>
      <c r="AB137" s="36">
        <v>1514870</v>
      </c>
      <c r="AC137" s="39">
        <v>0.51790000000000003</v>
      </c>
      <c r="AD137" s="36">
        <v>2633157</v>
      </c>
      <c r="AE137" s="36">
        <v>1361484</v>
      </c>
      <c r="AF137" s="39">
        <v>0.5171</v>
      </c>
      <c r="AG137" s="36">
        <v>1950264</v>
      </c>
      <c r="AH137" s="36">
        <v>1054705</v>
      </c>
      <c r="AI137" s="39">
        <v>0.54079999999999995</v>
      </c>
      <c r="AJ137" s="36">
        <v>230281</v>
      </c>
      <c r="AK137" s="36">
        <v>137909</v>
      </c>
      <c r="AL137" s="39">
        <v>0.59889999999999999</v>
      </c>
      <c r="AM137" s="36">
        <v>281080</v>
      </c>
      <c r="AN137" s="36">
        <v>176998</v>
      </c>
      <c r="AO137" s="39">
        <v>0.62970000000000004</v>
      </c>
    </row>
    <row r="138" spans="1:41" ht="14" x14ac:dyDescent="0.2">
      <c r="A138" s="1" t="s">
        <v>304</v>
      </c>
      <c r="B138" s="1" t="s">
        <v>428</v>
      </c>
      <c r="C138" s="1" t="s">
        <v>437</v>
      </c>
      <c r="D138" s="1" t="s">
        <v>305</v>
      </c>
      <c r="E138" s="25">
        <v>941</v>
      </c>
      <c r="F138" s="21">
        <v>220435.00083899999</v>
      </c>
      <c r="G138" s="20">
        <f t="shared" si="20"/>
        <v>113965.00021300001</v>
      </c>
      <c r="H138" s="24">
        <f t="shared" si="21"/>
        <v>0.51700047532940152</v>
      </c>
      <c r="I138" s="12">
        <v>381</v>
      </c>
      <c r="J138" s="12">
        <v>88685.000316000005</v>
      </c>
      <c r="K138" s="13">
        <f t="shared" si="22"/>
        <v>0.4023181435727316</v>
      </c>
      <c r="L138" s="4">
        <v>81</v>
      </c>
      <c r="M138" s="4">
        <v>23416.999926</v>
      </c>
      <c r="N138" s="17">
        <f t="shared" si="23"/>
        <v>0.10623086096523832</v>
      </c>
      <c r="O138" s="9">
        <v>13</v>
      </c>
      <c r="P138" s="9">
        <v>1862.999971</v>
      </c>
      <c r="Q138" s="18">
        <f t="shared" si="24"/>
        <v>8.45147079143156E-3</v>
      </c>
      <c r="R138" s="36">
        <v>5153111</v>
      </c>
      <c r="S138" s="36">
        <v>2639522</v>
      </c>
      <c r="T138" s="39">
        <v>0.51219999999999999</v>
      </c>
      <c r="U138" s="36">
        <v>4894101</v>
      </c>
      <c r="V138" s="36">
        <v>2364856</v>
      </c>
      <c r="W138" s="39">
        <v>0.48320000000000002</v>
      </c>
      <c r="X138" s="36">
        <v>5092241</v>
      </c>
      <c r="Y138" s="36">
        <v>2608662</v>
      </c>
      <c r="Z138" s="39">
        <v>0.51229999999999998</v>
      </c>
      <c r="AA138" s="36">
        <v>4257085</v>
      </c>
      <c r="AB138" s="36">
        <v>1969646</v>
      </c>
      <c r="AC138" s="39">
        <v>0.4627</v>
      </c>
      <c r="AD138" s="36">
        <v>4025997</v>
      </c>
      <c r="AE138" s="36">
        <v>1856049</v>
      </c>
      <c r="AF138" s="39">
        <v>0.46100000000000002</v>
      </c>
      <c r="AG138" s="36">
        <v>2742631</v>
      </c>
      <c r="AH138" s="36">
        <v>1383878</v>
      </c>
      <c r="AI138" s="39">
        <v>0.50460000000000005</v>
      </c>
      <c r="AJ138" s="36">
        <v>248826</v>
      </c>
      <c r="AK138" s="36">
        <v>143945</v>
      </c>
      <c r="AL138" s="39">
        <v>0.57850000000000001</v>
      </c>
      <c r="AM138" s="36">
        <v>246888</v>
      </c>
      <c r="AN138" s="36">
        <v>138920</v>
      </c>
      <c r="AO138" s="39">
        <v>0.56269999999999998</v>
      </c>
    </row>
    <row r="139" spans="1:41" ht="14" x14ac:dyDescent="0.2">
      <c r="A139" s="1" t="s">
        <v>306</v>
      </c>
      <c r="B139" s="1" t="s">
        <v>428</v>
      </c>
      <c r="C139" s="1" t="s">
        <v>437</v>
      </c>
      <c r="D139" s="1" t="s">
        <v>307</v>
      </c>
      <c r="E139" s="25">
        <v>958</v>
      </c>
      <c r="F139" s="21">
        <v>290879.00069399999</v>
      </c>
      <c r="G139" s="20">
        <f t="shared" si="20"/>
        <v>157243.00017700001</v>
      </c>
      <c r="H139" s="24">
        <f t="shared" si="21"/>
        <v>0.54057872793098982</v>
      </c>
      <c r="I139" s="12">
        <v>396</v>
      </c>
      <c r="J139" s="12">
        <v>125071.000077</v>
      </c>
      <c r="K139" s="13">
        <f t="shared" si="22"/>
        <v>0.429976037385293</v>
      </c>
      <c r="L139" s="4">
        <v>87</v>
      </c>
      <c r="M139" s="4">
        <v>27699.000109000001</v>
      </c>
      <c r="N139" s="17">
        <f t="shared" si="23"/>
        <v>9.5225162500262098E-2</v>
      </c>
      <c r="O139" s="9">
        <v>18</v>
      </c>
      <c r="P139" s="9">
        <v>4472.9999909999997</v>
      </c>
      <c r="Q139" s="18">
        <f t="shared" si="24"/>
        <v>1.5377528045434683E-2</v>
      </c>
      <c r="R139" s="36">
        <v>4283663</v>
      </c>
      <c r="S139" s="36">
        <v>2453524</v>
      </c>
      <c r="T139" s="39">
        <v>0.57279999999999998</v>
      </c>
      <c r="U139" s="36">
        <v>4258725</v>
      </c>
      <c r="V139" s="36">
        <v>2331142</v>
      </c>
      <c r="W139" s="39">
        <v>0.5474</v>
      </c>
      <c r="X139" s="36">
        <v>4302741</v>
      </c>
      <c r="Y139" s="36">
        <v>2354602</v>
      </c>
      <c r="Z139" s="39">
        <v>0.54720000000000002</v>
      </c>
      <c r="AA139" s="36">
        <v>4246079</v>
      </c>
      <c r="AB139" s="36">
        <v>1918907</v>
      </c>
      <c r="AC139" s="39">
        <v>0.45190000000000002</v>
      </c>
      <c r="AD139" s="36">
        <v>4081146</v>
      </c>
      <c r="AE139" s="36">
        <v>1779401</v>
      </c>
      <c r="AF139" s="39">
        <v>0.436</v>
      </c>
      <c r="AG139" s="36">
        <v>2881207</v>
      </c>
      <c r="AH139" s="36">
        <v>1322807</v>
      </c>
      <c r="AI139" s="39">
        <v>0.45910000000000001</v>
      </c>
      <c r="AJ139" s="36">
        <v>309870</v>
      </c>
      <c r="AK139" s="36">
        <v>178631</v>
      </c>
      <c r="AL139" s="39">
        <v>0.57650000000000001</v>
      </c>
      <c r="AM139" s="36">
        <v>259885</v>
      </c>
      <c r="AN139" s="36">
        <v>148204</v>
      </c>
      <c r="AO139" s="39">
        <v>0.57030000000000003</v>
      </c>
    </row>
    <row r="140" spans="1:41" ht="14" x14ac:dyDescent="0.2">
      <c r="A140" s="1" t="s">
        <v>308</v>
      </c>
      <c r="B140" s="1" t="s">
        <v>428</v>
      </c>
      <c r="C140" s="1" t="s">
        <v>434</v>
      </c>
      <c r="D140" s="1" t="s">
        <v>309</v>
      </c>
      <c r="E140" s="25">
        <v>822</v>
      </c>
      <c r="F140" s="21">
        <v>188162.000539</v>
      </c>
      <c r="G140" s="20">
        <f t="shared" si="20"/>
        <v>109705.00047600002</v>
      </c>
      <c r="H140" s="24">
        <f t="shared" si="21"/>
        <v>0.58303483254718935</v>
      </c>
      <c r="I140" s="12">
        <v>383</v>
      </c>
      <c r="J140" s="12">
        <v>91135.000316000005</v>
      </c>
      <c r="K140" s="13">
        <f t="shared" si="22"/>
        <v>0.48434327895610685</v>
      </c>
      <c r="L140" s="4">
        <v>73</v>
      </c>
      <c r="M140" s="4">
        <v>16052.000110000001</v>
      </c>
      <c r="N140" s="17">
        <f t="shared" si="23"/>
        <v>8.5309467714087844E-2</v>
      </c>
      <c r="O140" s="9">
        <v>10</v>
      </c>
      <c r="P140" s="9">
        <v>2518.0000500000001</v>
      </c>
      <c r="Q140" s="18">
        <f t="shared" si="24"/>
        <v>1.3382085876994588E-2</v>
      </c>
      <c r="R140" s="36">
        <v>3526307</v>
      </c>
      <c r="S140" s="36">
        <v>2025030</v>
      </c>
      <c r="T140" s="39">
        <v>0.57430000000000003</v>
      </c>
      <c r="U140" s="36">
        <v>3499841</v>
      </c>
      <c r="V140" s="36">
        <v>1963904</v>
      </c>
      <c r="W140" s="39">
        <v>0.56110000000000004</v>
      </c>
      <c r="X140" s="36">
        <v>3603423</v>
      </c>
      <c r="Y140" s="36">
        <v>2162350</v>
      </c>
      <c r="Z140" s="39">
        <v>0.60009999999999997</v>
      </c>
      <c r="AA140" s="36">
        <v>3172843</v>
      </c>
      <c r="AB140" s="36">
        <v>1655807</v>
      </c>
      <c r="AC140" s="39">
        <v>0.52190000000000003</v>
      </c>
      <c r="AD140" s="36">
        <v>2782784</v>
      </c>
      <c r="AE140" s="36">
        <v>1465268</v>
      </c>
      <c r="AF140" s="39">
        <v>0.52649999999999997</v>
      </c>
      <c r="AG140" s="36">
        <v>1984765</v>
      </c>
      <c r="AH140" s="36">
        <v>1117226</v>
      </c>
      <c r="AI140" s="39">
        <v>0.56289999999999996</v>
      </c>
      <c r="AJ140" s="36">
        <v>217936</v>
      </c>
      <c r="AK140" s="36">
        <v>134018</v>
      </c>
      <c r="AL140" s="39">
        <v>0.6149</v>
      </c>
      <c r="AM140" s="36">
        <v>224270</v>
      </c>
      <c r="AN140" s="36">
        <v>140887</v>
      </c>
      <c r="AO140" s="39">
        <v>0.62819999999999998</v>
      </c>
    </row>
    <row r="141" spans="1:41" ht="14" x14ac:dyDescent="0.2">
      <c r="A141" s="1" t="s">
        <v>310</v>
      </c>
      <c r="B141" s="1" t="s">
        <v>429</v>
      </c>
      <c r="C141" s="1" t="s">
        <v>432</v>
      </c>
      <c r="D141" s="1" t="s">
        <v>311</v>
      </c>
      <c r="E141" s="25">
        <v>1483</v>
      </c>
      <c r="F141" s="21">
        <v>300206.00101299997</v>
      </c>
      <c r="G141" s="20">
        <f t="shared" si="20"/>
        <v>228887.000994</v>
      </c>
      <c r="H141" s="24">
        <f t="shared" si="21"/>
        <v>0.76243312998959134</v>
      </c>
      <c r="I141" s="12">
        <v>1056</v>
      </c>
      <c r="J141" s="12">
        <v>205090.000921</v>
      </c>
      <c r="K141" s="13">
        <f t="shared" si="22"/>
        <v>0.68316422799329346</v>
      </c>
      <c r="L141" s="4">
        <v>114</v>
      </c>
      <c r="M141" s="4">
        <v>22014.000081999999</v>
      </c>
      <c r="N141" s="17">
        <f t="shared" si="23"/>
        <v>7.3329647001449227E-2</v>
      </c>
      <c r="O141" s="9">
        <v>9</v>
      </c>
      <c r="P141" s="9">
        <v>1782.9999909999999</v>
      </c>
      <c r="Q141" s="18">
        <f t="shared" si="24"/>
        <v>5.9392549948486528E-3</v>
      </c>
      <c r="R141" s="36">
        <v>3604089</v>
      </c>
      <c r="S141" s="36">
        <v>2623022</v>
      </c>
      <c r="T141" s="39">
        <v>0.7278</v>
      </c>
      <c r="U141" s="36">
        <v>3421997</v>
      </c>
      <c r="V141" s="36">
        <v>2424131</v>
      </c>
      <c r="W141" s="39">
        <v>0.70840000000000003</v>
      </c>
      <c r="X141" s="36">
        <v>3110997</v>
      </c>
      <c r="Y141" s="36">
        <v>2142228</v>
      </c>
      <c r="Z141" s="39">
        <v>0.68859999999999999</v>
      </c>
      <c r="AA141" s="36">
        <v>3250641</v>
      </c>
      <c r="AB141" s="36">
        <v>2007907</v>
      </c>
      <c r="AC141" s="39">
        <v>0.61770000000000003</v>
      </c>
      <c r="AD141" s="36">
        <v>2973517</v>
      </c>
      <c r="AE141" s="36">
        <v>2010973</v>
      </c>
      <c r="AF141" s="39">
        <v>0.67630000000000001</v>
      </c>
      <c r="AG141" s="36">
        <v>1949448</v>
      </c>
      <c r="AH141" s="36">
        <v>1404875</v>
      </c>
      <c r="AI141" s="39">
        <v>0.72070000000000001</v>
      </c>
      <c r="AJ141" s="36">
        <v>334645</v>
      </c>
      <c r="AK141" s="36">
        <v>291871</v>
      </c>
      <c r="AL141" s="39">
        <v>0.87219999999999998</v>
      </c>
      <c r="AM141" s="36">
        <v>341860</v>
      </c>
      <c r="AN141" s="36">
        <v>286568</v>
      </c>
      <c r="AO141" s="39">
        <v>0.83830000000000005</v>
      </c>
    </row>
    <row r="142" spans="1:41" ht="14" x14ac:dyDescent="0.2">
      <c r="A142" s="1" t="s">
        <v>312</v>
      </c>
      <c r="B142" s="1" t="s">
        <v>429</v>
      </c>
      <c r="C142" s="1" t="s">
        <v>432</v>
      </c>
      <c r="D142" s="1" t="s">
        <v>313</v>
      </c>
      <c r="E142" s="25">
        <v>1520</v>
      </c>
      <c r="F142" s="21">
        <v>356753.00090099999</v>
      </c>
      <c r="G142" s="20">
        <f t="shared" si="20"/>
        <v>335567.00098299998</v>
      </c>
      <c r="H142" s="24">
        <f t="shared" si="21"/>
        <v>0.94061437503120204</v>
      </c>
      <c r="I142" s="12">
        <v>1309</v>
      </c>
      <c r="J142" s="12">
        <v>305222.00099899998</v>
      </c>
      <c r="K142" s="13">
        <f t="shared" si="22"/>
        <v>0.85555552504994903</v>
      </c>
      <c r="L142" s="4">
        <v>104</v>
      </c>
      <c r="M142" s="4">
        <v>27127.999939000001</v>
      </c>
      <c r="N142" s="17">
        <f t="shared" si="23"/>
        <v>7.6041406436628975E-2</v>
      </c>
      <c r="O142" s="9">
        <v>17</v>
      </c>
      <c r="P142" s="9">
        <v>3217.0000449999998</v>
      </c>
      <c r="Q142" s="18">
        <f t="shared" si="24"/>
        <v>9.0174435446241045E-3</v>
      </c>
      <c r="R142" s="36">
        <v>4422035</v>
      </c>
      <c r="S142" s="36">
        <v>3476007</v>
      </c>
      <c r="T142" s="39">
        <v>0.78610000000000002</v>
      </c>
      <c r="U142" s="36">
        <v>3880317</v>
      </c>
      <c r="V142" s="36">
        <v>3107182</v>
      </c>
      <c r="W142" s="39">
        <v>0.80079999999999996</v>
      </c>
      <c r="X142" s="36">
        <v>4281804</v>
      </c>
      <c r="Y142" s="36">
        <v>3449185</v>
      </c>
      <c r="Z142" s="39">
        <v>0.80549999999999999</v>
      </c>
      <c r="AA142" s="36">
        <v>4354512</v>
      </c>
      <c r="AB142" s="36">
        <v>2750302</v>
      </c>
      <c r="AC142" s="39">
        <v>0.63160000000000005</v>
      </c>
      <c r="AD142" s="36">
        <v>3900453</v>
      </c>
      <c r="AE142" s="36">
        <v>2663588</v>
      </c>
      <c r="AF142" s="39">
        <v>0.68289999999999995</v>
      </c>
      <c r="AG142" s="36">
        <v>2899844</v>
      </c>
      <c r="AH142" s="36">
        <v>2102585</v>
      </c>
      <c r="AI142" s="39">
        <v>0.72509999999999997</v>
      </c>
      <c r="AJ142" s="36">
        <v>397992</v>
      </c>
      <c r="AK142" s="36">
        <v>387512</v>
      </c>
      <c r="AL142" s="39">
        <v>0.97370000000000001</v>
      </c>
      <c r="AM142" s="36">
        <v>404040</v>
      </c>
      <c r="AN142" s="36">
        <v>385875</v>
      </c>
      <c r="AO142" s="39">
        <v>0.95499999999999996</v>
      </c>
    </row>
    <row r="143" spans="1:41" ht="14" x14ac:dyDescent="0.2">
      <c r="A143" s="1" t="s">
        <v>314</v>
      </c>
      <c r="B143" s="1" t="s">
        <v>428</v>
      </c>
      <c r="C143" s="1" t="s">
        <v>432</v>
      </c>
      <c r="D143" s="1" t="s">
        <v>315</v>
      </c>
      <c r="E143" s="25">
        <v>1011</v>
      </c>
      <c r="F143" s="21">
        <v>226502.000718</v>
      </c>
      <c r="G143" s="20">
        <f t="shared" si="20"/>
        <v>108795.00057300001</v>
      </c>
      <c r="H143" s="24">
        <f t="shared" si="21"/>
        <v>0.4803268855379878</v>
      </c>
      <c r="I143" s="12">
        <v>359</v>
      </c>
      <c r="J143" s="12">
        <v>89921.000537</v>
      </c>
      <c r="K143" s="13">
        <f t="shared" si="22"/>
        <v>0.39699870311059032</v>
      </c>
      <c r="L143" s="4">
        <v>62</v>
      </c>
      <c r="M143" s="4">
        <v>17329.000017999999</v>
      </c>
      <c r="N143" s="17">
        <f t="shared" si="23"/>
        <v>7.6507050547314978E-2</v>
      </c>
      <c r="O143" s="9">
        <v>17</v>
      </c>
      <c r="P143" s="9">
        <v>1545.000018</v>
      </c>
      <c r="Q143" s="18">
        <f t="shared" si="24"/>
        <v>6.8211318800824152E-3</v>
      </c>
      <c r="R143" s="36">
        <v>4318619</v>
      </c>
      <c r="S143" s="36">
        <v>2421063</v>
      </c>
      <c r="T143" s="39">
        <v>0.56059999999999999</v>
      </c>
      <c r="U143" s="36">
        <v>4177275</v>
      </c>
      <c r="V143" s="36">
        <v>2318629</v>
      </c>
      <c r="W143" s="39">
        <v>0.55510000000000004</v>
      </c>
      <c r="X143" s="36">
        <v>4244519</v>
      </c>
      <c r="Y143" s="36">
        <v>2524420</v>
      </c>
      <c r="Z143" s="39">
        <v>0.59470000000000001</v>
      </c>
      <c r="AA143" s="36">
        <v>3882929</v>
      </c>
      <c r="AB143" s="36">
        <v>1965185</v>
      </c>
      <c r="AC143" s="39">
        <v>0.50609999999999999</v>
      </c>
      <c r="AD143" s="36">
        <v>3858560</v>
      </c>
      <c r="AE143" s="36">
        <v>2001297</v>
      </c>
      <c r="AF143" s="39">
        <v>0.51870000000000005</v>
      </c>
      <c r="AG143" s="36">
        <v>2500907</v>
      </c>
      <c r="AH143" s="36">
        <v>1424821</v>
      </c>
      <c r="AI143" s="39">
        <v>0.56969999999999998</v>
      </c>
      <c r="AJ143" s="36">
        <v>244445</v>
      </c>
      <c r="AK143" s="36">
        <v>130349</v>
      </c>
      <c r="AL143" s="39">
        <v>0.53320000000000001</v>
      </c>
      <c r="AM143" s="36">
        <v>237630</v>
      </c>
      <c r="AN143" s="36">
        <v>131104</v>
      </c>
      <c r="AO143" s="39">
        <v>0.55169999999999997</v>
      </c>
    </row>
    <row r="144" spans="1:41" ht="14" x14ac:dyDescent="0.2">
      <c r="A144" s="1" t="s">
        <v>316</v>
      </c>
      <c r="B144" s="1" t="s">
        <v>428</v>
      </c>
      <c r="C144" s="1" t="s">
        <v>434</v>
      </c>
      <c r="D144" s="1" t="s">
        <v>317</v>
      </c>
      <c r="E144" s="25">
        <v>935</v>
      </c>
      <c r="F144" s="21">
        <v>251457.00068200001</v>
      </c>
      <c r="G144" s="20">
        <f t="shared" si="20"/>
        <v>142505.00043900002</v>
      </c>
      <c r="H144" s="24">
        <f t="shared" si="21"/>
        <v>0.56671717252849951</v>
      </c>
      <c r="I144" s="12">
        <v>373</v>
      </c>
      <c r="J144" s="12">
        <v>112890.000422</v>
      </c>
      <c r="K144" s="13">
        <f t="shared" si="22"/>
        <v>0.44894355741069242</v>
      </c>
      <c r="L144" s="4">
        <v>99</v>
      </c>
      <c r="M144" s="4">
        <v>27342</v>
      </c>
      <c r="N144" s="17">
        <f t="shared" si="23"/>
        <v>0.10873429622497369</v>
      </c>
      <c r="O144" s="9">
        <v>10</v>
      </c>
      <c r="P144" s="9">
        <v>2273.0000169999998</v>
      </c>
      <c r="Q144" s="18">
        <f t="shared" si="24"/>
        <v>9.0393188928333049E-3</v>
      </c>
      <c r="R144" s="36">
        <v>4896056</v>
      </c>
      <c r="S144" s="36">
        <v>3380394</v>
      </c>
      <c r="T144" s="39">
        <v>0.69040000000000001</v>
      </c>
      <c r="U144" s="36">
        <v>4795067</v>
      </c>
      <c r="V144" s="36">
        <v>3168177</v>
      </c>
      <c r="W144" s="39">
        <v>0.66069999999999995</v>
      </c>
      <c r="X144" s="36">
        <v>5042839</v>
      </c>
      <c r="Y144" s="36">
        <v>3509283</v>
      </c>
      <c r="Z144" s="39">
        <v>0.69589999999999996</v>
      </c>
      <c r="AA144" s="36">
        <v>5559306</v>
      </c>
      <c r="AB144" s="36">
        <v>2764489</v>
      </c>
      <c r="AC144" s="39">
        <v>0.49730000000000002</v>
      </c>
      <c r="AD144" s="36">
        <v>5645452</v>
      </c>
      <c r="AE144" s="36">
        <v>2555695</v>
      </c>
      <c r="AF144" s="39">
        <v>0.45269999999999999</v>
      </c>
      <c r="AG144" s="36">
        <v>3669311</v>
      </c>
      <c r="AH144" s="36">
        <v>1911100</v>
      </c>
      <c r="AI144" s="39">
        <v>0.52080000000000004</v>
      </c>
      <c r="AJ144" s="36">
        <v>287277</v>
      </c>
      <c r="AK144" s="36">
        <v>173979</v>
      </c>
      <c r="AL144" s="39">
        <v>0.60560000000000003</v>
      </c>
      <c r="AM144" s="36">
        <v>268916</v>
      </c>
      <c r="AN144" s="36">
        <v>163753</v>
      </c>
      <c r="AO144" s="39">
        <v>0.6089</v>
      </c>
    </row>
    <row r="145" spans="1:41" ht="14" x14ac:dyDescent="0.2">
      <c r="A145" s="1" t="s">
        <v>318</v>
      </c>
      <c r="B145" s="1" t="s">
        <v>428</v>
      </c>
      <c r="C145" s="1" t="s">
        <v>432</v>
      </c>
      <c r="D145" s="1" t="s">
        <v>319</v>
      </c>
      <c r="E145" s="25">
        <v>988</v>
      </c>
      <c r="F145" s="21">
        <v>225833.00083800001</v>
      </c>
      <c r="G145" s="20">
        <f t="shared" si="20"/>
        <v>96324.000252999991</v>
      </c>
      <c r="H145" s="24">
        <f t="shared" si="21"/>
        <v>0.4265275663679351</v>
      </c>
      <c r="I145" s="12">
        <v>343</v>
      </c>
      <c r="J145" s="12">
        <v>82868.000119999997</v>
      </c>
      <c r="K145" s="13">
        <f t="shared" si="22"/>
        <v>0.36694371421581951</v>
      </c>
      <c r="L145" s="4">
        <v>48</v>
      </c>
      <c r="M145" s="4">
        <v>10606.000109000001</v>
      </c>
      <c r="N145" s="17">
        <f t="shared" si="23"/>
        <v>4.6963907266184504E-2</v>
      </c>
      <c r="O145" s="9">
        <v>15</v>
      </c>
      <c r="P145" s="9">
        <v>2850.0000239999999</v>
      </c>
      <c r="Q145" s="18">
        <f t="shared" si="24"/>
        <v>1.2619944885931135E-2</v>
      </c>
      <c r="R145" s="36">
        <v>3010337</v>
      </c>
      <c r="S145" s="36">
        <v>1377490</v>
      </c>
      <c r="T145" s="39">
        <v>0.45760000000000001</v>
      </c>
      <c r="U145" s="36">
        <v>2825744</v>
      </c>
      <c r="V145" s="36">
        <v>1226949</v>
      </c>
      <c r="W145" s="39">
        <v>0.43419999999999997</v>
      </c>
      <c r="X145" s="36">
        <v>2966183</v>
      </c>
      <c r="Y145" s="36">
        <v>1596434</v>
      </c>
      <c r="Z145" s="39">
        <v>0.53820000000000001</v>
      </c>
      <c r="AA145" s="36">
        <v>2702244</v>
      </c>
      <c r="AB145" s="36">
        <v>1224885</v>
      </c>
      <c r="AC145" s="39">
        <v>0.45329999999999998</v>
      </c>
      <c r="AD145" s="36">
        <v>2356410</v>
      </c>
      <c r="AE145" s="36">
        <v>1018264</v>
      </c>
      <c r="AF145" s="39">
        <v>0.43209999999999998</v>
      </c>
      <c r="AG145" s="36">
        <v>1673508</v>
      </c>
      <c r="AH145" s="36">
        <v>837342</v>
      </c>
      <c r="AI145" s="39">
        <v>0.50039999999999996</v>
      </c>
      <c r="AJ145" s="36">
        <v>251455</v>
      </c>
      <c r="AK145" s="36">
        <v>110679</v>
      </c>
      <c r="AL145" s="39">
        <v>0.44019999999999998</v>
      </c>
      <c r="AM145" s="36">
        <v>232723</v>
      </c>
      <c r="AN145" s="36">
        <v>100315</v>
      </c>
      <c r="AO145" s="39">
        <v>0.43109999999999998</v>
      </c>
    </row>
    <row r="146" spans="1:41" ht="14" x14ac:dyDescent="0.2">
      <c r="A146" s="1" t="s">
        <v>320</v>
      </c>
      <c r="B146" s="1" t="s">
        <v>429</v>
      </c>
      <c r="C146" s="1" t="s">
        <v>432</v>
      </c>
      <c r="D146" s="1" t="s">
        <v>321</v>
      </c>
      <c r="E146" s="25">
        <v>1003</v>
      </c>
      <c r="F146" s="21">
        <v>207601.00083100001</v>
      </c>
      <c r="G146" s="20">
        <f t="shared" si="20"/>
        <v>190589.00083100001</v>
      </c>
      <c r="H146" s="24">
        <f t="shared" si="21"/>
        <v>0.91805434496026916</v>
      </c>
      <c r="I146" s="12">
        <v>829</v>
      </c>
      <c r="J146" s="12">
        <v>171075.000688</v>
      </c>
      <c r="K146" s="13">
        <f t="shared" si="22"/>
        <v>0.82405672421235376</v>
      </c>
      <c r="L146" s="4">
        <v>89</v>
      </c>
      <c r="M146" s="4">
        <v>17958.000114999999</v>
      </c>
      <c r="N146" s="17">
        <f t="shared" si="23"/>
        <v>8.6502473702518012E-2</v>
      </c>
      <c r="O146" s="9">
        <v>10</v>
      </c>
      <c r="P146" s="9">
        <v>1556.0000279999999</v>
      </c>
      <c r="Q146" s="18">
        <f t="shared" si="24"/>
        <v>7.4951470453973375E-3</v>
      </c>
      <c r="R146" s="36">
        <v>4151912</v>
      </c>
      <c r="S146" s="36">
        <v>2834898</v>
      </c>
      <c r="T146" s="39">
        <v>0.68279999999999996</v>
      </c>
      <c r="U146" s="36">
        <v>3706912</v>
      </c>
      <c r="V146" s="36">
        <v>2398101</v>
      </c>
      <c r="W146" s="39">
        <v>0.64690000000000003</v>
      </c>
      <c r="X146" s="36">
        <v>3173802</v>
      </c>
      <c r="Y146" s="36">
        <v>2102944</v>
      </c>
      <c r="Z146" s="39">
        <v>0.66259999999999997</v>
      </c>
      <c r="AA146" s="36">
        <v>3538255</v>
      </c>
      <c r="AB146" s="36">
        <v>2288123</v>
      </c>
      <c r="AC146" s="39">
        <v>0.64670000000000005</v>
      </c>
      <c r="AD146" s="36">
        <v>3201301</v>
      </c>
      <c r="AE146" s="36">
        <v>2205119</v>
      </c>
      <c r="AF146" s="39">
        <v>0.68879999999999997</v>
      </c>
      <c r="AG146" s="36">
        <v>2093972</v>
      </c>
      <c r="AH146" s="36">
        <v>1443791</v>
      </c>
      <c r="AI146" s="39">
        <v>0.6895</v>
      </c>
      <c r="AJ146" s="36">
        <v>240749</v>
      </c>
      <c r="AK146" s="36">
        <v>233295</v>
      </c>
      <c r="AL146" s="39">
        <v>0.96899999999999997</v>
      </c>
      <c r="AM146" s="36">
        <v>250079</v>
      </c>
      <c r="AN146" s="36">
        <v>236809</v>
      </c>
      <c r="AO146" s="39">
        <v>0.94689999999999996</v>
      </c>
    </row>
    <row r="147" spans="1:41" ht="14" x14ac:dyDescent="0.2">
      <c r="A147" s="1" t="s">
        <v>322</v>
      </c>
      <c r="B147" s="1" t="s">
        <v>428</v>
      </c>
      <c r="C147" s="1" t="s">
        <v>432</v>
      </c>
      <c r="D147" s="1" t="s">
        <v>323</v>
      </c>
      <c r="E147" s="25">
        <v>640</v>
      </c>
      <c r="F147" s="21">
        <v>163446.000616</v>
      </c>
      <c r="G147" s="20">
        <f t="shared" si="20"/>
        <v>95784.000610000003</v>
      </c>
      <c r="H147" s="24">
        <f t="shared" si="21"/>
        <v>0.58602841457733135</v>
      </c>
      <c r="I147" s="12">
        <v>315</v>
      </c>
      <c r="J147" s="12">
        <v>80553.000528999997</v>
      </c>
      <c r="K147" s="13">
        <f t="shared" si="22"/>
        <v>0.49284167385809091</v>
      </c>
      <c r="L147" s="4">
        <v>47</v>
      </c>
      <c r="M147" s="4">
        <v>14376.00006</v>
      </c>
      <c r="N147" s="17">
        <f t="shared" si="23"/>
        <v>8.7955655114345513E-2</v>
      </c>
      <c r="O147" s="9">
        <v>5</v>
      </c>
      <c r="P147" s="9">
        <v>855.00002099999995</v>
      </c>
      <c r="Q147" s="18">
        <f t="shared" si="24"/>
        <v>5.2310856048948962E-3</v>
      </c>
      <c r="R147" s="36">
        <v>3820057</v>
      </c>
      <c r="S147" s="36">
        <v>2038863</v>
      </c>
      <c r="T147" s="39">
        <v>0.53369999999999995</v>
      </c>
      <c r="U147" s="36">
        <v>3736844</v>
      </c>
      <c r="V147" s="36">
        <v>1936867</v>
      </c>
      <c r="W147" s="39">
        <v>0.51829999999999998</v>
      </c>
      <c r="X147" s="36">
        <v>4431379</v>
      </c>
      <c r="Y147" s="36">
        <v>2477687</v>
      </c>
      <c r="Z147" s="39">
        <v>0.55910000000000004</v>
      </c>
      <c r="AA147" s="36">
        <v>3414082</v>
      </c>
      <c r="AB147" s="36">
        <v>1601304</v>
      </c>
      <c r="AC147" s="39">
        <v>0.46899999999999997</v>
      </c>
      <c r="AD147" s="36">
        <v>3539347</v>
      </c>
      <c r="AE147" s="36">
        <v>1669127</v>
      </c>
      <c r="AF147" s="39">
        <v>0.47160000000000002</v>
      </c>
      <c r="AG147" s="36">
        <v>2211410</v>
      </c>
      <c r="AH147" s="36">
        <v>1108865</v>
      </c>
      <c r="AI147" s="39">
        <v>0.50139999999999996</v>
      </c>
      <c r="AJ147" s="36">
        <v>194927</v>
      </c>
      <c r="AK147" s="36">
        <v>126525</v>
      </c>
      <c r="AL147" s="39">
        <v>0.64910000000000001</v>
      </c>
      <c r="AM147" s="36">
        <v>224010</v>
      </c>
      <c r="AN147" s="36">
        <v>133145</v>
      </c>
      <c r="AO147" s="39">
        <v>0.59440000000000004</v>
      </c>
    </row>
    <row r="148" spans="1:41" ht="14" x14ac:dyDescent="0.2">
      <c r="A148" s="1" t="s">
        <v>324</v>
      </c>
      <c r="B148" s="1" t="s">
        <v>428</v>
      </c>
      <c r="C148" s="1" t="s">
        <v>432</v>
      </c>
      <c r="D148" s="1" t="s">
        <v>325</v>
      </c>
      <c r="E148" s="25">
        <v>967</v>
      </c>
      <c r="F148" s="21">
        <v>267992.00089999998</v>
      </c>
      <c r="G148" s="20">
        <f t="shared" si="20"/>
        <v>133513.000493</v>
      </c>
      <c r="H148" s="24">
        <f t="shared" si="21"/>
        <v>0.49819770756075582</v>
      </c>
      <c r="I148" s="12">
        <v>391</v>
      </c>
      <c r="J148" s="12">
        <v>108470.000332</v>
      </c>
      <c r="K148" s="13">
        <f t="shared" si="22"/>
        <v>0.40475088796577585</v>
      </c>
      <c r="L148" s="4">
        <v>77</v>
      </c>
      <c r="M148" s="4">
        <v>21406.000102000002</v>
      </c>
      <c r="N148" s="17">
        <f t="shared" si="23"/>
        <v>7.9875518784560867E-2</v>
      </c>
      <c r="O148" s="9">
        <v>13</v>
      </c>
      <c r="P148" s="9">
        <v>3637.000059</v>
      </c>
      <c r="Q148" s="18">
        <f t="shared" si="24"/>
        <v>1.3571300810419077E-2</v>
      </c>
      <c r="R148" s="36">
        <v>5205247</v>
      </c>
      <c r="S148" s="36">
        <v>3044109</v>
      </c>
      <c r="T148" s="39">
        <v>0.58479999999999999</v>
      </c>
      <c r="U148" s="36">
        <v>5100775</v>
      </c>
      <c r="V148" s="36">
        <v>2797083</v>
      </c>
      <c r="W148" s="39">
        <v>0.5484</v>
      </c>
      <c r="X148" s="36">
        <v>6231294</v>
      </c>
      <c r="Y148" s="36">
        <v>3384077</v>
      </c>
      <c r="Z148" s="39">
        <v>0.54310000000000003</v>
      </c>
      <c r="AA148" s="36">
        <v>5607272</v>
      </c>
      <c r="AB148" s="36">
        <v>2513439</v>
      </c>
      <c r="AC148" s="39">
        <v>0.44819999999999999</v>
      </c>
      <c r="AD148" s="36">
        <v>5699977</v>
      </c>
      <c r="AE148" s="36">
        <v>2451448</v>
      </c>
      <c r="AF148" s="39">
        <v>0.43009999999999998</v>
      </c>
      <c r="AG148" s="36">
        <v>3297359</v>
      </c>
      <c r="AH148" s="36">
        <v>1537155</v>
      </c>
      <c r="AI148" s="39">
        <v>0.4662</v>
      </c>
      <c r="AJ148" s="36">
        <v>297460</v>
      </c>
      <c r="AK148" s="36">
        <v>154428</v>
      </c>
      <c r="AL148" s="39">
        <v>0.51919999999999999</v>
      </c>
      <c r="AM148" s="36">
        <v>291141</v>
      </c>
      <c r="AN148" s="36">
        <v>144320</v>
      </c>
      <c r="AO148" s="39">
        <v>0.49569999999999997</v>
      </c>
    </row>
    <row r="149" spans="1:41" ht="14" x14ac:dyDescent="0.2">
      <c r="A149" s="1" t="s">
        <v>326</v>
      </c>
      <c r="B149" s="1" t="s">
        <v>428</v>
      </c>
      <c r="C149" s="1" t="s">
        <v>437</v>
      </c>
      <c r="D149" s="1" t="s">
        <v>327</v>
      </c>
      <c r="E149" s="25">
        <v>998</v>
      </c>
      <c r="F149" s="21">
        <v>281253.00102199998</v>
      </c>
      <c r="G149" s="20">
        <f t="shared" si="20"/>
        <v>131954.00022700001</v>
      </c>
      <c r="H149" s="24">
        <f t="shared" si="21"/>
        <v>0.4691647724558089</v>
      </c>
      <c r="I149" s="12">
        <v>398</v>
      </c>
      <c r="J149" s="12">
        <v>116994.000181</v>
      </c>
      <c r="K149" s="13">
        <f t="shared" si="22"/>
        <v>0.41597422874022444</v>
      </c>
      <c r="L149" s="4">
        <v>42</v>
      </c>
      <c r="M149" s="4">
        <v>11612.000051999999</v>
      </c>
      <c r="N149" s="17">
        <f t="shared" si="23"/>
        <v>4.1286670754818698E-2</v>
      </c>
      <c r="O149" s="9">
        <v>13</v>
      </c>
      <c r="P149" s="9">
        <v>3347.9999939999998</v>
      </c>
      <c r="Q149" s="18">
        <f t="shared" si="24"/>
        <v>1.1903872960765723E-2</v>
      </c>
      <c r="R149" s="36">
        <v>2612974</v>
      </c>
      <c r="S149" s="36">
        <v>1743874</v>
      </c>
      <c r="T149" s="39">
        <v>0.66739999999999999</v>
      </c>
      <c r="U149" s="36">
        <v>2605277</v>
      </c>
      <c r="V149" s="36">
        <v>1557936</v>
      </c>
      <c r="W149" s="39">
        <v>0.59799999999999998</v>
      </c>
      <c r="X149" s="36">
        <v>3325889</v>
      </c>
      <c r="Y149" s="36">
        <v>2011405</v>
      </c>
      <c r="Z149" s="39">
        <v>0.6048</v>
      </c>
      <c r="AA149" s="36">
        <v>2664323</v>
      </c>
      <c r="AB149" s="36">
        <v>1330810</v>
      </c>
      <c r="AC149" s="39">
        <v>0.4995</v>
      </c>
      <c r="AD149" s="36">
        <v>2618378</v>
      </c>
      <c r="AE149" s="36">
        <v>1227032</v>
      </c>
      <c r="AF149" s="39">
        <v>0.46860000000000002</v>
      </c>
      <c r="AG149" s="36">
        <v>1770011</v>
      </c>
      <c r="AH149" s="36">
        <v>916421</v>
      </c>
      <c r="AI149" s="39">
        <v>0.51770000000000005</v>
      </c>
      <c r="AJ149" s="36">
        <v>303606</v>
      </c>
      <c r="AK149" s="36">
        <v>154208</v>
      </c>
      <c r="AL149" s="39">
        <v>0.50790000000000002</v>
      </c>
      <c r="AM149" s="36">
        <v>267633</v>
      </c>
      <c r="AN149" s="36">
        <v>131700</v>
      </c>
      <c r="AO149" s="39">
        <v>0.49209999999999998</v>
      </c>
    </row>
    <row r="150" spans="1:41" ht="14" x14ac:dyDescent="0.2">
      <c r="A150" s="1" t="s">
        <v>328</v>
      </c>
      <c r="B150" s="1" t="s">
        <v>429</v>
      </c>
      <c r="C150" s="1" t="s">
        <v>432</v>
      </c>
      <c r="D150" s="1" t="s">
        <v>329</v>
      </c>
      <c r="E150" s="25">
        <v>1043</v>
      </c>
      <c r="F150" s="21">
        <v>280204.00109600002</v>
      </c>
      <c r="G150" s="20">
        <f t="shared" si="20"/>
        <v>237812.000894</v>
      </c>
      <c r="H150" s="24">
        <f t="shared" si="21"/>
        <v>0.84871022527806017</v>
      </c>
      <c r="I150" s="12">
        <v>817</v>
      </c>
      <c r="J150" s="12">
        <v>210017.000803</v>
      </c>
      <c r="K150" s="13">
        <f t="shared" si="22"/>
        <v>0.74951463926828998</v>
      </c>
      <c r="L150" s="4">
        <v>75</v>
      </c>
      <c r="M150" s="4">
        <v>22096.000136999999</v>
      </c>
      <c r="N150" s="17">
        <f t="shared" si="23"/>
        <v>7.8856833059388551E-2</v>
      </c>
      <c r="O150" s="9">
        <v>26</v>
      </c>
      <c r="P150" s="9">
        <v>5698.9999539999999</v>
      </c>
      <c r="Q150" s="18">
        <f t="shared" si="24"/>
        <v>2.0338752950381601E-2</v>
      </c>
      <c r="R150" s="36">
        <v>4272447</v>
      </c>
      <c r="S150" s="36">
        <v>2984413</v>
      </c>
      <c r="T150" s="39">
        <v>0.69850000000000001</v>
      </c>
      <c r="U150" s="36">
        <v>3886953</v>
      </c>
      <c r="V150" s="36">
        <v>2692894</v>
      </c>
      <c r="W150" s="39">
        <v>0.69279999999999997</v>
      </c>
      <c r="X150" s="36">
        <v>4045748</v>
      </c>
      <c r="Y150" s="36">
        <v>2982667</v>
      </c>
      <c r="Z150" s="39">
        <v>0.73719999999999997</v>
      </c>
      <c r="AA150" s="36">
        <v>3516480</v>
      </c>
      <c r="AB150" s="36">
        <v>2123435</v>
      </c>
      <c r="AC150" s="39">
        <v>0.60389999999999999</v>
      </c>
      <c r="AD150" s="36">
        <v>3224310</v>
      </c>
      <c r="AE150" s="36">
        <v>2146134</v>
      </c>
      <c r="AF150" s="39">
        <v>0.66559999999999997</v>
      </c>
      <c r="AG150" s="36">
        <v>2405818</v>
      </c>
      <c r="AH150" s="36">
        <v>1785786</v>
      </c>
      <c r="AI150" s="39">
        <v>0.74229999999999996</v>
      </c>
      <c r="AJ150" s="36">
        <v>316354</v>
      </c>
      <c r="AK150" s="36">
        <v>303247</v>
      </c>
      <c r="AL150" s="39">
        <v>0.95860000000000001</v>
      </c>
      <c r="AM150" s="36">
        <v>265063</v>
      </c>
      <c r="AN150" s="36">
        <v>247967</v>
      </c>
      <c r="AO150" s="39">
        <v>0.9355</v>
      </c>
    </row>
    <row r="151" spans="1:41" ht="14" x14ac:dyDescent="0.2">
      <c r="A151" s="1" t="s">
        <v>330</v>
      </c>
      <c r="B151" s="1" t="s">
        <v>429</v>
      </c>
      <c r="C151" s="1" t="s">
        <v>432</v>
      </c>
      <c r="D151" s="1" t="s">
        <v>331</v>
      </c>
      <c r="E151" s="25">
        <v>1078</v>
      </c>
      <c r="F151" s="21">
        <v>283083.00091599999</v>
      </c>
      <c r="G151" s="20">
        <f t="shared" si="20"/>
        <v>253232.000696</v>
      </c>
      <c r="H151" s="24">
        <f t="shared" si="21"/>
        <v>0.89455036111879516</v>
      </c>
      <c r="I151" s="12">
        <v>882</v>
      </c>
      <c r="J151" s="12">
        <v>226803.00060999999</v>
      </c>
      <c r="K151" s="13">
        <f t="shared" si="22"/>
        <v>0.80118905012350028</v>
      </c>
      <c r="L151" s="4">
        <v>84</v>
      </c>
      <c r="M151" s="4">
        <v>23006.000109000001</v>
      </c>
      <c r="N151" s="17">
        <f t="shared" si="23"/>
        <v>8.1269451131142395E-2</v>
      </c>
      <c r="O151" s="9">
        <v>15</v>
      </c>
      <c r="P151" s="9">
        <v>3422.9999769999999</v>
      </c>
      <c r="Q151" s="18">
        <f t="shared" si="24"/>
        <v>1.2091859864152409E-2</v>
      </c>
      <c r="R151" s="36">
        <v>5786965</v>
      </c>
      <c r="S151" s="36">
        <v>3543481</v>
      </c>
      <c r="T151" s="39">
        <v>0.61229999999999996</v>
      </c>
      <c r="U151" s="36">
        <v>5632865</v>
      </c>
      <c r="V151" s="36">
        <v>3338212</v>
      </c>
      <c r="W151" s="39">
        <v>0.59260000000000002</v>
      </c>
      <c r="X151" s="36">
        <v>6147947</v>
      </c>
      <c r="Y151" s="36">
        <v>4196827</v>
      </c>
      <c r="Z151" s="39">
        <v>0.68259999999999998</v>
      </c>
      <c r="AA151" s="36">
        <v>4977458</v>
      </c>
      <c r="AB151" s="36">
        <v>2903634</v>
      </c>
      <c r="AC151" s="39">
        <v>0.58340000000000003</v>
      </c>
      <c r="AD151" s="36">
        <v>4611025</v>
      </c>
      <c r="AE151" s="36">
        <v>2880661</v>
      </c>
      <c r="AF151" s="39">
        <v>0.62470000000000003</v>
      </c>
      <c r="AG151" s="36">
        <v>2580909</v>
      </c>
      <c r="AH151" s="36">
        <v>1811406</v>
      </c>
      <c r="AI151" s="39">
        <v>0.70179999999999998</v>
      </c>
      <c r="AJ151" s="36">
        <v>311702</v>
      </c>
      <c r="AK151" s="36">
        <v>305654</v>
      </c>
      <c r="AL151" s="39">
        <v>0.98060000000000003</v>
      </c>
      <c r="AM151" s="36">
        <v>328798</v>
      </c>
      <c r="AN151" s="36">
        <v>317447</v>
      </c>
      <c r="AO151" s="39">
        <v>0.96550000000000002</v>
      </c>
    </row>
    <row r="152" spans="1:41" ht="14" x14ac:dyDescent="0.2">
      <c r="A152" s="1" t="s">
        <v>332</v>
      </c>
      <c r="B152" s="1" t="s">
        <v>428</v>
      </c>
      <c r="C152" s="1" t="s">
        <v>437</v>
      </c>
      <c r="D152" s="1" t="s">
        <v>333</v>
      </c>
      <c r="E152" s="25">
        <v>813</v>
      </c>
      <c r="F152" s="21">
        <v>183516.00070199999</v>
      </c>
      <c r="G152" s="20">
        <f t="shared" si="20"/>
        <v>103963.000296</v>
      </c>
      <c r="H152" s="24">
        <f t="shared" si="21"/>
        <v>0.56650646209765065</v>
      </c>
      <c r="I152" s="12">
        <v>379</v>
      </c>
      <c r="J152" s="12">
        <v>81532.000081999999</v>
      </c>
      <c r="K152" s="13">
        <f t="shared" si="22"/>
        <v>0.44427733696308391</v>
      </c>
      <c r="L152" s="4">
        <v>79</v>
      </c>
      <c r="M152" s="4">
        <v>19148.000164000001</v>
      </c>
      <c r="N152" s="17">
        <f t="shared" si="23"/>
        <v>0.10433967659906247</v>
      </c>
      <c r="O152" s="9">
        <v>20</v>
      </c>
      <c r="P152" s="9">
        <v>3283.0000500000001</v>
      </c>
      <c r="Q152" s="18">
        <f t="shared" si="24"/>
        <v>1.7889448535504303E-2</v>
      </c>
      <c r="R152" s="36">
        <v>2573762</v>
      </c>
      <c r="S152" s="36">
        <v>1764889</v>
      </c>
      <c r="T152" s="39">
        <v>0.68569999999999998</v>
      </c>
      <c r="U152" s="36">
        <v>2535828</v>
      </c>
      <c r="V152" s="36">
        <v>1704319</v>
      </c>
      <c r="W152" s="39">
        <v>0.67210000000000003</v>
      </c>
      <c r="X152" s="36">
        <v>2408828</v>
      </c>
      <c r="Y152" s="36">
        <v>1705075</v>
      </c>
      <c r="Z152" s="39">
        <v>0.70779999999999998</v>
      </c>
      <c r="AA152" s="36">
        <v>2105978</v>
      </c>
      <c r="AB152" s="36">
        <v>1248178</v>
      </c>
      <c r="AC152" s="39">
        <v>0.5927</v>
      </c>
      <c r="AD152" s="36">
        <v>2073782</v>
      </c>
      <c r="AE152" s="36">
        <v>1150976</v>
      </c>
      <c r="AF152" s="39">
        <v>0.55500000000000005</v>
      </c>
      <c r="AG152" s="36">
        <v>1452387</v>
      </c>
      <c r="AH152" s="36">
        <v>860950</v>
      </c>
      <c r="AI152" s="39">
        <v>0.59279999999999999</v>
      </c>
      <c r="AJ152" s="36">
        <v>197067</v>
      </c>
      <c r="AK152" s="36">
        <v>117612</v>
      </c>
      <c r="AL152" s="39">
        <v>0.5968</v>
      </c>
      <c r="AM152" s="36">
        <v>190838</v>
      </c>
      <c r="AN152" s="36">
        <v>111061</v>
      </c>
      <c r="AO152" s="39">
        <v>0.58199999999999996</v>
      </c>
    </row>
    <row r="153" spans="1:41" ht="14" x14ac:dyDescent="0.2">
      <c r="A153" s="1" t="s">
        <v>334</v>
      </c>
      <c r="B153" s="1" t="s">
        <v>428</v>
      </c>
      <c r="C153" s="1" t="s">
        <v>434</v>
      </c>
      <c r="D153" s="1" t="s">
        <v>335</v>
      </c>
      <c r="E153" s="25">
        <v>972</v>
      </c>
      <c r="F153" s="21">
        <v>242502.00063200001</v>
      </c>
      <c r="G153" s="20">
        <f t="shared" si="20"/>
        <v>148811.00050100003</v>
      </c>
      <c r="H153" s="24">
        <f t="shared" si="21"/>
        <v>0.61364854769517008</v>
      </c>
      <c r="I153" s="12">
        <v>491</v>
      </c>
      <c r="J153" s="12">
        <v>119608.000415</v>
      </c>
      <c r="K153" s="13">
        <f t="shared" si="22"/>
        <v>0.49322479857189599</v>
      </c>
      <c r="L153" s="4">
        <v>91</v>
      </c>
      <c r="M153" s="4">
        <v>27015.000023000001</v>
      </c>
      <c r="N153" s="17">
        <f t="shared" si="23"/>
        <v>0.11140114288787094</v>
      </c>
      <c r="O153" s="9">
        <v>10</v>
      </c>
      <c r="P153" s="9">
        <v>2188.000063</v>
      </c>
      <c r="Q153" s="18">
        <f t="shared" si="24"/>
        <v>9.0226062354030589E-3</v>
      </c>
      <c r="R153" s="36">
        <v>4136287</v>
      </c>
      <c r="S153" s="36">
        <v>2450705</v>
      </c>
      <c r="T153" s="39">
        <v>0.59250000000000003</v>
      </c>
      <c r="U153" s="36">
        <v>4160750</v>
      </c>
      <c r="V153" s="36">
        <v>2374413</v>
      </c>
      <c r="W153" s="39">
        <v>0.57069999999999999</v>
      </c>
      <c r="X153" s="36">
        <v>4863000</v>
      </c>
      <c r="Y153" s="36">
        <v>2919175</v>
      </c>
      <c r="Z153" s="39">
        <v>0.60029999999999994</v>
      </c>
      <c r="AA153" s="36">
        <v>4059467</v>
      </c>
      <c r="AB153" s="36">
        <v>2045207</v>
      </c>
      <c r="AC153" s="39">
        <v>0.50380000000000003</v>
      </c>
      <c r="AD153" s="36">
        <v>3670416</v>
      </c>
      <c r="AE153" s="36">
        <v>1852971</v>
      </c>
      <c r="AF153" s="39">
        <v>0.50480000000000003</v>
      </c>
      <c r="AG153" s="36">
        <v>2458306</v>
      </c>
      <c r="AH153" s="36">
        <v>1399869</v>
      </c>
      <c r="AI153" s="39">
        <v>0.56940000000000002</v>
      </c>
      <c r="AJ153" s="36">
        <v>273032</v>
      </c>
      <c r="AK153" s="36">
        <v>178889</v>
      </c>
      <c r="AL153" s="39">
        <v>0.6552</v>
      </c>
      <c r="AM153" s="36">
        <v>239829</v>
      </c>
      <c r="AN153" s="36">
        <v>164151</v>
      </c>
      <c r="AO153" s="39">
        <v>0.6845</v>
      </c>
    </row>
    <row r="154" spans="1:41" ht="14" x14ac:dyDescent="0.2">
      <c r="A154" s="1" t="s">
        <v>336</v>
      </c>
      <c r="B154" s="1" t="s">
        <v>428</v>
      </c>
      <c r="C154" s="1" t="s">
        <v>434</v>
      </c>
      <c r="D154" s="1" t="s">
        <v>337</v>
      </c>
      <c r="E154" s="25">
        <v>945</v>
      </c>
      <c r="F154" s="21">
        <v>222618.00086900001</v>
      </c>
      <c r="G154" s="20">
        <f t="shared" si="20"/>
        <v>123594.00044</v>
      </c>
      <c r="H154" s="24">
        <f t="shared" si="21"/>
        <v>0.55518421671897566</v>
      </c>
      <c r="I154" s="12">
        <v>421</v>
      </c>
      <c r="J154" s="12">
        <v>101700.00039</v>
      </c>
      <c r="K154" s="13">
        <f t="shared" si="22"/>
        <v>0.4568363743857603</v>
      </c>
      <c r="L154" s="4">
        <v>78</v>
      </c>
      <c r="M154" s="4">
        <v>18830.999997999999</v>
      </c>
      <c r="N154" s="17">
        <f t="shared" si="23"/>
        <v>8.4588846923843941E-2</v>
      </c>
      <c r="O154" s="9">
        <v>14</v>
      </c>
      <c r="P154" s="9">
        <v>3063.0000519999999</v>
      </c>
      <c r="Q154" s="18">
        <f t="shared" si="24"/>
        <v>1.3758995409371358E-2</v>
      </c>
      <c r="R154" s="36">
        <v>4093804</v>
      </c>
      <c r="S154" s="36">
        <v>2124131</v>
      </c>
      <c r="T154" s="39">
        <v>0.51890000000000003</v>
      </c>
      <c r="U154" s="36">
        <v>4194289</v>
      </c>
      <c r="V154" s="36">
        <v>2091421</v>
      </c>
      <c r="W154" s="39">
        <v>0.49859999999999999</v>
      </c>
      <c r="X154" s="36">
        <v>4388788</v>
      </c>
      <c r="Y154" s="36">
        <v>2285271</v>
      </c>
      <c r="Z154" s="39">
        <v>0.52070000000000005</v>
      </c>
      <c r="AA154" s="36">
        <v>3619328</v>
      </c>
      <c r="AB154" s="36">
        <v>1740530</v>
      </c>
      <c r="AC154" s="39">
        <v>0.48089999999999999</v>
      </c>
      <c r="AD154" s="36">
        <v>3462516</v>
      </c>
      <c r="AE154" s="36">
        <v>1621738</v>
      </c>
      <c r="AF154" s="39">
        <v>0.46839999999999998</v>
      </c>
      <c r="AG154" s="36">
        <v>2317352</v>
      </c>
      <c r="AH154" s="36">
        <v>1194709</v>
      </c>
      <c r="AI154" s="39">
        <v>0.51549999999999996</v>
      </c>
      <c r="AJ154" s="36">
        <v>257900</v>
      </c>
      <c r="AK154" s="36">
        <v>156632</v>
      </c>
      <c r="AL154" s="39">
        <v>0.60729999999999995</v>
      </c>
      <c r="AM154" s="36">
        <v>247152</v>
      </c>
      <c r="AN154" s="36">
        <v>150921</v>
      </c>
      <c r="AO154" s="39">
        <v>0.61060000000000003</v>
      </c>
    </row>
    <row r="155" spans="1:41" ht="14" x14ac:dyDescent="0.2">
      <c r="A155" s="1" t="s">
        <v>338</v>
      </c>
      <c r="B155" s="1" t="s">
        <v>428</v>
      </c>
      <c r="C155" s="1" t="s">
        <v>434</v>
      </c>
      <c r="D155" s="1" t="s">
        <v>339</v>
      </c>
      <c r="E155" s="25">
        <v>742</v>
      </c>
      <c r="F155" s="21">
        <v>205952.00081600001</v>
      </c>
      <c r="G155" s="20">
        <f t="shared" si="20"/>
        <v>110940.00026299999</v>
      </c>
      <c r="H155" s="24">
        <f t="shared" si="21"/>
        <v>0.53866920361757065</v>
      </c>
      <c r="I155" s="12">
        <v>327</v>
      </c>
      <c r="J155" s="12">
        <v>93525.000249999997</v>
      </c>
      <c r="K155" s="13">
        <f t="shared" si="22"/>
        <v>0.45411066597773114</v>
      </c>
      <c r="L155" s="4">
        <v>63</v>
      </c>
      <c r="M155" s="4">
        <v>14621.999963</v>
      </c>
      <c r="N155" s="17">
        <f t="shared" si="23"/>
        <v>7.0997125082865639E-2</v>
      </c>
      <c r="O155" s="9">
        <v>15</v>
      </c>
      <c r="P155" s="9">
        <v>2793.0000500000001</v>
      </c>
      <c r="Q155" s="18">
        <f t="shared" si="24"/>
        <v>1.3561412556973892E-2</v>
      </c>
      <c r="R155" s="36">
        <v>4020157</v>
      </c>
      <c r="S155" s="36">
        <v>2361892</v>
      </c>
      <c r="T155" s="39">
        <v>0.58750000000000002</v>
      </c>
      <c r="U155" s="36">
        <v>3681681</v>
      </c>
      <c r="V155" s="36">
        <v>2081440</v>
      </c>
      <c r="W155" s="39">
        <v>0.56540000000000001</v>
      </c>
      <c r="X155" s="36">
        <v>4048369</v>
      </c>
      <c r="Y155" s="36">
        <v>2400363</v>
      </c>
      <c r="Z155" s="39">
        <v>0.59289999999999998</v>
      </c>
      <c r="AA155" s="36">
        <v>3259492</v>
      </c>
      <c r="AB155" s="36">
        <v>1724592</v>
      </c>
      <c r="AC155" s="39">
        <v>0.52910000000000001</v>
      </c>
      <c r="AD155" s="36">
        <v>3134454</v>
      </c>
      <c r="AE155" s="36">
        <v>1673608</v>
      </c>
      <c r="AF155" s="39">
        <v>0.53390000000000004</v>
      </c>
      <c r="AG155" s="36">
        <v>2121480</v>
      </c>
      <c r="AH155" s="36">
        <v>1212451</v>
      </c>
      <c r="AI155" s="39">
        <v>0.57150000000000001</v>
      </c>
      <c r="AJ155" s="36">
        <v>227926</v>
      </c>
      <c r="AK155" s="36">
        <v>136513</v>
      </c>
      <c r="AL155" s="39">
        <v>0.59889999999999999</v>
      </c>
      <c r="AM155" s="36">
        <v>215495</v>
      </c>
      <c r="AN155" s="36">
        <v>130200</v>
      </c>
      <c r="AO155" s="39">
        <v>0.60419999999999996</v>
      </c>
    </row>
    <row r="156" spans="1:41" ht="14" x14ac:dyDescent="0.2">
      <c r="A156" s="1" t="s">
        <v>340</v>
      </c>
      <c r="B156" s="1" t="s">
        <v>428</v>
      </c>
      <c r="C156" s="1" t="s">
        <v>434</v>
      </c>
      <c r="D156" s="1" t="s">
        <v>341</v>
      </c>
      <c r="E156" s="25">
        <v>977</v>
      </c>
      <c r="F156" s="21">
        <v>205311.00038300001</v>
      </c>
      <c r="G156" s="20">
        <f t="shared" si="20"/>
        <v>114568.00009999999</v>
      </c>
      <c r="H156" s="24">
        <f t="shared" si="21"/>
        <v>0.55802173232938157</v>
      </c>
      <c r="I156" s="12">
        <v>421</v>
      </c>
      <c r="J156" s="12">
        <v>92886.000004999994</v>
      </c>
      <c r="K156" s="13">
        <f t="shared" si="22"/>
        <v>0.45241608989155296</v>
      </c>
      <c r="L156" s="4">
        <v>75</v>
      </c>
      <c r="M156" s="4">
        <v>19610.000114999999</v>
      </c>
      <c r="N156" s="17">
        <f t="shared" si="23"/>
        <v>9.5513635793592525E-2</v>
      </c>
      <c r="O156" s="9">
        <v>9</v>
      </c>
      <c r="P156" s="9">
        <v>2071.9999800000001</v>
      </c>
      <c r="Q156" s="18">
        <f t="shared" si="24"/>
        <v>1.0092006644236116E-2</v>
      </c>
      <c r="R156" s="36">
        <v>3792378</v>
      </c>
      <c r="S156" s="36">
        <v>2082060</v>
      </c>
      <c r="T156" s="39">
        <v>0.54900000000000004</v>
      </c>
      <c r="U156" s="36">
        <v>3632521</v>
      </c>
      <c r="V156" s="36">
        <v>1958963</v>
      </c>
      <c r="W156" s="39">
        <v>0.5393</v>
      </c>
      <c r="X156" s="36">
        <v>3337918</v>
      </c>
      <c r="Y156" s="36">
        <v>1846446</v>
      </c>
      <c r="Z156" s="39">
        <v>0.55320000000000003</v>
      </c>
      <c r="AA156" s="36">
        <v>3102159</v>
      </c>
      <c r="AB156" s="36">
        <v>1541220</v>
      </c>
      <c r="AC156" s="39">
        <v>0.49680000000000002</v>
      </c>
      <c r="AD156" s="36">
        <v>2956798</v>
      </c>
      <c r="AE156" s="36">
        <v>1478772</v>
      </c>
      <c r="AF156" s="39">
        <v>0.50009999999999999</v>
      </c>
      <c r="AG156" s="36">
        <v>2017690</v>
      </c>
      <c r="AH156" s="36">
        <v>1084779</v>
      </c>
      <c r="AI156" s="39">
        <v>0.53759999999999997</v>
      </c>
      <c r="AJ156" s="36">
        <v>234936</v>
      </c>
      <c r="AK156" s="36">
        <v>133597</v>
      </c>
      <c r="AL156" s="39">
        <v>0.56869999999999998</v>
      </c>
      <c r="AM156" s="36">
        <v>210275</v>
      </c>
      <c r="AN156" s="36">
        <v>124752</v>
      </c>
      <c r="AO156" s="39">
        <v>0.59330000000000005</v>
      </c>
    </row>
    <row r="157" spans="1:41" ht="14" x14ac:dyDescent="0.2">
      <c r="A157" s="1" t="s">
        <v>342</v>
      </c>
      <c r="B157" s="1" t="s">
        <v>428</v>
      </c>
      <c r="C157" s="1" t="s">
        <v>434</v>
      </c>
      <c r="D157" s="1" t="s">
        <v>343</v>
      </c>
      <c r="E157" s="25">
        <v>1449</v>
      </c>
      <c r="F157" s="21">
        <v>323934.00063899998</v>
      </c>
      <c r="G157" s="20">
        <f t="shared" si="20"/>
        <v>154342.00046499999</v>
      </c>
      <c r="H157" s="24">
        <f t="shared" si="21"/>
        <v>0.47646125494866626</v>
      </c>
      <c r="I157" s="12">
        <v>548</v>
      </c>
      <c r="J157" s="12">
        <v>128467.000287</v>
      </c>
      <c r="K157" s="13">
        <f t="shared" si="22"/>
        <v>0.39658387212698548</v>
      </c>
      <c r="L157" s="4">
        <v>114</v>
      </c>
      <c r="M157" s="4">
        <v>24730.000177999998</v>
      </c>
      <c r="N157" s="17">
        <f t="shared" si="23"/>
        <v>7.6342712185868133E-2</v>
      </c>
      <c r="O157" s="9">
        <v>8</v>
      </c>
      <c r="P157" s="9">
        <v>1145</v>
      </c>
      <c r="Q157" s="18">
        <f t="shared" si="24"/>
        <v>3.5346706358126826E-3</v>
      </c>
      <c r="R157" s="36">
        <v>3354141</v>
      </c>
      <c r="S157" s="36">
        <v>1874461</v>
      </c>
      <c r="T157" s="39">
        <v>0.55879999999999996</v>
      </c>
      <c r="U157" s="36">
        <v>4491786</v>
      </c>
      <c r="V157" s="36">
        <v>2410027</v>
      </c>
      <c r="W157" s="39">
        <v>0.53649999999999998</v>
      </c>
      <c r="X157" s="36">
        <v>4347984</v>
      </c>
      <c r="Y157" s="36">
        <v>2406541</v>
      </c>
      <c r="Z157" s="39">
        <v>0.55349999999999999</v>
      </c>
      <c r="AA157" s="36">
        <v>4181733</v>
      </c>
      <c r="AB157" s="36">
        <v>1994186</v>
      </c>
      <c r="AC157" s="39">
        <v>0.47689999999999999</v>
      </c>
      <c r="AD157" s="36">
        <v>3913271</v>
      </c>
      <c r="AE157" s="36">
        <v>1819430</v>
      </c>
      <c r="AF157" s="39">
        <v>0.46489999999999998</v>
      </c>
      <c r="AG157" s="36">
        <v>2671029</v>
      </c>
      <c r="AH157" s="36">
        <v>1377717</v>
      </c>
      <c r="AI157" s="39">
        <v>0.51580000000000004</v>
      </c>
      <c r="AJ157" s="36">
        <v>373397</v>
      </c>
      <c r="AK157" s="36">
        <v>192237</v>
      </c>
      <c r="AL157" s="39">
        <v>0.51480000000000004</v>
      </c>
      <c r="AM157" s="36">
        <v>346452</v>
      </c>
      <c r="AN157" s="36">
        <v>175923</v>
      </c>
      <c r="AO157" s="39">
        <v>0.50780000000000003</v>
      </c>
    </row>
    <row r="158" spans="1:41" ht="14" x14ac:dyDescent="0.2">
      <c r="A158" s="1" t="s">
        <v>344</v>
      </c>
      <c r="B158" s="1" t="s">
        <v>428</v>
      </c>
      <c r="C158" s="1" t="s">
        <v>432</v>
      </c>
      <c r="D158" s="1" t="s">
        <v>345</v>
      </c>
      <c r="E158" s="25">
        <v>721</v>
      </c>
      <c r="F158" s="21">
        <v>207152.00069300001</v>
      </c>
      <c r="G158" s="20">
        <f t="shared" si="20"/>
        <v>117405.000325</v>
      </c>
      <c r="H158" s="24">
        <f t="shared" si="21"/>
        <v>0.56675774277939328</v>
      </c>
      <c r="I158" s="12">
        <v>348</v>
      </c>
      <c r="J158" s="12">
        <v>100872.000269</v>
      </c>
      <c r="K158" s="13">
        <f t="shared" si="22"/>
        <v>0.48694678270808811</v>
      </c>
      <c r="L158" s="4">
        <v>53</v>
      </c>
      <c r="M158" s="4">
        <v>15026.000013999999</v>
      </c>
      <c r="N158" s="17">
        <f t="shared" si="23"/>
        <v>7.253610857598515E-2</v>
      </c>
      <c r="O158" s="9">
        <v>5</v>
      </c>
      <c r="P158" s="9">
        <v>1507.0000419999999</v>
      </c>
      <c r="Q158" s="18">
        <f t="shared" si="24"/>
        <v>7.2748514953199957E-3</v>
      </c>
      <c r="R158" s="36">
        <v>4791533</v>
      </c>
      <c r="S158" s="36">
        <v>2649729</v>
      </c>
      <c r="T158" s="39">
        <v>0.55300000000000005</v>
      </c>
      <c r="U158" s="36">
        <v>4548843</v>
      </c>
      <c r="V158" s="36">
        <v>2286049</v>
      </c>
      <c r="W158" s="39">
        <v>0.50260000000000005</v>
      </c>
      <c r="X158" s="36">
        <v>5060535</v>
      </c>
      <c r="Y158" s="36">
        <v>2651493</v>
      </c>
      <c r="Z158" s="39">
        <v>0.52400000000000002</v>
      </c>
      <c r="AA158" s="36">
        <v>4077303</v>
      </c>
      <c r="AB158" s="36">
        <v>1858156</v>
      </c>
      <c r="AC158" s="39">
        <v>0.45569999999999999</v>
      </c>
      <c r="AD158" s="36">
        <v>3937182</v>
      </c>
      <c r="AE158" s="36">
        <v>1828773</v>
      </c>
      <c r="AF158" s="39">
        <v>0.46450000000000002</v>
      </c>
      <c r="AG158" s="36">
        <v>2802768</v>
      </c>
      <c r="AH158" s="36">
        <v>1426522</v>
      </c>
      <c r="AI158" s="39">
        <v>0.50900000000000001</v>
      </c>
      <c r="AJ158" s="36">
        <v>226790</v>
      </c>
      <c r="AK158" s="36">
        <v>145342</v>
      </c>
      <c r="AL158" s="39">
        <v>0.64090000000000003</v>
      </c>
      <c r="AM158" s="36">
        <v>204995</v>
      </c>
      <c r="AN158" s="36">
        <v>127525</v>
      </c>
      <c r="AO158" s="39">
        <v>0.62209999999999999</v>
      </c>
    </row>
    <row r="159" spans="1:41" ht="14" x14ac:dyDescent="0.2">
      <c r="A159" s="1" t="s">
        <v>346</v>
      </c>
      <c r="B159" s="1" t="s">
        <v>429</v>
      </c>
      <c r="C159" s="1" t="s">
        <v>432</v>
      </c>
      <c r="D159" s="1" t="s">
        <v>347</v>
      </c>
      <c r="E159" s="25">
        <v>1366</v>
      </c>
      <c r="F159" s="21">
        <v>304544.00115999999</v>
      </c>
      <c r="G159" s="20">
        <f t="shared" si="20"/>
        <v>288925.00116700004</v>
      </c>
      <c r="H159" s="24">
        <f t="shared" si="21"/>
        <v>0.94871348661110511</v>
      </c>
      <c r="I159" s="12">
        <v>1136</v>
      </c>
      <c r="J159" s="12">
        <v>251036.00092300001</v>
      </c>
      <c r="K159" s="13">
        <f t="shared" si="22"/>
        <v>0.82430125028505097</v>
      </c>
      <c r="L159" s="4">
        <v>147</v>
      </c>
      <c r="M159" s="4">
        <v>34433.000228999997</v>
      </c>
      <c r="N159" s="17">
        <f t="shared" si="23"/>
        <v>0.11306412241858523</v>
      </c>
      <c r="O159" s="9">
        <v>16</v>
      </c>
      <c r="P159" s="9">
        <v>3456.0000150000001</v>
      </c>
      <c r="Q159" s="18">
        <f t="shared" si="24"/>
        <v>1.1348113907468833E-2</v>
      </c>
      <c r="R159" s="36">
        <v>4832309</v>
      </c>
      <c r="S159" s="36">
        <v>3601999</v>
      </c>
      <c r="T159" s="39">
        <v>0.74539999999999995</v>
      </c>
      <c r="U159" s="36">
        <v>4344389</v>
      </c>
      <c r="V159" s="36">
        <v>3226707</v>
      </c>
      <c r="W159" s="39">
        <v>0.74270000000000003</v>
      </c>
      <c r="X159" s="36">
        <v>4172528</v>
      </c>
      <c r="Y159" s="36">
        <v>2935119</v>
      </c>
      <c r="Z159" s="39">
        <v>0.70340000000000003</v>
      </c>
      <c r="AA159" s="36">
        <v>4550126</v>
      </c>
      <c r="AB159" s="36">
        <v>2792691</v>
      </c>
      <c r="AC159" s="39">
        <v>0.61380000000000001</v>
      </c>
      <c r="AD159" s="36">
        <v>3922076</v>
      </c>
      <c r="AE159" s="36">
        <v>2607771</v>
      </c>
      <c r="AF159" s="39">
        <v>0.66490000000000005</v>
      </c>
      <c r="AG159" s="36">
        <v>2777028</v>
      </c>
      <c r="AH159" s="36">
        <v>1911180</v>
      </c>
      <c r="AI159" s="39">
        <v>0.68820000000000003</v>
      </c>
      <c r="AJ159" s="36">
        <v>340214</v>
      </c>
      <c r="AK159" s="36">
        <v>326939</v>
      </c>
      <c r="AL159" s="39">
        <v>0.96099999999999997</v>
      </c>
      <c r="AM159" s="36">
        <v>329844</v>
      </c>
      <c r="AN159" s="36">
        <v>316300</v>
      </c>
      <c r="AO159" s="39">
        <v>0.95889999999999997</v>
      </c>
    </row>
    <row r="160" spans="1:41" ht="14" x14ac:dyDescent="0.2">
      <c r="A160" s="1" t="s">
        <v>348</v>
      </c>
      <c r="B160" s="1" t="s">
        <v>429</v>
      </c>
      <c r="C160" s="1" t="s">
        <v>432</v>
      </c>
      <c r="D160" s="1" t="s">
        <v>349</v>
      </c>
      <c r="E160" s="25">
        <v>1124</v>
      </c>
      <c r="F160" s="21">
        <v>289540.00034999999</v>
      </c>
      <c r="G160" s="20">
        <f t="shared" si="20"/>
        <v>267420.00021600001</v>
      </c>
      <c r="H160" s="24">
        <f t="shared" si="21"/>
        <v>0.92360295604316844</v>
      </c>
      <c r="I160" s="12">
        <v>965</v>
      </c>
      <c r="J160" s="12">
        <v>240761.000226</v>
      </c>
      <c r="K160" s="13">
        <f t="shared" si="22"/>
        <v>0.83152932214880415</v>
      </c>
      <c r="L160" s="4">
        <v>86</v>
      </c>
      <c r="M160" s="4">
        <v>24274.999995999999</v>
      </c>
      <c r="N160" s="17">
        <f t="shared" si="23"/>
        <v>8.3839883838696005E-2</v>
      </c>
      <c r="O160" s="9">
        <v>10</v>
      </c>
      <c r="P160" s="9">
        <v>2383.9999939999998</v>
      </c>
      <c r="Q160" s="18">
        <f t="shared" si="24"/>
        <v>8.2337500556682579E-3</v>
      </c>
      <c r="R160" s="36">
        <v>3765016</v>
      </c>
      <c r="S160" s="36">
        <v>2872241</v>
      </c>
      <c r="T160" s="39">
        <v>0.76290000000000002</v>
      </c>
      <c r="U160" s="36">
        <v>3507970</v>
      </c>
      <c r="V160" s="36">
        <v>2700288</v>
      </c>
      <c r="W160" s="39">
        <v>0.76980000000000004</v>
      </c>
      <c r="X160" s="36">
        <v>3998334</v>
      </c>
      <c r="Y160" s="36">
        <v>3110507</v>
      </c>
      <c r="Z160" s="39">
        <v>0.77800000000000002</v>
      </c>
      <c r="AA160" s="36">
        <v>3039899</v>
      </c>
      <c r="AB160" s="36">
        <v>2015896</v>
      </c>
      <c r="AC160" s="39">
        <v>0.66310000000000002</v>
      </c>
      <c r="AD160" s="36">
        <v>3143005</v>
      </c>
      <c r="AE160" s="36">
        <v>2235935</v>
      </c>
      <c r="AF160" s="39">
        <v>0.71140000000000003</v>
      </c>
      <c r="AG160" s="36">
        <v>2216713</v>
      </c>
      <c r="AH160" s="36">
        <v>1682415</v>
      </c>
      <c r="AI160" s="39">
        <v>0.75900000000000001</v>
      </c>
      <c r="AJ160" s="36">
        <v>321658</v>
      </c>
      <c r="AK160" s="36">
        <v>313832</v>
      </c>
      <c r="AL160" s="39">
        <v>0.97570000000000001</v>
      </c>
      <c r="AM160" s="36">
        <v>318004</v>
      </c>
      <c r="AN160" s="36">
        <v>306320</v>
      </c>
      <c r="AO160" s="39">
        <v>0.96330000000000005</v>
      </c>
    </row>
    <row r="161" spans="1:41" ht="14" x14ac:dyDescent="0.2">
      <c r="A161" s="1" t="s">
        <v>350</v>
      </c>
      <c r="B161" s="1" t="s">
        <v>428</v>
      </c>
      <c r="C161" s="1" t="s">
        <v>437</v>
      </c>
      <c r="D161" s="1" t="s">
        <v>351</v>
      </c>
      <c r="E161" s="25">
        <v>490</v>
      </c>
      <c r="F161" s="21">
        <v>125140.000958</v>
      </c>
      <c r="G161" s="20">
        <f t="shared" si="20"/>
        <v>74096.000603000008</v>
      </c>
      <c r="H161" s="24">
        <f t="shared" si="21"/>
        <v>0.59210484286210296</v>
      </c>
      <c r="I161" s="12">
        <v>253</v>
      </c>
      <c r="J161" s="12">
        <v>62692.000505000004</v>
      </c>
      <c r="K161" s="13">
        <f t="shared" si="22"/>
        <v>0.50097490830322866</v>
      </c>
      <c r="L161" s="4">
        <v>34</v>
      </c>
      <c r="M161" s="4">
        <v>8701.0000569999993</v>
      </c>
      <c r="N161" s="17">
        <f t="shared" si="23"/>
        <v>6.9530126181797491E-2</v>
      </c>
      <c r="O161" s="9">
        <v>9</v>
      </c>
      <c r="P161" s="9">
        <v>2703.0000409999998</v>
      </c>
      <c r="Q161" s="18">
        <f t="shared" si="24"/>
        <v>2.1599808377076739E-2</v>
      </c>
      <c r="R161" s="36">
        <v>2960379</v>
      </c>
      <c r="S161" s="36">
        <v>1798907</v>
      </c>
      <c r="T161" s="39">
        <v>0.60770000000000002</v>
      </c>
      <c r="U161" s="36">
        <v>2810358</v>
      </c>
      <c r="V161" s="36">
        <v>1655479</v>
      </c>
      <c r="W161" s="39">
        <v>0.58909999999999996</v>
      </c>
      <c r="X161" s="36">
        <v>3232005</v>
      </c>
      <c r="Y161" s="36">
        <v>1889248</v>
      </c>
      <c r="Z161" s="39">
        <v>0.58450000000000002</v>
      </c>
      <c r="AA161" s="36">
        <v>2388511</v>
      </c>
      <c r="AB161" s="36">
        <v>1292935</v>
      </c>
      <c r="AC161" s="39">
        <v>0.5413</v>
      </c>
      <c r="AD161" s="36">
        <v>2269739</v>
      </c>
      <c r="AE161" s="36">
        <v>1199787</v>
      </c>
      <c r="AF161" s="39">
        <v>0.52859999999999996</v>
      </c>
      <c r="AG161" s="36">
        <v>1674939</v>
      </c>
      <c r="AH161" s="36">
        <v>969785</v>
      </c>
      <c r="AI161" s="39">
        <v>0.57899999999999996</v>
      </c>
      <c r="AJ161" s="36">
        <v>138177</v>
      </c>
      <c r="AK161" s="36">
        <v>91058</v>
      </c>
      <c r="AL161" s="39">
        <v>0.65900000000000003</v>
      </c>
      <c r="AM161" s="36">
        <v>111108</v>
      </c>
      <c r="AN161" s="36">
        <v>69738</v>
      </c>
      <c r="AO161" s="39">
        <v>0.62770000000000004</v>
      </c>
    </row>
    <row r="162" spans="1:41" ht="14" x14ac:dyDescent="0.2">
      <c r="A162" s="1" t="s">
        <v>352</v>
      </c>
      <c r="B162" s="1" t="s">
        <v>429</v>
      </c>
      <c r="C162" s="1" t="s">
        <v>432</v>
      </c>
      <c r="D162" s="1" t="s">
        <v>353</v>
      </c>
      <c r="E162" s="25">
        <v>1068</v>
      </c>
      <c r="F162" s="21">
        <v>242182.000695</v>
      </c>
      <c r="G162" s="20">
        <f t="shared" si="20"/>
        <v>228578.00060600002</v>
      </c>
      <c r="H162" s="24">
        <f t="shared" si="21"/>
        <v>0.94382736929268074</v>
      </c>
      <c r="I162" s="12">
        <v>863</v>
      </c>
      <c r="J162" s="12">
        <v>199968.00070100001</v>
      </c>
      <c r="K162" s="13">
        <f t="shared" si="22"/>
        <v>0.82569307432898953</v>
      </c>
      <c r="L162" s="4">
        <v>105</v>
      </c>
      <c r="M162" s="4">
        <v>22745.999876000002</v>
      </c>
      <c r="N162" s="17">
        <f t="shared" si="23"/>
        <v>9.3921099878293335E-2</v>
      </c>
      <c r="O162" s="9">
        <v>26</v>
      </c>
      <c r="P162" s="9">
        <v>5864.0000289999998</v>
      </c>
      <c r="Q162" s="18">
        <f t="shared" si="24"/>
        <v>2.421319508539788E-2</v>
      </c>
      <c r="R162" s="36">
        <v>4971837</v>
      </c>
      <c r="S162" s="36">
        <v>3207356</v>
      </c>
      <c r="T162" s="39">
        <v>0.64510000000000001</v>
      </c>
      <c r="U162" s="36">
        <v>5189991</v>
      </c>
      <c r="V162" s="36">
        <v>3255320</v>
      </c>
      <c r="W162" s="39">
        <v>0.62719999999999998</v>
      </c>
      <c r="X162" s="36">
        <v>5033795</v>
      </c>
      <c r="Y162" s="36">
        <v>3245321</v>
      </c>
      <c r="Z162" s="39">
        <v>0.64470000000000005</v>
      </c>
      <c r="AA162" s="36">
        <v>4450113</v>
      </c>
      <c r="AB162" s="36">
        <v>2688803</v>
      </c>
      <c r="AC162" s="39">
        <v>0.60419999999999996</v>
      </c>
      <c r="AD162" s="36">
        <v>4681305</v>
      </c>
      <c r="AE162" s="36">
        <v>3039399</v>
      </c>
      <c r="AF162" s="39">
        <v>0.64929999999999999</v>
      </c>
      <c r="AG162" s="36">
        <v>2784837</v>
      </c>
      <c r="AH162" s="36">
        <v>1927152</v>
      </c>
      <c r="AI162" s="39">
        <v>0.69199999999999995</v>
      </c>
      <c r="AJ162" s="36">
        <v>276853</v>
      </c>
      <c r="AK162" s="36">
        <v>267680</v>
      </c>
      <c r="AL162" s="39">
        <v>0.96689999999999998</v>
      </c>
      <c r="AM162" s="36">
        <v>265294</v>
      </c>
      <c r="AN162" s="36">
        <v>252423</v>
      </c>
      <c r="AO162" s="39">
        <v>0.95150000000000001</v>
      </c>
    </row>
    <row r="163" spans="1:41" ht="14" x14ac:dyDescent="0.2">
      <c r="A163" s="1" t="s">
        <v>354</v>
      </c>
      <c r="B163" s="1" t="s">
        <v>428</v>
      </c>
      <c r="C163" s="1" t="s">
        <v>432</v>
      </c>
      <c r="D163" s="1" t="s">
        <v>355</v>
      </c>
      <c r="E163" s="25">
        <v>739</v>
      </c>
      <c r="F163" s="21">
        <v>197451.00042299999</v>
      </c>
      <c r="G163" s="20">
        <f t="shared" ref="G163:G199" si="25">J163+M163+P163</f>
        <v>114437.00006600001</v>
      </c>
      <c r="H163" s="24">
        <f t="shared" ref="H163:H194" si="26">G163/F163</f>
        <v>0.57957163965156522</v>
      </c>
      <c r="I163" s="12">
        <v>336</v>
      </c>
      <c r="J163" s="12">
        <v>93268.000207000005</v>
      </c>
      <c r="K163" s="13">
        <f t="shared" ref="K163:K194" si="27">J163/F163</f>
        <v>0.47236023118237758</v>
      </c>
      <c r="L163" s="4">
        <v>64</v>
      </c>
      <c r="M163" s="4">
        <v>19051.999865999998</v>
      </c>
      <c r="N163" s="17">
        <f t="shared" ref="N163:N194" si="28">M163/F163</f>
        <v>9.6489761131545698E-2</v>
      </c>
      <c r="O163" s="9">
        <v>10</v>
      </c>
      <c r="P163" s="9">
        <v>2116.9999929999999</v>
      </c>
      <c r="Q163" s="18">
        <f t="shared" ref="Q163:Q194" si="29">P163/F163</f>
        <v>1.0721647337641962E-2</v>
      </c>
      <c r="R163" s="36">
        <v>3479525</v>
      </c>
      <c r="S163" s="36">
        <v>2245501</v>
      </c>
      <c r="T163" s="39">
        <v>0.64529999999999998</v>
      </c>
      <c r="U163" s="36">
        <v>3496513</v>
      </c>
      <c r="V163" s="36">
        <v>2146178</v>
      </c>
      <c r="W163" s="39">
        <v>0.61380000000000001</v>
      </c>
      <c r="X163" s="36">
        <v>4538207</v>
      </c>
      <c r="Y163" s="36">
        <v>2942197</v>
      </c>
      <c r="Z163" s="39">
        <v>0.64829999999999999</v>
      </c>
      <c r="AA163" s="36">
        <v>3248337</v>
      </c>
      <c r="AB163" s="36">
        <v>1872388</v>
      </c>
      <c r="AC163" s="39">
        <v>0.57640000000000002</v>
      </c>
      <c r="AD163" s="36">
        <v>3168261</v>
      </c>
      <c r="AE163" s="36">
        <v>1853487</v>
      </c>
      <c r="AF163" s="39">
        <v>0.58499999999999996</v>
      </c>
      <c r="AG163" s="36">
        <v>2288444</v>
      </c>
      <c r="AH163" s="36">
        <v>1446989</v>
      </c>
      <c r="AI163" s="39">
        <v>0.63229999999999997</v>
      </c>
      <c r="AJ163" s="36">
        <v>219931</v>
      </c>
      <c r="AK163" s="36">
        <v>144328</v>
      </c>
      <c r="AL163" s="39">
        <v>0.65620000000000001</v>
      </c>
      <c r="AM163" s="36">
        <v>223655</v>
      </c>
      <c r="AN163" s="36">
        <v>141787</v>
      </c>
      <c r="AO163" s="39">
        <v>0.63400000000000001</v>
      </c>
    </row>
    <row r="164" spans="1:41" ht="14" x14ac:dyDescent="0.2">
      <c r="A164" s="1" t="s">
        <v>356</v>
      </c>
      <c r="B164" s="1" t="s">
        <v>428</v>
      </c>
      <c r="C164" s="1" t="s">
        <v>434</v>
      </c>
      <c r="D164" s="1" t="s">
        <v>357</v>
      </c>
      <c r="E164" s="25">
        <v>735</v>
      </c>
      <c r="F164" s="21">
        <v>211942.000723</v>
      </c>
      <c r="G164" s="20">
        <f t="shared" si="25"/>
        <v>97820.000285000002</v>
      </c>
      <c r="H164" s="24">
        <f t="shared" si="26"/>
        <v>0.4615413648606958</v>
      </c>
      <c r="I164" s="12">
        <v>281</v>
      </c>
      <c r="J164" s="12">
        <v>81155.000195000001</v>
      </c>
      <c r="K164" s="13">
        <f t="shared" si="27"/>
        <v>0.38291136215641586</v>
      </c>
      <c r="L164" s="4">
        <v>58</v>
      </c>
      <c r="M164" s="4">
        <v>15513.000103</v>
      </c>
      <c r="N164" s="17">
        <f t="shared" si="28"/>
        <v>7.3194553463118858E-2</v>
      </c>
      <c r="O164" s="9">
        <v>8</v>
      </c>
      <c r="P164" s="9">
        <v>1151.9999869999999</v>
      </c>
      <c r="Q164" s="18">
        <f t="shared" si="29"/>
        <v>5.4354492411611199E-3</v>
      </c>
      <c r="R164" s="36">
        <v>3527532</v>
      </c>
      <c r="S164" s="36">
        <v>1971022</v>
      </c>
      <c r="T164" s="39">
        <v>0.55879999999999996</v>
      </c>
      <c r="U164" s="36">
        <v>3433386</v>
      </c>
      <c r="V164" s="36">
        <v>1887597</v>
      </c>
      <c r="W164" s="39">
        <v>0.54979999999999996</v>
      </c>
      <c r="X164" s="36">
        <v>4086249</v>
      </c>
      <c r="Y164" s="36">
        <v>2348367</v>
      </c>
      <c r="Z164" s="39">
        <v>0.57469999999999999</v>
      </c>
      <c r="AA164" s="36">
        <v>3306191</v>
      </c>
      <c r="AB164" s="36">
        <v>1640936</v>
      </c>
      <c r="AC164" s="39">
        <v>0.49630000000000002</v>
      </c>
      <c r="AD164" s="36">
        <v>2838628</v>
      </c>
      <c r="AE164" s="36">
        <v>1396457</v>
      </c>
      <c r="AF164" s="39">
        <v>0.4919</v>
      </c>
      <c r="AG164" s="36">
        <v>2208727</v>
      </c>
      <c r="AH164" s="36">
        <v>1159831</v>
      </c>
      <c r="AI164" s="39">
        <v>0.52510000000000001</v>
      </c>
      <c r="AJ164" s="36">
        <v>236267</v>
      </c>
      <c r="AK164" s="36">
        <v>126115</v>
      </c>
      <c r="AL164" s="39">
        <v>0.53380000000000005</v>
      </c>
      <c r="AM164" s="36">
        <v>230433</v>
      </c>
      <c r="AN164" s="36">
        <v>133392</v>
      </c>
      <c r="AO164" s="39">
        <v>0.57889999999999997</v>
      </c>
    </row>
    <row r="165" spans="1:41" ht="14" x14ac:dyDescent="0.2">
      <c r="A165" s="1" t="s">
        <v>358</v>
      </c>
      <c r="B165" s="1" t="s">
        <v>428</v>
      </c>
      <c r="C165" s="1" t="s">
        <v>434</v>
      </c>
      <c r="D165" s="1" t="s">
        <v>359</v>
      </c>
      <c r="E165" s="25">
        <v>1054</v>
      </c>
      <c r="F165" s="21">
        <v>247290.00090300001</v>
      </c>
      <c r="G165" s="20">
        <f t="shared" si="25"/>
        <v>140350.000528</v>
      </c>
      <c r="H165" s="24">
        <f t="shared" si="26"/>
        <v>0.5675522666322953</v>
      </c>
      <c r="I165" s="12">
        <v>508</v>
      </c>
      <c r="J165" s="12">
        <v>122917.00046</v>
      </c>
      <c r="K165" s="13">
        <f t="shared" si="27"/>
        <v>0.49705608803897589</v>
      </c>
      <c r="L165" s="4">
        <v>53</v>
      </c>
      <c r="M165" s="4">
        <v>14722.000040000001</v>
      </c>
      <c r="N165" s="17">
        <f t="shared" si="28"/>
        <v>5.9533341365366144E-2</v>
      </c>
      <c r="O165" s="9">
        <v>14</v>
      </c>
      <c r="P165" s="9">
        <v>2711.0000279999999</v>
      </c>
      <c r="Q165" s="18">
        <f t="shared" si="29"/>
        <v>1.0962837227953244E-2</v>
      </c>
      <c r="R165" s="36">
        <v>4030190</v>
      </c>
      <c r="S165" s="36">
        <v>2542426</v>
      </c>
      <c r="T165" s="39">
        <v>0.63080000000000003</v>
      </c>
      <c r="U165" s="36">
        <v>3781205</v>
      </c>
      <c r="V165" s="36">
        <v>2266512</v>
      </c>
      <c r="W165" s="39">
        <v>0.59940000000000004</v>
      </c>
      <c r="X165" s="36">
        <v>3957061</v>
      </c>
      <c r="Y165" s="36">
        <v>2589292</v>
      </c>
      <c r="Z165" s="39">
        <v>0.65429999999999999</v>
      </c>
      <c r="AA165" s="36">
        <v>3589677</v>
      </c>
      <c r="AB165" s="36">
        <v>2013412</v>
      </c>
      <c r="AC165" s="39">
        <v>0.56089999999999995</v>
      </c>
      <c r="AD165" s="36">
        <v>3236688</v>
      </c>
      <c r="AE165" s="36">
        <v>1849832</v>
      </c>
      <c r="AF165" s="39">
        <v>0.57150000000000001</v>
      </c>
      <c r="AG165" s="36">
        <v>2406922</v>
      </c>
      <c r="AH165" s="36">
        <v>1484551</v>
      </c>
      <c r="AI165" s="39">
        <v>0.61680000000000001</v>
      </c>
      <c r="AJ165" s="36">
        <v>285011</v>
      </c>
      <c r="AK165" s="36">
        <v>173915</v>
      </c>
      <c r="AL165" s="39">
        <v>0.61019999999999996</v>
      </c>
      <c r="AM165" s="36">
        <v>249701</v>
      </c>
      <c r="AN165" s="36">
        <v>137979</v>
      </c>
      <c r="AO165" s="39">
        <v>0.55259999999999998</v>
      </c>
    </row>
    <row r="166" spans="1:41" ht="14" x14ac:dyDescent="0.2">
      <c r="A166" s="1" t="s">
        <v>360</v>
      </c>
      <c r="B166" s="1" t="s">
        <v>428</v>
      </c>
      <c r="C166" s="1" t="s">
        <v>434</v>
      </c>
      <c r="D166" s="1" t="s">
        <v>361</v>
      </c>
      <c r="E166" s="25">
        <v>965</v>
      </c>
      <c r="F166" s="21">
        <v>206715.000486</v>
      </c>
      <c r="G166" s="20">
        <f t="shared" si="25"/>
        <v>104797.00002699999</v>
      </c>
      <c r="H166" s="24">
        <f t="shared" si="26"/>
        <v>0.50696369291350718</v>
      </c>
      <c r="I166" s="12">
        <v>405</v>
      </c>
      <c r="J166" s="12">
        <v>87699.000203999996</v>
      </c>
      <c r="K166" s="13">
        <f t="shared" si="27"/>
        <v>0.4242507800489278</v>
      </c>
      <c r="L166" s="4">
        <v>69</v>
      </c>
      <c r="M166" s="4">
        <v>15646.999877</v>
      </c>
      <c r="N166" s="17">
        <f t="shared" si="28"/>
        <v>7.5693587016969821E-2</v>
      </c>
      <c r="O166" s="9">
        <v>10</v>
      </c>
      <c r="P166" s="9">
        <v>1450.9999459999999</v>
      </c>
      <c r="Q166" s="18">
        <f t="shared" si="29"/>
        <v>7.0193258476095467E-3</v>
      </c>
      <c r="R166" s="36">
        <v>3079309</v>
      </c>
      <c r="S166" s="36">
        <v>1859026</v>
      </c>
      <c r="T166" s="39">
        <v>0.60370000000000001</v>
      </c>
      <c r="U166" s="36">
        <v>3058586</v>
      </c>
      <c r="V166" s="36">
        <v>1804925</v>
      </c>
      <c r="W166" s="39">
        <v>0.59009999999999996</v>
      </c>
      <c r="X166" s="36">
        <v>3019748</v>
      </c>
      <c r="Y166" s="36">
        <v>1916586</v>
      </c>
      <c r="Z166" s="39">
        <v>0.63470000000000004</v>
      </c>
      <c r="AA166" s="36">
        <v>2659737</v>
      </c>
      <c r="AB166" s="36">
        <v>1388184</v>
      </c>
      <c r="AC166" s="39">
        <v>0.52190000000000003</v>
      </c>
      <c r="AD166" s="36">
        <v>2353910</v>
      </c>
      <c r="AE166" s="36">
        <v>1259177</v>
      </c>
      <c r="AF166" s="39">
        <v>0.53490000000000004</v>
      </c>
      <c r="AG166" s="36">
        <v>1752792</v>
      </c>
      <c r="AH166" s="36">
        <v>1034089</v>
      </c>
      <c r="AI166" s="39">
        <v>0.59</v>
      </c>
      <c r="AJ166" s="36">
        <v>233632</v>
      </c>
      <c r="AK166" s="36">
        <v>130869</v>
      </c>
      <c r="AL166" s="39">
        <v>0.56020000000000003</v>
      </c>
      <c r="AM166" s="36">
        <v>256672</v>
      </c>
      <c r="AN166" s="36">
        <v>141709</v>
      </c>
      <c r="AO166" s="39">
        <v>0.55210000000000004</v>
      </c>
    </row>
    <row r="167" spans="1:41" ht="14" x14ac:dyDescent="0.2">
      <c r="A167" s="1" t="s">
        <v>362</v>
      </c>
      <c r="B167" s="1" t="s">
        <v>429</v>
      </c>
      <c r="C167" s="1" t="s">
        <v>432</v>
      </c>
      <c r="D167" s="1" t="s">
        <v>363</v>
      </c>
      <c r="E167" s="25">
        <v>1249</v>
      </c>
      <c r="F167" s="21">
        <v>292440.00149</v>
      </c>
      <c r="G167" s="20">
        <f t="shared" si="25"/>
        <v>273674.00144100003</v>
      </c>
      <c r="H167" s="24">
        <f t="shared" si="26"/>
        <v>0.93582957203738881</v>
      </c>
      <c r="I167" s="12">
        <v>1058</v>
      </c>
      <c r="J167" s="12">
        <v>245699.00135100001</v>
      </c>
      <c r="K167" s="13">
        <f t="shared" si="27"/>
        <v>0.84016892387890962</v>
      </c>
      <c r="L167" s="4">
        <v>98</v>
      </c>
      <c r="M167" s="4">
        <v>25989.000113999999</v>
      </c>
      <c r="N167" s="17">
        <f t="shared" si="28"/>
        <v>8.8869511631734469E-2</v>
      </c>
      <c r="O167" s="9">
        <v>9</v>
      </c>
      <c r="P167" s="9">
        <v>1985.9999760000001</v>
      </c>
      <c r="Q167" s="18">
        <f t="shared" si="29"/>
        <v>6.7911365267446545E-3</v>
      </c>
      <c r="R167" s="36">
        <v>5248204</v>
      </c>
      <c r="S167" s="36">
        <v>4107297</v>
      </c>
      <c r="T167" s="39">
        <v>0.78259999999999996</v>
      </c>
      <c r="U167" s="36">
        <v>5273483</v>
      </c>
      <c r="V167" s="36">
        <v>3940276</v>
      </c>
      <c r="W167" s="39">
        <v>0.74719999999999998</v>
      </c>
      <c r="X167" s="36">
        <v>5358192</v>
      </c>
      <c r="Y167" s="36">
        <v>4087270</v>
      </c>
      <c r="Z167" s="39">
        <v>0.76280000000000003</v>
      </c>
      <c r="AA167" s="36">
        <v>4524013</v>
      </c>
      <c r="AB167" s="36">
        <v>3214157</v>
      </c>
      <c r="AC167" s="39">
        <v>0.71050000000000002</v>
      </c>
      <c r="AD167" s="36">
        <v>4383329</v>
      </c>
      <c r="AE167" s="36">
        <v>3284917</v>
      </c>
      <c r="AF167" s="39">
        <v>0.74939999999999996</v>
      </c>
      <c r="AG167" s="36">
        <v>3143593</v>
      </c>
      <c r="AH167" s="36">
        <v>2498162</v>
      </c>
      <c r="AI167" s="39">
        <v>0.79469999999999996</v>
      </c>
      <c r="AJ167" s="36">
        <v>330625</v>
      </c>
      <c r="AK167" s="36">
        <v>321863</v>
      </c>
      <c r="AL167" s="39">
        <v>0.97350000000000003</v>
      </c>
      <c r="AM167" s="36">
        <v>315945</v>
      </c>
      <c r="AN167" s="36">
        <v>297627</v>
      </c>
      <c r="AO167" s="39">
        <v>0.94199999999999995</v>
      </c>
    </row>
    <row r="168" spans="1:41" ht="14" x14ac:dyDescent="0.2">
      <c r="A168" s="1" t="s">
        <v>364</v>
      </c>
      <c r="B168" s="1" t="s">
        <v>428</v>
      </c>
      <c r="C168" s="1" t="s">
        <v>437</v>
      </c>
      <c r="D168" s="1" t="s">
        <v>365</v>
      </c>
      <c r="E168" s="25">
        <v>1022</v>
      </c>
      <c r="F168" s="21">
        <v>233427.000715</v>
      </c>
      <c r="G168" s="20">
        <f t="shared" si="25"/>
        <v>124750.000397</v>
      </c>
      <c r="H168" s="24">
        <f t="shared" si="26"/>
        <v>0.53442832240864913</v>
      </c>
      <c r="I168" s="12">
        <v>446</v>
      </c>
      <c r="J168" s="12">
        <v>103942.000375</v>
      </c>
      <c r="K168" s="13">
        <f t="shared" si="27"/>
        <v>0.44528696361868947</v>
      </c>
      <c r="L168" s="4">
        <v>72</v>
      </c>
      <c r="M168" s="4">
        <v>18501.000016999998</v>
      </c>
      <c r="N168" s="17">
        <f t="shared" si="28"/>
        <v>7.9258183330678952E-2</v>
      </c>
      <c r="O168" s="9">
        <v>7</v>
      </c>
      <c r="P168" s="9">
        <v>2307.0000049999999</v>
      </c>
      <c r="Q168" s="18">
        <f t="shared" si="29"/>
        <v>9.8831754592807568E-3</v>
      </c>
      <c r="R168" s="36">
        <v>2969149</v>
      </c>
      <c r="S168" s="36">
        <v>1735327</v>
      </c>
      <c r="T168" s="39">
        <v>0.58450000000000002</v>
      </c>
      <c r="U168" s="36">
        <v>2985096</v>
      </c>
      <c r="V168" s="36">
        <v>1700553</v>
      </c>
      <c r="W168" s="39">
        <v>0.56969999999999998</v>
      </c>
      <c r="X168" s="36">
        <v>3133178</v>
      </c>
      <c r="Y168" s="36">
        <v>1823692</v>
      </c>
      <c r="Z168" s="39">
        <v>0.58209999999999995</v>
      </c>
      <c r="AA168" s="36">
        <v>2774869</v>
      </c>
      <c r="AB168" s="36">
        <v>1349229</v>
      </c>
      <c r="AC168" s="39">
        <v>0.48620000000000002</v>
      </c>
      <c r="AD168" s="36">
        <v>2456404</v>
      </c>
      <c r="AE168" s="36">
        <v>1178151</v>
      </c>
      <c r="AF168" s="39">
        <v>0.47960000000000003</v>
      </c>
      <c r="AG168" s="36">
        <v>1635947</v>
      </c>
      <c r="AH168" s="36">
        <v>862382</v>
      </c>
      <c r="AI168" s="39">
        <v>0.52710000000000001</v>
      </c>
      <c r="AJ168" s="36">
        <v>263187</v>
      </c>
      <c r="AK168" s="36">
        <v>149243</v>
      </c>
      <c r="AL168" s="39">
        <v>0.56710000000000005</v>
      </c>
      <c r="AM168" s="36">
        <v>240931</v>
      </c>
      <c r="AN168" s="36">
        <v>146863</v>
      </c>
      <c r="AO168" s="39">
        <v>0.60960000000000003</v>
      </c>
    </row>
    <row r="169" spans="1:41" ht="14" x14ac:dyDescent="0.2">
      <c r="A169" s="1" t="s">
        <v>366</v>
      </c>
      <c r="B169" s="1" t="s">
        <v>428</v>
      </c>
      <c r="C169" s="1" t="s">
        <v>434</v>
      </c>
      <c r="D169" s="1" t="s">
        <v>367</v>
      </c>
      <c r="E169" s="25">
        <v>840</v>
      </c>
      <c r="F169" s="21">
        <v>205890.00035399999</v>
      </c>
      <c r="G169" s="20">
        <f t="shared" si="25"/>
        <v>109441.999889</v>
      </c>
      <c r="H169" s="24">
        <f t="shared" si="26"/>
        <v>0.53155568362149352</v>
      </c>
      <c r="I169" s="12">
        <v>381</v>
      </c>
      <c r="J169" s="12">
        <v>93965.999981000001</v>
      </c>
      <c r="K169" s="13">
        <f t="shared" si="27"/>
        <v>0.45638933323346537</v>
      </c>
      <c r="L169" s="4">
        <v>53</v>
      </c>
      <c r="M169" s="4">
        <v>14760.999892</v>
      </c>
      <c r="N169" s="17">
        <f t="shared" si="28"/>
        <v>7.169362216047627E-2</v>
      </c>
      <c r="O169" s="9">
        <v>5</v>
      </c>
      <c r="P169" s="9">
        <v>715.00001599999996</v>
      </c>
      <c r="Q169" s="18">
        <f t="shared" si="29"/>
        <v>3.4727282275518684E-3</v>
      </c>
      <c r="R169" s="36">
        <v>2765121</v>
      </c>
      <c r="S169" s="36">
        <v>1732901</v>
      </c>
      <c r="T169" s="39">
        <v>0.62670000000000003</v>
      </c>
      <c r="U169" s="36">
        <v>2698108</v>
      </c>
      <c r="V169" s="36">
        <v>1654628</v>
      </c>
      <c r="W169" s="39">
        <v>0.61329999999999996</v>
      </c>
      <c r="X169" s="36">
        <v>2891562</v>
      </c>
      <c r="Y169" s="36">
        <v>1763950</v>
      </c>
      <c r="Z169" s="39">
        <v>0.61</v>
      </c>
      <c r="AA169" s="36">
        <v>2715754</v>
      </c>
      <c r="AB169" s="36">
        <v>1418516</v>
      </c>
      <c r="AC169" s="39">
        <v>0.52229999999999999</v>
      </c>
      <c r="AD169" s="36">
        <v>2307624</v>
      </c>
      <c r="AE169" s="36">
        <v>1255496</v>
      </c>
      <c r="AF169" s="39">
        <v>0.54410000000000003</v>
      </c>
      <c r="AG169" s="36">
        <v>1651224</v>
      </c>
      <c r="AH169" s="36">
        <v>968211</v>
      </c>
      <c r="AI169" s="39">
        <v>0.58640000000000003</v>
      </c>
      <c r="AJ169" s="36">
        <v>226649</v>
      </c>
      <c r="AK169" s="36">
        <v>132617</v>
      </c>
      <c r="AL169" s="39">
        <v>0.58509999999999995</v>
      </c>
      <c r="AM169" s="36">
        <v>219615</v>
      </c>
      <c r="AN169" s="36">
        <v>131293</v>
      </c>
      <c r="AO169" s="39">
        <v>0.5978</v>
      </c>
    </row>
    <row r="170" spans="1:41" ht="14" x14ac:dyDescent="0.2">
      <c r="A170" s="1" t="s">
        <v>368</v>
      </c>
      <c r="B170" s="1" t="s">
        <v>429</v>
      </c>
      <c r="C170" s="1" t="s">
        <v>432</v>
      </c>
      <c r="D170" s="1" t="s">
        <v>369</v>
      </c>
      <c r="E170" s="25">
        <v>1484</v>
      </c>
      <c r="F170" s="21">
        <v>355043.000955</v>
      </c>
      <c r="G170" s="20">
        <f t="shared" si="25"/>
        <v>249171.00083500001</v>
      </c>
      <c r="H170" s="24">
        <f t="shared" si="26"/>
        <v>0.70180513392680921</v>
      </c>
      <c r="I170" s="12">
        <v>968</v>
      </c>
      <c r="J170" s="12">
        <v>215308.00075100001</v>
      </c>
      <c r="K170" s="13">
        <f t="shared" si="27"/>
        <v>0.60642795428120344</v>
      </c>
      <c r="L170" s="4">
        <v>122</v>
      </c>
      <c r="M170" s="4">
        <v>31008.000123000002</v>
      </c>
      <c r="N170" s="17">
        <f t="shared" si="28"/>
        <v>8.7335900270091846E-2</v>
      </c>
      <c r="O170" s="9">
        <v>14</v>
      </c>
      <c r="P170" s="9">
        <v>2854.999961</v>
      </c>
      <c r="Q170" s="18">
        <f t="shared" si="29"/>
        <v>8.041279375513891E-3</v>
      </c>
      <c r="R170" s="36">
        <v>6393218</v>
      </c>
      <c r="S170" s="36">
        <v>4174929</v>
      </c>
      <c r="T170" s="39">
        <v>0.65300000000000002</v>
      </c>
      <c r="U170" s="36">
        <v>5724308</v>
      </c>
      <c r="V170" s="36">
        <v>3559052</v>
      </c>
      <c r="W170" s="39">
        <v>0.62170000000000003</v>
      </c>
      <c r="X170" s="36">
        <v>5580565</v>
      </c>
      <c r="Y170" s="36">
        <v>3859183</v>
      </c>
      <c r="Z170" s="39">
        <v>0.6915</v>
      </c>
      <c r="AA170" s="36">
        <v>5696401</v>
      </c>
      <c r="AB170" s="36">
        <v>3403869</v>
      </c>
      <c r="AC170" s="39">
        <v>0.59750000000000003</v>
      </c>
      <c r="AD170" s="36">
        <v>5196533</v>
      </c>
      <c r="AE170" s="36">
        <v>3163699</v>
      </c>
      <c r="AF170" s="39">
        <v>0.60880000000000001</v>
      </c>
      <c r="AG170" s="36">
        <v>3457528</v>
      </c>
      <c r="AH170" s="36">
        <v>2228237</v>
      </c>
      <c r="AI170" s="39">
        <v>0.64449999999999996</v>
      </c>
      <c r="AJ170" s="36">
        <v>390070</v>
      </c>
      <c r="AK170" s="36">
        <v>379674</v>
      </c>
      <c r="AL170" s="39">
        <v>0.97330000000000005</v>
      </c>
      <c r="AM170" s="36">
        <v>410185</v>
      </c>
      <c r="AN170" s="36">
        <v>397737</v>
      </c>
      <c r="AO170" s="39">
        <v>0.96970000000000001</v>
      </c>
    </row>
    <row r="171" spans="1:41" ht="14" x14ac:dyDescent="0.2">
      <c r="A171" s="1" t="s">
        <v>370</v>
      </c>
      <c r="B171" s="1" t="s">
        <v>429</v>
      </c>
      <c r="C171" s="1" t="s">
        <v>432</v>
      </c>
      <c r="D171" s="1" t="s">
        <v>371</v>
      </c>
      <c r="E171" s="25">
        <v>786</v>
      </c>
      <c r="F171" s="21">
        <v>208132.000214</v>
      </c>
      <c r="G171" s="20">
        <f t="shared" si="25"/>
        <v>192557.00029500003</v>
      </c>
      <c r="H171" s="24">
        <f t="shared" si="26"/>
        <v>0.92516768251404946</v>
      </c>
      <c r="I171" s="12">
        <v>671</v>
      </c>
      <c r="J171" s="12">
        <v>172289.00027300001</v>
      </c>
      <c r="K171" s="13">
        <f t="shared" si="27"/>
        <v>0.82778717398503621</v>
      </c>
      <c r="L171" s="4">
        <v>63</v>
      </c>
      <c r="M171" s="4">
        <v>19111.000005000002</v>
      </c>
      <c r="N171" s="17">
        <f t="shared" si="28"/>
        <v>9.1821536262324838E-2</v>
      </c>
      <c r="O171" s="9">
        <v>8</v>
      </c>
      <c r="P171" s="9">
        <v>1157.0000170000001</v>
      </c>
      <c r="Q171" s="18">
        <f t="shared" si="29"/>
        <v>5.5589722666883517E-3</v>
      </c>
      <c r="R171" s="36">
        <v>4826331</v>
      </c>
      <c r="S171" s="36">
        <v>3353645</v>
      </c>
      <c r="T171" s="39">
        <v>0.69489999999999996</v>
      </c>
      <c r="U171" s="36">
        <v>4408421</v>
      </c>
      <c r="V171" s="36">
        <v>2889514</v>
      </c>
      <c r="W171" s="39">
        <v>0.65549999999999997</v>
      </c>
      <c r="X171" s="36">
        <v>4331298</v>
      </c>
      <c r="Y171" s="36">
        <v>2655979</v>
      </c>
      <c r="Z171" s="39">
        <v>0.61319999999999997</v>
      </c>
      <c r="AA171" s="36">
        <v>4694728</v>
      </c>
      <c r="AB171" s="36">
        <v>2652721</v>
      </c>
      <c r="AC171" s="39">
        <v>0.56499999999999995</v>
      </c>
      <c r="AD171" s="36">
        <v>4071017</v>
      </c>
      <c r="AE171" s="36">
        <v>2479506</v>
      </c>
      <c r="AF171" s="39">
        <v>0.60909999999999997</v>
      </c>
      <c r="AG171" s="36">
        <v>2471914</v>
      </c>
      <c r="AH171" s="36">
        <v>1632545</v>
      </c>
      <c r="AI171" s="39">
        <v>0.66039999999999999</v>
      </c>
      <c r="AJ171" s="36">
        <v>234750</v>
      </c>
      <c r="AK171" s="36">
        <v>227848</v>
      </c>
      <c r="AL171" s="39">
        <v>0.97060000000000002</v>
      </c>
      <c r="AM171" s="36">
        <v>233173</v>
      </c>
      <c r="AN171" s="36">
        <v>222769</v>
      </c>
      <c r="AO171" s="39">
        <v>0.95540000000000003</v>
      </c>
    </row>
    <row r="172" spans="1:41" ht="14" x14ac:dyDescent="0.2">
      <c r="A172" s="1" t="s">
        <v>372</v>
      </c>
      <c r="B172" s="1" t="s">
        <v>429</v>
      </c>
      <c r="C172" s="1" t="s">
        <v>432</v>
      </c>
      <c r="D172" s="1" t="s">
        <v>373</v>
      </c>
      <c r="E172" s="25">
        <v>1260</v>
      </c>
      <c r="F172" s="21">
        <v>309742.001062</v>
      </c>
      <c r="G172" s="20">
        <f t="shared" si="25"/>
        <v>280004.00103799999</v>
      </c>
      <c r="H172" s="24">
        <f t="shared" si="26"/>
        <v>0.90399106378199112</v>
      </c>
      <c r="I172" s="12">
        <v>1036</v>
      </c>
      <c r="J172" s="12">
        <v>243998.00088800001</v>
      </c>
      <c r="K172" s="13">
        <f t="shared" si="27"/>
        <v>0.78774593065006948</v>
      </c>
      <c r="L172" s="4">
        <v>99</v>
      </c>
      <c r="M172" s="4">
        <v>30477.000144000001</v>
      </c>
      <c r="N172" s="17">
        <f t="shared" si="28"/>
        <v>9.839479321339932E-2</v>
      </c>
      <c r="O172" s="9">
        <v>23</v>
      </c>
      <c r="P172" s="9">
        <v>5529.0000060000002</v>
      </c>
      <c r="Q172" s="18">
        <f t="shared" si="29"/>
        <v>1.7850339918522317E-2</v>
      </c>
      <c r="R172" s="36">
        <v>4484637</v>
      </c>
      <c r="S172" s="36">
        <v>3089187</v>
      </c>
      <c r="T172" s="39">
        <v>0.68879999999999997</v>
      </c>
      <c r="U172" s="36">
        <v>4322668</v>
      </c>
      <c r="V172" s="36">
        <v>2931847</v>
      </c>
      <c r="W172" s="39">
        <v>0.67820000000000003</v>
      </c>
      <c r="X172" s="36">
        <v>4549780</v>
      </c>
      <c r="Y172" s="36">
        <v>3268390</v>
      </c>
      <c r="Z172" s="39">
        <v>0.71840000000000004</v>
      </c>
      <c r="AA172" s="36">
        <v>3856024</v>
      </c>
      <c r="AB172" s="36">
        <v>2574613</v>
      </c>
      <c r="AC172" s="39">
        <v>0.66769999999999996</v>
      </c>
      <c r="AD172" s="36">
        <v>3444531</v>
      </c>
      <c r="AE172" s="36">
        <v>2512280</v>
      </c>
      <c r="AF172" s="39">
        <v>0.72940000000000005</v>
      </c>
      <c r="AG172" s="36">
        <v>2407562</v>
      </c>
      <c r="AH172" s="36">
        <v>1808717</v>
      </c>
      <c r="AI172" s="39">
        <v>0.75129999999999997</v>
      </c>
      <c r="AJ172" s="36">
        <v>332141</v>
      </c>
      <c r="AK172" s="36">
        <v>323573</v>
      </c>
      <c r="AL172" s="39">
        <v>0.97419999999999995</v>
      </c>
      <c r="AM172" s="36">
        <v>313925</v>
      </c>
      <c r="AN172" s="36">
        <v>302986</v>
      </c>
      <c r="AO172" s="39">
        <v>0.96519999999999995</v>
      </c>
    </row>
    <row r="173" spans="1:41" ht="14" x14ac:dyDescent="0.2">
      <c r="A173" s="1" t="s">
        <v>374</v>
      </c>
      <c r="B173" s="1" t="s">
        <v>428</v>
      </c>
      <c r="C173" s="1" t="s">
        <v>434</v>
      </c>
      <c r="D173" s="1" t="s">
        <v>375</v>
      </c>
      <c r="E173" s="25">
        <v>959</v>
      </c>
      <c r="F173" s="21">
        <v>253417.00079300001</v>
      </c>
      <c r="G173" s="20">
        <f t="shared" si="25"/>
        <v>133259.00017099999</v>
      </c>
      <c r="H173" s="24">
        <f t="shared" si="26"/>
        <v>0.52584869899810183</v>
      </c>
      <c r="I173" s="12">
        <v>406</v>
      </c>
      <c r="J173" s="12">
        <v>104746.000187</v>
      </c>
      <c r="K173" s="13">
        <f t="shared" si="27"/>
        <v>0.41333454290448429</v>
      </c>
      <c r="L173" s="4">
        <v>91</v>
      </c>
      <c r="M173" s="4">
        <v>24405.999948000001</v>
      </c>
      <c r="N173" s="17">
        <f t="shared" si="28"/>
        <v>9.6307666303476161E-2</v>
      </c>
      <c r="O173" s="9">
        <v>12</v>
      </c>
      <c r="P173" s="9">
        <v>4107.0000360000004</v>
      </c>
      <c r="Q173" s="18">
        <f t="shared" si="29"/>
        <v>1.6206489790141363E-2</v>
      </c>
      <c r="R173" s="36">
        <v>5098526</v>
      </c>
      <c r="S173" s="36">
        <v>3005680</v>
      </c>
      <c r="T173" s="39">
        <v>0.58950000000000002</v>
      </c>
      <c r="U173" s="36">
        <v>4927401</v>
      </c>
      <c r="V173" s="36">
        <v>2800310</v>
      </c>
      <c r="W173" s="39">
        <v>0.56830000000000003</v>
      </c>
      <c r="X173" s="36">
        <v>5093618</v>
      </c>
      <c r="Y173" s="36">
        <v>3165374</v>
      </c>
      <c r="Z173" s="39">
        <v>0.62139999999999995</v>
      </c>
      <c r="AA173" s="36">
        <v>4249149</v>
      </c>
      <c r="AB173" s="36">
        <v>2172737</v>
      </c>
      <c r="AC173" s="39">
        <v>0.51129999999999998</v>
      </c>
      <c r="AD173" s="36">
        <v>4010562</v>
      </c>
      <c r="AE173" s="36">
        <v>2021118</v>
      </c>
      <c r="AF173" s="39">
        <v>0.50390000000000001</v>
      </c>
      <c r="AG173" s="36">
        <v>3015220</v>
      </c>
      <c r="AH173" s="36">
        <v>1753419</v>
      </c>
      <c r="AI173" s="39">
        <v>0.58150000000000002</v>
      </c>
      <c r="AJ173" s="36">
        <v>280917</v>
      </c>
      <c r="AK173" s="36">
        <v>172776</v>
      </c>
      <c r="AL173" s="39">
        <v>0.61499999999999999</v>
      </c>
      <c r="AM173" s="36">
        <v>304777</v>
      </c>
      <c r="AN173" s="36">
        <v>190686</v>
      </c>
      <c r="AO173" s="39">
        <v>0.62570000000000003</v>
      </c>
    </row>
    <row r="174" spans="1:41" ht="14" x14ac:dyDescent="0.2">
      <c r="A174" s="1" t="s">
        <v>376</v>
      </c>
      <c r="B174" s="1" t="s">
        <v>428</v>
      </c>
      <c r="C174" s="1" t="s">
        <v>437</v>
      </c>
      <c r="D174" s="1" t="s">
        <v>377</v>
      </c>
      <c r="E174" s="25">
        <v>1001</v>
      </c>
      <c r="F174" s="21">
        <v>232463.00058600001</v>
      </c>
      <c r="G174" s="20">
        <f t="shared" si="25"/>
        <v>137057.00035700001</v>
      </c>
      <c r="H174" s="24">
        <f t="shared" si="26"/>
        <v>0.58958629980471056</v>
      </c>
      <c r="I174" s="12">
        <v>493</v>
      </c>
      <c r="J174" s="12">
        <v>118815.000265</v>
      </c>
      <c r="K174" s="13">
        <f t="shared" si="27"/>
        <v>0.51111359642389298</v>
      </c>
      <c r="L174" s="4">
        <v>62</v>
      </c>
      <c r="M174" s="4">
        <v>14893.000040999999</v>
      </c>
      <c r="N174" s="17">
        <f t="shared" si="28"/>
        <v>6.4066109460246393E-2</v>
      </c>
      <c r="O174" s="9">
        <v>23</v>
      </c>
      <c r="P174" s="9">
        <v>3349.000051</v>
      </c>
      <c r="Q174" s="18">
        <f t="shared" si="29"/>
        <v>1.440659392057117E-2</v>
      </c>
      <c r="R174" s="36">
        <v>3645200</v>
      </c>
      <c r="S174" s="36">
        <v>2342468</v>
      </c>
      <c r="T174" s="39">
        <v>0.64259999999999995</v>
      </c>
      <c r="U174" s="36">
        <v>3665191</v>
      </c>
      <c r="V174" s="36">
        <v>2203959</v>
      </c>
      <c r="W174" s="39">
        <v>0.60129999999999995</v>
      </c>
      <c r="X174" s="36">
        <v>3712447</v>
      </c>
      <c r="Y174" s="36">
        <v>2234389</v>
      </c>
      <c r="Z174" s="39">
        <v>0.60189999999999999</v>
      </c>
      <c r="AA174" s="36">
        <v>3449036</v>
      </c>
      <c r="AB174" s="36">
        <v>1847202</v>
      </c>
      <c r="AC174" s="39">
        <v>0.53559999999999997</v>
      </c>
      <c r="AD174" s="36">
        <v>3207841</v>
      </c>
      <c r="AE174" s="36">
        <v>1669623</v>
      </c>
      <c r="AF174" s="39">
        <v>0.52049999999999996</v>
      </c>
      <c r="AG174" s="36">
        <v>2087298</v>
      </c>
      <c r="AH174" s="36">
        <v>1188694</v>
      </c>
      <c r="AI174" s="39">
        <v>0.56950000000000001</v>
      </c>
      <c r="AJ174" s="36">
        <v>252701</v>
      </c>
      <c r="AK174" s="36">
        <v>148615</v>
      </c>
      <c r="AL174" s="39">
        <v>0.58809999999999996</v>
      </c>
      <c r="AM174" s="36">
        <v>242180</v>
      </c>
      <c r="AN174" s="36">
        <v>154335</v>
      </c>
      <c r="AO174" s="39">
        <v>0.63729999999999998</v>
      </c>
    </row>
    <row r="175" spans="1:41" ht="14" x14ac:dyDescent="0.2">
      <c r="A175" s="1" t="s">
        <v>378</v>
      </c>
      <c r="B175" s="1" t="s">
        <v>428</v>
      </c>
      <c r="C175" s="1" t="s">
        <v>434</v>
      </c>
      <c r="D175" s="1" t="s">
        <v>379</v>
      </c>
      <c r="E175" s="25">
        <v>1048</v>
      </c>
      <c r="F175" s="21">
        <v>223505.00057900001</v>
      </c>
      <c r="G175" s="20">
        <f t="shared" si="25"/>
        <v>121131.999901</v>
      </c>
      <c r="H175" s="24">
        <f t="shared" si="26"/>
        <v>0.54196550228049467</v>
      </c>
      <c r="I175" s="12">
        <v>433</v>
      </c>
      <c r="J175" s="12">
        <v>102551.999859</v>
      </c>
      <c r="K175" s="13">
        <f t="shared" si="27"/>
        <v>0.45883537099095911</v>
      </c>
      <c r="L175" s="4">
        <v>73</v>
      </c>
      <c r="M175" s="4">
        <v>17129.000042</v>
      </c>
      <c r="N175" s="17">
        <f t="shared" si="28"/>
        <v>7.6638106519435964E-2</v>
      </c>
      <c r="O175" s="9">
        <v>10</v>
      </c>
      <c r="P175" s="9">
        <v>1451</v>
      </c>
      <c r="Q175" s="18">
        <f t="shared" si="29"/>
        <v>6.4920247700996289E-3</v>
      </c>
      <c r="R175" s="36">
        <v>3323587</v>
      </c>
      <c r="S175" s="36">
        <v>2103462</v>
      </c>
      <c r="T175" s="39">
        <v>0.63290000000000002</v>
      </c>
      <c r="U175" s="36">
        <v>3131681</v>
      </c>
      <c r="V175" s="36">
        <v>1907972</v>
      </c>
      <c r="W175" s="39">
        <v>0.60919999999999996</v>
      </c>
      <c r="X175" s="36">
        <v>3167468</v>
      </c>
      <c r="Y175" s="36">
        <v>1933098</v>
      </c>
      <c r="Z175" s="39">
        <v>0.61029999999999995</v>
      </c>
      <c r="AA175" s="36">
        <v>3198079</v>
      </c>
      <c r="AB175" s="36">
        <v>1664449</v>
      </c>
      <c r="AC175" s="39">
        <v>0.52049999999999996</v>
      </c>
      <c r="AD175" s="36">
        <v>2910593</v>
      </c>
      <c r="AE175" s="36">
        <v>1525166</v>
      </c>
      <c r="AF175" s="39">
        <v>0.52400000000000002</v>
      </c>
      <c r="AG175" s="36">
        <v>2077831</v>
      </c>
      <c r="AH175" s="36">
        <v>1158032</v>
      </c>
      <c r="AI175" s="39">
        <v>0.55730000000000002</v>
      </c>
      <c r="AJ175" s="36">
        <v>263029</v>
      </c>
      <c r="AK175" s="36">
        <v>153068</v>
      </c>
      <c r="AL175" s="39">
        <v>0.58189999999999997</v>
      </c>
      <c r="AM175" s="36">
        <v>231374</v>
      </c>
      <c r="AN175" s="36">
        <v>130228</v>
      </c>
      <c r="AO175" s="39">
        <v>0.56279999999999997</v>
      </c>
    </row>
    <row r="176" spans="1:41" ht="14" x14ac:dyDescent="0.2">
      <c r="A176" s="1" t="s">
        <v>380</v>
      </c>
      <c r="B176" s="1" t="s">
        <v>428</v>
      </c>
      <c r="C176" s="1" t="s">
        <v>432</v>
      </c>
      <c r="D176" s="1" t="s">
        <v>381</v>
      </c>
      <c r="E176" s="25">
        <v>732</v>
      </c>
      <c r="F176" s="21">
        <v>183319.00068299999</v>
      </c>
      <c r="G176" s="20">
        <f t="shared" si="25"/>
        <v>103587.00062999999</v>
      </c>
      <c r="H176" s="24">
        <f t="shared" si="26"/>
        <v>0.56506417907615236</v>
      </c>
      <c r="I176" s="12">
        <v>369</v>
      </c>
      <c r="J176" s="12">
        <v>87408.000558999993</v>
      </c>
      <c r="K176" s="13">
        <f t="shared" si="27"/>
        <v>0.47680818809474196</v>
      </c>
      <c r="L176" s="4">
        <v>44</v>
      </c>
      <c r="M176" s="4">
        <v>13124.000102</v>
      </c>
      <c r="N176" s="17">
        <f t="shared" si="28"/>
        <v>7.1591051953716262E-2</v>
      </c>
      <c r="O176" s="9">
        <v>24</v>
      </c>
      <c r="P176" s="9">
        <v>3054.999969</v>
      </c>
      <c r="Q176" s="18">
        <f t="shared" si="29"/>
        <v>1.6664939027694056E-2</v>
      </c>
      <c r="R176" s="36">
        <v>4085026</v>
      </c>
      <c r="S176" s="36">
        <v>2581228</v>
      </c>
      <c r="T176" s="39">
        <v>0.63190000000000002</v>
      </c>
      <c r="U176" s="36">
        <v>3935003</v>
      </c>
      <c r="V176" s="36">
        <v>2299867</v>
      </c>
      <c r="W176" s="39">
        <v>0.58450000000000002</v>
      </c>
      <c r="X176" s="36">
        <v>4406408</v>
      </c>
      <c r="Y176" s="36">
        <v>2725342</v>
      </c>
      <c r="Z176" s="39">
        <v>0.61850000000000005</v>
      </c>
      <c r="AA176" s="36">
        <v>3719975</v>
      </c>
      <c r="AB176" s="36">
        <v>2176054</v>
      </c>
      <c r="AC176" s="39">
        <v>0.58499999999999996</v>
      </c>
      <c r="AD176" s="36">
        <v>3633056</v>
      </c>
      <c r="AE176" s="36">
        <v>2045958</v>
      </c>
      <c r="AF176" s="39">
        <v>0.56320000000000003</v>
      </c>
      <c r="AG176" s="36">
        <v>2497704</v>
      </c>
      <c r="AH176" s="36">
        <v>1524482</v>
      </c>
      <c r="AI176" s="39">
        <v>0.61040000000000005</v>
      </c>
      <c r="AJ176" s="36">
        <v>207333</v>
      </c>
      <c r="AK176" s="36">
        <v>129637</v>
      </c>
      <c r="AL176" s="39">
        <v>0.62529999999999997</v>
      </c>
      <c r="AM176" s="36">
        <v>210573</v>
      </c>
      <c r="AN176" s="36">
        <v>139152</v>
      </c>
      <c r="AO176" s="39">
        <v>0.66080000000000005</v>
      </c>
    </row>
    <row r="177" spans="1:41" ht="14" x14ac:dyDescent="0.2">
      <c r="A177" s="1" t="s">
        <v>382</v>
      </c>
      <c r="B177" s="1" t="s">
        <v>428</v>
      </c>
      <c r="C177" s="1" t="s">
        <v>432</v>
      </c>
      <c r="D177" s="1" t="s">
        <v>383</v>
      </c>
      <c r="E177" s="25">
        <v>717</v>
      </c>
      <c r="F177" s="21">
        <v>165184.000363</v>
      </c>
      <c r="G177" s="20">
        <f t="shared" si="25"/>
        <v>96226.000287000003</v>
      </c>
      <c r="H177" s="24">
        <f t="shared" si="26"/>
        <v>0.58253826082149973</v>
      </c>
      <c r="I177" s="12">
        <v>364</v>
      </c>
      <c r="J177" s="12">
        <v>86039.000245000003</v>
      </c>
      <c r="K177" s="13">
        <f t="shared" si="27"/>
        <v>0.5208676388507667</v>
      </c>
      <c r="L177" s="4">
        <v>45</v>
      </c>
      <c r="M177" s="4">
        <v>9830.0000099999997</v>
      </c>
      <c r="N177" s="17">
        <f t="shared" si="28"/>
        <v>5.9509395512871037E-2</v>
      </c>
      <c r="O177" s="9">
        <v>3</v>
      </c>
      <c r="P177" s="9">
        <v>357.00003199999998</v>
      </c>
      <c r="Q177" s="18">
        <f t="shared" si="29"/>
        <v>2.1612264578619888E-3</v>
      </c>
      <c r="R177" s="36">
        <v>3318078</v>
      </c>
      <c r="S177" s="36">
        <v>1982965</v>
      </c>
      <c r="T177" s="39">
        <v>0.59760000000000002</v>
      </c>
      <c r="U177" s="36">
        <v>3038256</v>
      </c>
      <c r="V177" s="36">
        <v>1676700</v>
      </c>
      <c r="W177" s="39">
        <v>0.55189999999999995</v>
      </c>
      <c r="X177" s="36">
        <v>3020763</v>
      </c>
      <c r="Y177" s="36">
        <v>1728489</v>
      </c>
      <c r="Z177" s="39">
        <v>0.57220000000000004</v>
      </c>
      <c r="AA177" s="36">
        <v>2873169</v>
      </c>
      <c r="AB177" s="36">
        <v>1424198</v>
      </c>
      <c r="AC177" s="39">
        <v>0.49569999999999997</v>
      </c>
      <c r="AD177" s="36">
        <v>2737172</v>
      </c>
      <c r="AE177" s="36">
        <v>1363626</v>
      </c>
      <c r="AF177" s="39">
        <v>0.49819999999999998</v>
      </c>
      <c r="AG177" s="36">
        <v>1794542</v>
      </c>
      <c r="AH177" s="36">
        <v>974040</v>
      </c>
      <c r="AI177" s="39">
        <v>0.54279999999999995</v>
      </c>
      <c r="AJ177" s="36">
        <v>182784</v>
      </c>
      <c r="AK177" s="36">
        <v>115592</v>
      </c>
      <c r="AL177" s="39">
        <v>0.63239999999999996</v>
      </c>
      <c r="AM177" s="36">
        <v>179344</v>
      </c>
      <c r="AN177" s="36">
        <v>112725</v>
      </c>
      <c r="AO177" s="39">
        <v>0.62849999999999995</v>
      </c>
    </row>
    <row r="178" spans="1:41" ht="14" x14ac:dyDescent="0.2">
      <c r="A178" s="1" t="s">
        <v>384</v>
      </c>
      <c r="B178" s="1" t="s">
        <v>428</v>
      </c>
      <c r="C178" s="1" t="s">
        <v>432</v>
      </c>
      <c r="D178" s="1" t="s">
        <v>385</v>
      </c>
      <c r="E178" s="25">
        <v>746</v>
      </c>
      <c r="F178" s="21">
        <v>177094.00074300001</v>
      </c>
      <c r="G178" s="20">
        <f t="shared" si="25"/>
        <v>89117.000264000002</v>
      </c>
      <c r="H178" s="24">
        <f t="shared" si="26"/>
        <v>0.50321862903378178</v>
      </c>
      <c r="I178" s="12">
        <v>312</v>
      </c>
      <c r="J178" s="12">
        <v>76406.000306999995</v>
      </c>
      <c r="K178" s="13">
        <f t="shared" si="27"/>
        <v>0.43144318828665962</v>
      </c>
      <c r="L178" s="4">
        <v>42</v>
      </c>
      <c r="M178" s="4">
        <v>11019.999965999999</v>
      </c>
      <c r="N178" s="17">
        <f t="shared" si="28"/>
        <v>6.2226839530223815E-2</v>
      </c>
      <c r="O178" s="9">
        <v>7</v>
      </c>
      <c r="P178" s="9">
        <v>1690.9999909999999</v>
      </c>
      <c r="Q178" s="18">
        <f t="shared" si="29"/>
        <v>9.5486012168983087E-3</v>
      </c>
      <c r="R178" s="36">
        <v>3191558</v>
      </c>
      <c r="S178" s="36">
        <v>2113918</v>
      </c>
      <c r="T178" s="39">
        <v>0.6623</v>
      </c>
      <c r="U178" s="36">
        <v>3020055</v>
      </c>
      <c r="V178" s="36">
        <v>2065816</v>
      </c>
      <c r="W178" s="39">
        <v>0.68400000000000005</v>
      </c>
      <c r="X178" s="36">
        <v>3548927</v>
      </c>
      <c r="Y178" s="36">
        <v>2378792</v>
      </c>
      <c r="Z178" s="39">
        <v>0.67030000000000001</v>
      </c>
      <c r="AA178" s="36">
        <v>2896011</v>
      </c>
      <c r="AB178" s="36">
        <v>1593689</v>
      </c>
      <c r="AC178" s="39">
        <v>0.55030000000000001</v>
      </c>
      <c r="AD178" s="36">
        <v>2974668</v>
      </c>
      <c r="AE178" s="36">
        <v>1566981</v>
      </c>
      <c r="AF178" s="39">
        <v>0.52680000000000005</v>
      </c>
      <c r="AG178" s="36">
        <v>2069588</v>
      </c>
      <c r="AH178" s="36">
        <v>1182060</v>
      </c>
      <c r="AI178" s="39">
        <v>0.57120000000000004</v>
      </c>
      <c r="AJ178" s="36">
        <v>200942</v>
      </c>
      <c r="AK178" s="36">
        <v>111341</v>
      </c>
      <c r="AL178" s="39">
        <v>0.55410000000000004</v>
      </c>
      <c r="AM178" s="36">
        <v>188014</v>
      </c>
      <c r="AN178" s="36">
        <v>95963</v>
      </c>
      <c r="AO178" s="39">
        <v>0.51039999999999996</v>
      </c>
    </row>
    <row r="179" spans="1:41" ht="14" x14ac:dyDescent="0.2">
      <c r="A179" s="1" t="s">
        <v>386</v>
      </c>
      <c r="B179" s="1" t="s">
        <v>428</v>
      </c>
      <c r="C179" s="1" t="s">
        <v>437</v>
      </c>
      <c r="D179" s="1" t="s">
        <v>387</v>
      </c>
      <c r="E179" s="25">
        <v>1360</v>
      </c>
      <c r="F179" s="21">
        <v>328318.00024000002</v>
      </c>
      <c r="G179" s="20">
        <f t="shared" si="25"/>
        <v>190736.99993299998</v>
      </c>
      <c r="H179" s="24">
        <f t="shared" si="26"/>
        <v>0.58095200322118035</v>
      </c>
      <c r="I179" s="12">
        <v>663</v>
      </c>
      <c r="J179" s="12">
        <v>160592.00004799999</v>
      </c>
      <c r="K179" s="13">
        <f t="shared" si="27"/>
        <v>0.48913553302166635</v>
      </c>
      <c r="L179" s="4">
        <v>88</v>
      </c>
      <c r="M179" s="4">
        <v>24531.999926</v>
      </c>
      <c r="N179" s="17">
        <f t="shared" si="28"/>
        <v>7.4720240462195622E-2</v>
      </c>
      <c r="O179" s="9">
        <v>25</v>
      </c>
      <c r="P179" s="9">
        <v>5612.9999589999998</v>
      </c>
      <c r="Q179" s="18">
        <f t="shared" si="29"/>
        <v>1.7096229737318405E-2</v>
      </c>
      <c r="R179" s="36">
        <v>2786672</v>
      </c>
      <c r="S179" s="36">
        <v>2104785</v>
      </c>
      <c r="T179" s="39">
        <v>0.75529999999999997</v>
      </c>
      <c r="U179" s="36">
        <v>2860627</v>
      </c>
      <c r="V179" s="36">
        <v>2141640</v>
      </c>
      <c r="W179" s="39">
        <v>0.74870000000000003</v>
      </c>
      <c r="X179" s="36">
        <v>2835803</v>
      </c>
      <c r="Y179" s="36">
        <v>2114047</v>
      </c>
      <c r="Z179" s="39">
        <v>0.74550000000000005</v>
      </c>
      <c r="AA179" s="36">
        <v>2467584</v>
      </c>
      <c r="AB179" s="36">
        <v>1444791</v>
      </c>
      <c r="AC179" s="39">
        <v>0.58550000000000002</v>
      </c>
      <c r="AD179" s="36">
        <v>2414423</v>
      </c>
      <c r="AE179" s="36">
        <v>1351910</v>
      </c>
      <c r="AF179" s="39">
        <v>0.55989999999999995</v>
      </c>
      <c r="AG179" s="36">
        <v>1635505</v>
      </c>
      <c r="AH179" s="36">
        <v>1037927</v>
      </c>
      <c r="AI179" s="39">
        <v>0.63460000000000005</v>
      </c>
      <c r="AJ179" s="36">
        <v>361070</v>
      </c>
      <c r="AK179" s="36">
        <v>225538</v>
      </c>
      <c r="AL179" s="39">
        <v>0.62460000000000004</v>
      </c>
      <c r="AM179" s="36">
        <v>358716</v>
      </c>
      <c r="AN179" s="36">
        <v>220875</v>
      </c>
      <c r="AO179" s="39">
        <v>0.61570000000000003</v>
      </c>
    </row>
    <row r="180" spans="1:41" ht="14" x14ac:dyDescent="0.2">
      <c r="A180" s="1" t="s">
        <v>388</v>
      </c>
      <c r="B180" s="1" t="s">
        <v>428</v>
      </c>
      <c r="C180" s="1" t="s">
        <v>432</v>
      </c>
      <c r="D180" s="1" t="s">
        <v>389</v>
      </c>
      <c r="E180" s="25">
        <v>863</v>
      </c>
      <c r="F180" s="21">
        <v>231886.00085300001</v>
      </c>
      <c r="G180" s="20">
        <f t="shared" si="25"/>
        <v>113895.00030499999</v>
      </c>
      <c r="H180" s="24">
        <f t="shared" si="26"/>
        <v>0.49116807347590463</v>
      </c>
      <c r="I180" s="12">
        <v>369</v>
      </c>
      <c r="J180" s="12">
        <v>93380.0003</v>
      </c>
      <c r="K180" s="13">
        <f t="shared" si="27"/>
        <v>0.40269787721767897</v>
      </c>
      <c r="L180" s="4">
        <v>74</v>
      </c>
      <c r="M180" s="4">
        <v>17947.000001</v>
      </c>
      <c r="N180" s="17">
        <f t="shared" si="28"/>
        <v>7.7395789029874124E-2</v>
      </c>
      <c r="O180" s="9">
        <v>7</v>
      </c>
      <c r="P180" s="9">
        <v>2568.000004</v>
      </c>
      <c r="Q180" s="18">
        <f t="shared" si="29"/>
        <v>1.1074407228351563E-2</v>
      </c>
      <c r="R180" s="36">
        <v>3880594</v>
      </c>
      <c r="S180" s="36">
        <v>2661859</v>
      </c>
      <c r="T180" s="39">
        <v>0.68589999999999995</v>
      </c>
      <c r="U180" s="36">
        <v>3644938</v>
      </c>
      <c r="V180" s="36">
        <v>2434370</v>
      </c>
      <c r="W180" s="39">
        <v>0.66790000000000005</v>
      </c>
      <c r="X180" s="36">
        <v>4249625</v>
      </c>
      <c r="Y180" s="36">
        <v>2959674</v>
      </c>
      <c r="Z180" s="39">
        <v>0.69650000000000001</v>
      </c>
      <c r="AA180" s="36">
        <v>3600647</v>
      </c>
      <c r="AB180" s="36">
        <v>2008458</v>
      </c>
      <c r="AC180" s="39">
        <v>0.55779999999999996</v>
      </c>
      <c r="AD180" s="36">
        <v>3557266</v>
      </c>
      <c r="AE180" s="36">
        <v>1767921</v>
      </c>
      <c r="AF180" s="39">
        <v>0.497</v>
      </c>
      <c r="AG180" s="36">
        <v>2392846</v>
      </c>
      <c r="AH180" s="36">
        <v>1334631</v>
      </c>
      <c r="AI180" s="39">
        <v>0.55779999999999996</v>
      </c>
      <c r="AJ180" s="36">
        <v>259137</v>
      </c>
      <c r="AK180" s="36">
        <v>150328</v>
      </c>
      <c r="AL180" s="39">
        <v>0.58009999999999995</v>
      </c>
      <c r="AM180" s="36">
        <v>274167</v>
      </c>
      <c r="AN180" s="36">
        <v>163490</v>
      </c>
      <c r="AO180" s="39">
        <v>0.59630000000000005</v>
      </c>
    </row>
    <row r="181" spans="1:41" ht="14" x14ac:dyDescent="0.2">
      <c r="A181" s="1" t="s">
        <v>390</v>
      </c>
      <c r="B181" s="1" t="s">
        <v>429</v>
      </c>
      <c r="C181" s="1" t="s">
        <v>432</v>
      </c>
      <c r="D181" s="1" t="s">
        <v>391</v>
      </c>
      <c r="E181" s="25">
        <v>748</v>
      </c>
      <c r="F181" s="21">
        <v>196964.000337</v>
      </c>
      <c r="G181" s="20">
        <f t="shared" si="25"/>
        <v>184685.00014000002</v>
      </c>
      <c r="H181" s="24">
        <f t="shared" si="26"/>
        <v>0.93765865754152555</v>
      </c>
      <c r="I181" s="12">
        <v>624</v>
      </c>
      <c r="J181" s="12">
        <v>163108.00005500001</v>
      </c>
      <c r="K181" s="13">
        <f t="shared" si="27"/>
        <v>0.82811071960321025</v>
      </c>
      <c r="L181" s="4">
        <v>61</v>
      </c>
      <c r="M181" s="4">
        <v>18015.000065</v>
      </c>
      <c r="N181" s="17">
        <f t="shared" si="28"/>
        <v>9.1463414807664498E-2</v>
      </c>
      <c r="O181" s="9">
        <v>15</v>
      </c>
      <c r="P181" s="9">
        <v>3562.0000199999999</v>
      </c>
      <c r="Q181" s="18">
        <f t="shared" si="29"/>
        <v>1.8084523130650856E-2</v>
      </c>
      <c r="R181" s="36">
        <v>4200617</v>
      </c>
      <c r="S181" s="36">
        <v>2852397</v>
      </c>
      <c r="T181" s="39">
        <v>0.67900000000000005</v>
      </c>
      <c r="U181" s="36">
        <v>4145974</v>
      </c>
      <c r="V181" s="36">
        <v>2682721</v>
      </c>
      <c r="W181" s="39">
        <v>0.64710000000000001</v>
      </c>
      <c r="X181" s="36">
        <v>4064041</v>
      </c>
      <c r="Y181" s="36">
        <v>2746693</v>
      </c>
      <c r="Z181" s="39">
        <v>0.67589999999999995</v>
      </c>
      <c r="AA181" s="36">
        <v>3696422</v>
      </c>
      <c r="AB181" s="36">
        <v>2225518</v>
      </c>
      <c r="AC181" s="39">
        <v>0.60209999999999997</v>
      </c>
      <c r="AD181" s="36">
        <v>3404715</v>
      </c>
      <c r="AE181" s="36">
        <v>2196324</v>
      </c>
      <c r="AF181" s="39">
        <v>0.64510000000000001</v>
      </c>
      <c r="AG181" s="36">
        <v>2332546</v>
      </c>
      <c r="AH181" s="36">
        <v>1557629</v>
      </c>
      <c r="AI181" s="39">
        <v>0.66779999999999995</v>
      </c>
      <c r="AJ181" s="36">
        <v>223881</v>
      </c>
      <c r="AK181" s="36">
        <v>216612</v>
      </c>
      <c r="AL181" s="39">
        <v>0.96750000000000003</v>
      </c>
      <c r="AM181" s="36">
        <v>192587</v>
      </c>
      <c r="AN181" s="36">
        <v>181607</v>
      </c>
      <c r="AO181" s="39">
        <v>0.94299999999999995</v>
      </c>
    </row>
    <row r="182" spans="1:41" ht="14" x14ac:dyDescent="0.2">
      <c r="A182" s="1" t="s">
        <v>392</v>
      </c>
      <c r="B182" s="1" t="s">
        <v>428</v>
      </c>
      <c r="C182" s="1" t="s">
        <v>432</v>
      </c>
      <c r="D182" s="1" t="s">
        <v>393</v>
      </c>
      <c r="E182" s="25">
        <v>902</v>
      </c>
      <c r="F182" s="21">
        <v>228500.00041899999</v>
      </c>
      <c r="G182" s="20">
        <f t="shared" si="25"/>
        <v>141476.00035800002</v>
      </c>
      <c r="H182" s="24">
        <f t="shared" si="26"/>
        <v>0.61915098511411715</v>
      </c>
      <c r="I182" s="12">
        <v>470</v>
      </c>
      <c r="J182" s="12">
        <v>120342.000096</v>
      </c>
      <c r="K182" s="13">
        <f t="shared" si="27"/>
        <v>0.52666083096424121</v>
      </c>
      <c r="L182" s="4">
        <v>64</v>
      </c>
      <c r="M182" s="4">
        <v>17095.000261000001</v>
      </c>
      <c r="N182" s="17">
        <f t="shared" si="28"/>
        <v>7.4814005381413279E-2</v>
      </c>
      <c r="O182" s="9">
        <v>23</v>
      </c>
      <c r="P182" s="9">
        <v>4039.0000009999999</v>
      </c>
      <c r="Q182" s="18">
        <f t="shared" si="29"/>
        <v>1.7676148768462553E-2</v>
      </c>
      <c r="R182" s="36">
        <v>4662400</v>
      </c>
      <c r="S182" s="36">
        <v>2993544</v>
      </c>
      <c r="T182" s="39">
        <v>0.6421</v>
      </c>
      <c r="U182" s="36">
        <v>4439841</v>
      </c>
      <c r="V182" s="36">
        <v>2770618</v>
      </c>
      <c r="W182" s="39">
        <v>0.624</v>
      </c>
      <c r="X182" s="36">
        <v>4567528</v>
      </c>
      <c r="Y182" s="36">
        <v>2948293</v>
      </c>
      <c r="Z182" s="39">
        <v>0.64549999999999996</v>
      </c>
      <c r="AA182" s="36">
        <v>3909541</v>
      </c>
      <c r="AB182" s="36">
        <v>2215800</v>
      </c>
      <c r="AC182" s="39">
        <v>0.56679999999999997</v>
      </c>
      <c r="AD182" s="36">
        <v>3872248</v>
      </c>
      <c r="AE182" s="36">
        <v>2166483</v>
      </c>
      <c r="AF182" s="39">
        <v>0.5595</v>
      </c>
      <c r="AG182" s="36">
        <v>2588886</v>
      </c>
      <c r="AH182" s="36">
        <v>1525921</v>
      </c>
      <c r="AI182" s="39">
        <v>0.58940000000000003</v>
      </c>
      <c r="AJ182" s="36">
        <v>251540</v>
      </c>
      <c r="AK182" s="36">
        <v>162098</v>
      </c>
      <c r="AL182" s="39">
        <v>0.64439999999999997</v>
      </c>
      <c r="AM182" s="36">
        <v>244024</v>
      </c>
      <c r="AN182" s="36">
        <v>155544</v>
      </c>
      <c r="AO182" s="39">
        <v>0.63739999999999997</v>
      </c>
    </row>
    <row r="183" spans="1:41" ht="14" x14ac:dyDescent="0.2">
      <c r="A183" s="1" t="s">
        <v>394</v>
      </c>
      <c r="B183" s="1" t="s">
        <v>429</v>
      </c>
      <c r="C183" s="1" t="s">
        <v>432</v>
      </c>
      <c r="D183" s="1" t="s">
        <v>395</v>
      </c>
      <c r="E183" s="25">
        <v>1203</v>
      </c>
      <c r="F183" s="21">
        <v>358297.00161199999</v>
      </c>
      <c r="G183" s="20">
        <f t="shared" si="25"/>
        <v>329710.00150199997</v>
      </c>
      <c r="H183" s="24">
        <f t="shared" si="26"/>
        <v>0.92021423572794259</v>
      </c>
      <c r="I183" s="12">
        <v>1040</v>
      </c>
      <c r="J183" s="12">
        <v>302837.00141700002</v>
      </c>
      <c r="K183" s="13">
        <f t="shared" si="27"/>
        <v>0.84521221236716448</v>
      </c>
      <c r="L183" s="4">
        <v>80</v>
      </c>
      <c r="M183" s="4">
        <v>23131.000072999999</v>
      </c>
      <c r="N183" s="17">
        <f t="shared" si="28"/>
        <v>6.4558173718820486E-2</v>
      </c>
      <c r="O183" s="9">
        <v>12</v>
      </c>
      <c r="P183" s="9">
        <v>3742.000012</v>
      </c>
      <c r="Q183" s="18">
        <f t="shared" si="29"/>
        <v>1.044384964195769E-2</v>
      </c>
      <c r="R183" s="36">
        <v>4427123</v>
      </c>
      <c r="S183" s="36">
        <v>3501129</v>
      </c>
      <c r="T183" s="39">
        <v>0.79079999999999995</v>
      </c>
      <c r="U183" s="36">
        <v>4135732</v>
      </c>
      <c r="V183" s="36">
        <v>3232655</v>
      </c>
      <c r="W183" s="39">
        <v>0.78159999999999996</v>
      </c>
      <c r="X183" s="36">
        <v>4575222</v>
      </c>
      <c r="Y183" s="36">
        <v>3693185</v>
      </c>
      <c r="Z183" s="39">
        <v>0.80720000000000003</v>
      </c>
      <c r="AA183" s="36">
        <v>3909471</v>
      </c>
      <c r="AB183" s="36">
        <v>2517782</v>
      </c>
      <c r="AC183" s="39">
        <v>0.64400000000000002</v>
      </c>
      <c r="AD183" s="36">
        <v>3677118</v>
      </c>
      <c r="AE183" s="36">
        <v>2713170</v>
      </c>
      <c r="AF183" s="39">
        <v>0.7379</v>
      </c>
      <c r="AG183" s="36">
        <v>2610978</v>
      </c>
      <c r="AH183" s="36">
        <v>2090351</v>
      </c>
      <c r="AI183" s="39">
        <v>0.80059999999999998</v>
      </c>
      <c r="AJ183" s="36">
        <v>405466</v>
      </c>
      <c r="AK183" s="36">
        <v>393718</v>
      </c>
      <c r="AL183" s="39">
        <v>0.97099999999999997</v>
      </c>
      <c r="AM183" s="36">
        <v>366191</v>
      </c>
      <c r="AN183" s="36">
        <v>348078</v>
      </c>
      <c r="AO183" s="39">
        <v>0.95050000000000001</v>
      </c>
    </row>
    <row r="184" spans="1:41" ht="14" x14ac:dyDescent="0.2">
      <c r="A184" s="1" t="s">
        <v>396</v>
      </c>
      <c r="B184" s="1" t="s">
        <v>428</v>
      </c>
      <c r="C184" s="1" t="s">
        <v>438</v>
      </c>
      <c r="D184" s="1" t="s">
        <v>397</v>
      </c>
      <c r="E184" s="25">
        <v>526</v>
      </c>
      <c r="F184" s="21">
        <v>153427.00042999999</v>
      </c>
      <c r="G184" s="20">
        <f t="shared" si="25"/>
        <v>83032.000180000003</v>
      </c>
      <c r="H184" s="24">
        <f t="shared" si="26"/>
        <v>0.54118245124581432</v>
      </c>
      <c r="I184" s="12">
        <v>231</v>
      </c>
      <c r="J184" s="12">
        <v>67085.000159000003</v>
      </c>
      <c r="K184" s="13">
        <f t="shared" si="27"/>
        <v>0.43724377046403295</v>
      </c>
      <c r="L184" s="4">
        <v>41</v>
      </c>
      <c r="M184" s="4">
        <v>12100.999961</v>
      </c>
      <c r="N184" s="17">
        <f t="shared" si="28"/>
        <v>7.8871384613433779E-2</v>
      </c>
      <c r="O184" s="9">
        <v>12</v>
      </c>
      <c r="P184" s="9">
        <v>3846.0000599999998</v>
      </c>
      <c r="Q184" s="18">
        <f t="shared" si="29"/>
        <v>2.5067296168347571E-2</v>
      </c>
      <c r="R184" s="36">
        <v>3755259</v>
      </c>
      <c r="S184" s="36">
        <v>2398479</v>
      </c>
      <c r="T184" s="39">
        <v>0.63870000000000005</v>
      </c>
      <c r="U184" s="36">
        <v>3574643</v>
      </c>
      <c r="V184" s="36">
        <v>2149622</v>
      </c>
      <c r="W184" s="39">
        <v>0.60140000000000005</v>
      </c>
      <c r="X184" s="36">
        <v>4273401</v>
      </c>
      <c r="Y184" s="36">
        <v>2698600</v>
      </c>
      <c r="Z184" s="39">
        <v>0.63149999999999995</v>
      </c>
      <c r="AA184" s="36">
        <v>3826453</v>
      </c>
      <c r="AB184" s="36">
        <v>1883461</v>
      </c>
      <c r="AC184" s="39">
        <v>0.49220000000000003</v>
      </c>
      <c r="AD184" s="36">
        <v>3798592</v>
      </c>
      <c r="AE184" s="36">
        <v>1758265</v>
      </c>
      <c r="AF184" s="39">
        <v>0.46289999999999998</v>
      </c>
      <c r="AG184" s="36">
        <v>2592245</v>
      </c>
      <c r="AH184" s="36">
        <v>1329752</v>
      </c>
      <c r="AI184" s="39">
        <v>0.51300000000000001</v>
      </c>
      <c r="AJ184" s="36">
        <v>171413</v>
      </c>
      <c r="AK184" s="36">
        <v>105046</v>
      </c>
      <c r="AL184" s="39">
        <v>0.61280000000000001</v>
      </c>
      <c r="AM184" s="36">
        <v>200412</v>
      </c>
      <c r="AN184" s="36">
        <v>129223</v>
      </c>
      <c r="AO184" s="39">
        <v>0.64480000000000004</v>
      </c>
    </row>
    <row r="185" spans="1:41" ht="14" x14ac:dyDescent="0.2">
      <c r="A185" s="1" t="s">
        <v>398</v>
      </c>
      <c r="B185" s="1" t="s">
        <v>429</v>
      </c>
      <c r="C185" s="1" t="s">
        <v>432</v>
      </c>
      <c r="D185" s="1" t="s">
        <v>399</v>
      </c>
      <c r="E185" s="25">
        <v>1084</v>
      </c>
      <c r="F185" s="21">
        <v>297130.00101499999</v>
      </c>
      <c r="G185" s="20">
        <f t="shared" si="25"/>
        <v>251721.000784</v>
      </c>
      <c r="H185" s="24">
        <f t="shared" si="26"/>
        <v>0.84717463710873275</v>
      </c>
      <c r="I185" s="12">
        <v>833</v>
      </c>
      <c r="J185" s="12">
        <v>221139.00067000001</v>
      </c>
      <c r="K185" s="13">
        <f t="shared" si="27"/>
        <v>0.74424999129871194</v>
      </c>
      <c r="L185" s="4">
        <v>82</v>
      </c>
      <c r="M185" s="4">
        <v>24783.000117</v>
      </c>
      <c r="N185" s="17">
        <f t="shared" si="28"/>
        <v>8.3407936029148672E-2</v>
      </c>
      <c r="O185" s="9">
        <v>22</v>
      </c>
      <c r="P185" s="9">
        <v>5798.9999969999999</v>
      </c>
      <c r="Q185" s="18">
        <f t="shared" si="29"/>
        <v>1.9516709780872141E-2</v>
      </c>
      <c r="R185" s="36">
        <v>4731573</v>
      </c>
      <c r="S185" s="36">
        <v>3083807</v>
      </c>
      <c r="T185" s="39">
        <v>0.65180000000000005</v>
      </c>
      <c r="U185" s="36">
        <v>4095370</v>
      </c>
      <c r="V185" s="36">
        <v>2694703</v>
      </c>
      <c r="W185" s="39">
        <v>0.65800000000000003</v>
      </c>
      <c r="X185" s="36">
        <v>4251361</v>
      </c>
      <c r="Y185" s="36">
        <v>2784312</v>
      </c>
      <c r="Z185" s="39">
        <v>0.65490000000000004</v>
      </c>
      <c r="AA185" s="36">
        <v>4092819</v>
      </c>
      <c r="AB185" s="36">
        <v>2225968</v>
      </c>
      <c r="AC185" s="39">
        <v>0.54390000000000005</v>
      </c>
      <c r="AD185" s="36">
        <v>3795022</v>
      </c>
      <c r="AE185" s="36">
        <v>2356493</v>
      </c>
      <c r="AF185" s="39">
        <v>0.62090000000000001</v>
      </c>
      <c r="AG185" s="36">
        <v>2629276</v>
      </c>
      <c r="AH185" s="36">
        <v>1734565</v>
      </c>
      <c r="AI185" s="39">
        <v>0.65969999999999995</v>
      </c>
      <c r="AJ185" s="36">
        <v>332065</v>
      </c>
      <c r="AK185" s="36">
        <v>324963</v>
      </c>
      <c r="AL185" s="39">
        <v>0.97860000000000003</v>
      </c>
      <c r="AM185" s="36">
        <v>339418</v>
      </c>
      <c r="AN185" s="36">
        <v>325902</v>
      </c>
      <c r="AO185" s="39">
        <v>0.96020000000000005</v>
      </c>
    </row>
    <row r="186" spans="1:41" ht="14" x14ac:dyDescent="0.2">
      <c r="A186" s="1" t="s">
        <v>400</v>
      </c>
      <c r="B186" s="1" t="s">
        <v>428</v>
      </c>
      <c r="C186" s="1" t="s">
        <v>432</v>
      </c>
      <c r="D186" s="1" t="s">
        <v>401</v>
      </c>
      <c r="E186" s="25">
        <v>841</v>
      </c>
      <c r="F186" s="21">
        <v>218760.000761</v>
      </c>
      <c r="G186" s="20">
        <f t="shared" si="25"/>
        <v>114551.000313</v>
      </c>
      <c r="H186" s="24">
        <f t="shared" si="26"/>
        <v>0.52363777616799989</v>
      </c>
      <c r="I186" s="12">
        <v>356</v>
      </c>
      <c r="J186" s="12">
        <v>95868.000417000003</v>
      </c>
      <c r="K186" s="13">
        <f t="shared" si="27"/>
        <v>0.43823368112773892</v>
      </c>
      <c r="L186" s="4">
        <v>68</v>
      </c>
      <c r="M186" s="4">
        <v>17868.999910999999</v>
      </c>
      <c r="N186" s="17">
        <f t="shared" si="28"/>
        <v>8.16831223662422E-2</v>
      </c>
      <c r="O186" s="9">
        <v>5</v>
      </c>
      <c r="P186" s="9">
        <v>813.99998500000004</v>
      </c>
      <c r="Q186" s="18">
        <f t="shared" si="29"/>
        <v>3.7209726740187413E-3</v>
      </c>
      <c r="R186" s="36">
        <v>3837272</v>
      </c>
      <c r="S186" s="36">
        <v>2182053</v>
      </c>
      <c r="T186" s="39">
        <v>0.56859999999999999</v>
      </c>
      <c r="U186" s="36">
        <v>3618890</v>
      </c>
      <c r="V186" s="36">
        <v>2050275</v>
      </c>
      <c r="W186" s="39">
        <v>0.5665</v>
      </c>
      <c r="X186" s="36">
        <v>3775306</v>
      </c>
      <c r="Y186" s="36">
        <v>2229791</v>
      </c>
      <c r="Z186" s="39">
        <v>0.59060000000000001</v>
      </c>
      <c r="AA186" s="36">
        <v>3399060</v>
      </c>
      <c r="AB186" s="36">
        <v>1758211</v>
      </c>
      <c r="AC186" s="39">
        <v>0.51729999999999998</v>
      </c>
      <c r="AD186" s="36">
        <v>3254819</v>
      </c>
      <c r="AE186" s="36">
        <v>1627298</v>
      </c>
      <c r="AF186" s="39">
        <v>0.5</v>
      </c>
      <c r="AG186" s="36">
        <v>2290584</v>
      </c>
      <c r="AH186" s="36">
        <v>1250333</v>
      </c>
      <c r="AI186" s="39">
        <v>0.54590000000000005</v>
      </c>
      <c r="AJ186" s="36">
        <v>237719</v>
      </c>
      <c r="AK186" s="36">
        <v>141764</v>
      </c>
      <c r="AL186" s="39">
        <v>0.59630000000000005</v>
      </c>
      <c r="AM186" s="36">
        <v>216496</v>
      </c>
      <c r="AN186" s="36">
        <v>132765</v>
      </c>
      <c r="AO186" s="39">
        <v>0.61319999999999997</v>
      </c>
    </row>
    <row r="187" spans="1:41" ht="14" x14ac:dyDescent="0.2">
      <c r="A187" s="1" t="s">
        <v>402</v>
      </c>
      <c r="B187" s="1" t="s">
        <v>429</v>
      </c>
      <c r="C187" s="1" t="s">
        <v>432</v>
      </c>
      <c r="D187" s="1" t="s">
        <v>403</v>
      </c>
      <c r="E187" s="25">
        <v>1186</v>
      </c>
      <c r="F187" s="21">
        <v>303267.00173800002</v>
      </c>
      <c r="G187" s="20">
        <f t="shared" si="25"/>
        <v>258926.00151100001</v>
      </c>
      <c r="H187" s="24">
        <f t="shared" si="26"/>
        <v>0.85378890557533416</v>
      </c>
      <c r="I187" s="12">
        <v>955</v>
      </c>
      <c r="J187" s="12">
        <v>238314.00134700001</v>
      </c>
      <c r="K187" s="13">
        <f t="shared" si="27"/>
        <v>0.78582239406608922</v>
      </c>
      <c r="L187" s="4">
        <v>70</v>
      </c>
      <c r="M187" s="4">
        <v>16638.000056000001</v>
      </c>
      <c r="N187" s="17">
        <f t="shared" si="28"/>
        <v>5.4862546734886726E-2</v>
      </c>
      <c r="O187" s="9">
        <v>20</v>
      </c>
      <c r="P187" s="9">
        <v>3974.0001080000002</v>
      </c>
      <c r="Q187" s="18">
        <f t="shared" si="29"/>
        <v>1.3103964774358269E-2</v>
      </c>
      <c r="R187" s="36">
        <v>3388723</v>
      </c>
      <c r="S187" s="36">
        <v>2902692</v>
      </c>
      <c r="T187" s="39">
        <v>0.85660000000000003</v>
      </c>
      <c r="U187" s="36">
        <v>3862805</v>
      </c>
      <c r="V187" s="36">
        <v>2914701</v>
      </c>
      <c r="W187" s="39">
        <v>0.75460000000000005</v>
      </c>
      <c r="X187" s="36">
        <v>4762517</v>
      </c>
      <c r="Y187" s="36">
        <v>3558292</v>
      </c>
      <c r="Z187" s="39">
        <v>0.74709999999999999</v>
      </c>
      <c r="AA187" s="36">
        <v>3506328</v>
      </c>
      <c r="AB187" s="36">
        <v>2209127</v>
      </c>
      <c r="AC187" s="39">
        <v>0.63</v>
      </c>
      <c r="AD187" s="36">
        <v>3288709</v>
      </c>
      <c r="AE187" s="36">
        <v>2242542</v>
      </c>
      <c r="AF187" s="39">
        <v>0.68189999999999995</v>
      </c>
      <c r="AG187" s="36">
        <v>2438320</v>
      </c>
      <c r="AH187" s="36">
        <v>1853206</v>
      </c>
      <c r="AI187" s="39">
        <v>0.76</v>
      </c>
      <c r="AJ187" s="36">
        <v>334139</v>
      </c>
      <c r="AK187" s="36">
        <v>327596</v>
      </c>
      <c r="AL187" s="39">
        <v>0.98040000000000005</v>
      </c>
      <c r="AM187" s="36">
        <v>309614</v>
      </c>
      <c r="AN187" s="36">
        <v>295433</v>
      </c>
      <c r="AO187" s="39">
        <v>0.95420000000000005</v>
      </c>
    </row>
    <row r="188" spans="1:41" ht="14" x14ac:dyDescent="0.2">
      <c r="A188" s="1" t="s">
        <v>404</v>
      </c>
      <c r="B188" s="1" t="s">
        <v>429</v>
      </c>
      <c r="C188" s="1" t="s">
        <v>432</v>
      </c>
      <c r="D188" s="1" t="s">
        <v>405</v>
      </c>
      <c r="E188" s="25">
        <v>703</v>
      </c>
      <c r="F188" s="21">
        <v>184550.000359</v>
      </c>
      <c r="G188" s="20">
        <f t="shared" si="25"/>
        <v>169688.00032300001</v>
      </c>
      <c r="H188" s="24">
        <f t="shared" si="26"/>
        <v>0.91946897855817211</v>
      </c>
      <c r="I188" s="12">
        <v>581</v>
      </c>
      <c r="J188" s="12">
        <v>153466.00026500001</v>
      </c>
      <c r="K188" s="13">
        <f t="shared" si="27"/>
        <v>0.83156868039266785</v>
      </c>
      <c r="L188" s="4">
        <v>56</v>
      </c>
      <c r="M188" s="4">
        <v>14246.000050000001</v>
      </c>
      <c r="N188" s="17">
        <f t="shared" si="28"/>
        <v>7.7193172702723661E-2</v>
      </c>
      <c r="O188" s="9">
        <v>11</v>
      </c>
      <c r="P188" s="9">
        <v>1976.000008</v>
      </c>
      <c r="Q188" s="18">
        <f t="shared" si="29"/>
        <v>1.0707125462780505E-2</v>
      </c>
      <c r="R188" s="36">
        <v>4088772</v>
      </c>
      <c r="S188" s="36">
        <v>2737377</v>
      </c>
      <c r="T188" s="39">
        <v>0.66949999999999998</v>
      </c>
      <c r="U188" s="36">
        <v>4243169</v>
      </c>
      <c r="V188" s="36">
        <v>2699982</v>
      </c>
      <c r="W188" s="39">
        <v>0.63629999999999998</v>
      </c>
      <c r="X188" s="36">
        <v>3876025</v>
      </c>
      <c r="Y188" s="36">
        <v>2519687</v>
      </c>
      <c r="Z188" s="39">
        <v>0.65010000000000001</v>
      </c>
      <c r="AA188" s="36">
        <v>3586612</v>
      </c>
      <c r="AB188" s="36">
        <v>2192514</v>
      </c>
      <c r="AC188" s="39">
        <v>0.61129999999999995</v>
      </c>
      <c r="AD188" s="36">
        <v>3533659</v>
      </c>
      <c r="AE188" s="36">
        <v>2293745</v>
      </c>
      <c r="AF188" s="39">
        <v>0.64910000000000001</v>
      </c>
      <c r="AG188" s="36">
        <v>2323393</v>
      </c>
      <c r="AH188" s="36">
        <v>1606001</v>
      </c>
      <c r="AI188" s="39">
        <v>0.69120000000000004</v>
      </c>
      <c r="AJ188" s="36">
        <v>210962</v>
      </c>
      <c r="AK188" s="36">
        <v>204043</v>
      </c>
      <c r="AL188" s="39">
        <v>0.96719999999999995</v>
      </c>
      <c r="AM188" s="36">
        <v>173686</v>
      </c>
      <c r="AN188" s="36">
        <v>163459</v>
      </c>
      <c r="AO188" s="39">
        <v>0.94110000000000005</v>
      </c>
    </row>
    <row r="189" spans="1:41" ht="14" x14ac:dyDescent="0.2">
      <c r="A189" s="1" t="s">
        <v>406</v>
      </c>
      <c r="B189" s="1" t="s">
        <v>428</v>
      </c>
      <c r="C189" s="1" t="s">
        <v>432</v>
      </c>
      <c r="D189" s="1" t="s">
        <v>407</v>
      </c>
      <c r="E189" s="25">
        <v>867</v>
      </c>
      <c r="F189" s="21">
        <v>222523.00097299999</v>
      </c>
      <c r="G189" s="20">
        <f t="shared" si="25"/>
        <v>100215.00057399999</v>
      </c>
      <c r="H189" s="24">
        <f t="shared" si="26"/>
        <v>0.45035794113777777</v>
      </c>
      <c r="I189" s="12">
        <v>335</v>
      </c>
      <c r="J189" s="12">
        <v>84928.000631999996</v>
      </c>
      <c r="K189" s="13">
        <f t="shared" si="27"/>
        <v>0.38165942514097589</v>
      </c>
      <c r="L189" s="4">
        <v>45</v>
      </c>
      <c r="M189" s="4">
        <v>12875.999958</v>
      </c>
      <c r="N189" s="17">
        <f t="shared" si="28"/>
        <v>5.7863681065321963E-2</v>
      </c>
      <c r="O189" s="9">
        <v>6</v>
      </c>
      <c r="P189" s="9">
        <v>2410.999984</v>
      </c>
      <c r="Q189" s="18">
        <f t="shared" si="29"/>
        <v>1.0834834931479917E-2</v>
      </c>
      <c r="R189" s="36">
        <v>2369542</v>
      </c>
      <c r="S189" s="36">
        <v>1526157</v>
      </c>
      <c r="T189" s="39">
        <v>0.64410000000000001</v>
      </c>
      <c r="U189" s="36">
        <v>2403334</v>
      </c>
      <c r="V189" s="36">
        <v>1448526</v>
      </c>
      <c r="W189" s="39">
        <v>0.60270000000000001</v>
      </c>
      <c r="X189" s="36">
        <v>2488670</v>
      </c>
      <c r="Y189" s="36">
        <v>1609431</v>
      </c>
      <c r="Z189" s="39">
        <v>0.64670000000000005</v>
      </c>
      <c r="AA189" s="36">
        <v>2282465</v>
      </c>
      <c r="AB189" s="36">
        <v>1140387</v>
      </c>
      <c r="AC189" s="39">
        <v>0.49959999999999999</v>
      </c>
      <c r="AD189" s="36">
        <v>2120787</v>
      </c>
      <c r="AE189" s="36">
        <v>1105116</v>
      </c>
      <c r="AF189" s="39">
        <v>0.52110000000000001</v>
      </c>
      <c r="AG189" s="36">
        <v>1477098</v>
      </c>
      <c r="AH189" s="36">
        <v>845038</v>
      </c>
      <c r="AI189" s="39">
        <v>0.57210000000000005</v>
      </c>
      <c r="AJ189" s="36">
        <v>252399</v>
      </c>
      <c r="AK189" s="36">
        <v>144480</v>
      </c>
      <c r="AL189" s="39">
        <v>0.57240000000000002</v>
      </c>
      <c r="AM189" s="36">
        <v>224594</v>
      </c>
      <c r="AN189" s="36">
        <v>127282</v>
      </c>
      <c r="AO189" s="39">
        <v>0.56669999999999998</v>
      </c>
    </row>
    <row r="190" spans="1:41" ht="14" x14ac:dyDescent="0.2">
      <c r="A190" s="1" t="s">
        <v>408</v>
      </c>
      <c r="B190" s="1" t="s">
        <v>428</v>
      </c>
      <c r="C190" s="1" t="s">
        <v>432</v>
      </c>
      <c r="D190" s="1" t="s">
        <v>409</v>
      </c>
      <c r="E190" s="25">
        <v>627</v>
      </c>
      <c r="F190" s="21">
        <v>152597.00046800001</v>
      </c>
      <c r="G190" s="20">
        <f t="shared" si="25"/>
        <v>76670.000130999993</v>
      </c>
      <c r="H190" s="24">
        <f t="shared" si="26"/>
        <v>0.50243451637883207</v>
      </c>
      <c r="I190" s="12">
        <v>257</v>
      </c>
      <c r="J190" s="12">
        <v>61999.000152000001</v>
      </c>
      <c r="K190" s="13">
        <f t="shared" si="27"/>
        <v>0.40629239081931595</v>
      </c>
      <c r="L190" s="4">
        <v>48</v>
      </c>
      <c r="M190" s="4">
        <v>13606.999991000001</v>
      </c>
      <c r="N190" s="17">
        <f t="shared" si="28"/>
        <v>8.9169511519025066E-2</v>
      </c>
      <c r="O190" s="9">
        <v>5</v>
      </c>
      <c r="P190" s="9">
        <v>1063.999988</v>
      </c>
      <c r="Q190" s="18">
        <f t="shared" si="29"/>
        <v>6.9726140404910751E-3</v>
      </c>
      <c r="R190" s="36">
        <v>2753801</v>
      </c>
      <c r="S190" s="36">
        <v>1680226</v>
      </c>
      <c r="T190" s="39">
        <v>0.61009999999999998</v>
      </c>
      <c r="U190" s="36">
        <v>2621242</v>
      </c>
      <c r="V190" s="36">
        <v>1481305</v>
      </c>
      <c r="W190" s="39">
        <v>0.56510000000000005</v>
      </c>
      <c r="X190" s="36">
        <v>2881221</v>
      </c>
      <c r="Y190" s="36">
        <v>1630045</v>
      </c>
      <c r="Z190" s="39">
        <v>0.56569999999999998</v>
      </c>
      <c r="AA190" s="36">
        <v>2396861</v>
      </c>
      <c r="AB190" s="36">
        <v>1201992</v>
      </c>
      <c r="AC190" s="39">
        <v>0.50149999999999995</v>
      </c>
      <c r="AD190" s="36">
        <v>2346409</v>
      </c>
      <c r="AE190" s="36">
        <v>1169685</v>
      </c>
      <c r="AF190" s="39">
        <v>0.4985</v>
      </c>
      <c r="AG190" s="36">
        <v>1583500</v>
      </c>
      <c r="AH190" s="36">
        <v>839855</v>
      </c>
      <c r="AI190" s="39">
        <v>0.53039999999999998</v>
      </c>
      <c r="AJ190" s="36">
        <v>172761</v>
      </c>
      <c r="AK190" s="36">
        <v>96187</v>
      </c>
      <c r="AL190" s="39">
        <v>0.55679999999999996</v>
      </c>
      <c r="AM190" s="36">
        <v>157732</v>
      </c>
      <c r="AN190" s="36">
        <v>92146</v>
      </c>
      <c r="AO190" s="39">
        <v>0.58420000000000005</v>
      </c>
    </row>
    <row r="191" spans="1:41" ht="14" x14ac:dyDescent="0.2">
      <c r="A191" s="1" t="s">
        <v>410</v>
      </c>
      <c r="B191" s="1" t="s">
        <v>428</v>
      </c>
      <c r="C191" s="1" t="s">
        <v>439</v>
      </c>
      <c r="D191" s="1" t="s">
        <v>411</v>
      </c>
      <c r="E191" s="25">
        <v>700</v>
      </c>
      <c r="F191" s="21">
        <v>165256.000875</v>
      </c>
      <c r="G191" s="20">
        <f t="shared" si="25"/>
        <v>99876.000444999998</v>
      </c>
      <c r="H191" s="24">
        <f t="shared" si="26"/>
        <v>0.60437139901834136</v>
      </c>
      <c r="I191" s="12">
        <v>335</v>
      </c>
      <c r="J191" s="12">
        <v>82325.000354999996</v>
      </c>
      <c r="K191" s="13">
        <f t="shared" si="27"/>
        <v>0.49816648060647922</v>
      </c>
      <c r="L191" s="4">
        <v>54</v>
      </c>
      <c r="M191" s="4">
        <v>15501.000055</v>
      </c>
      <c r="N191" s="17">
        <f t="shared" si="28"/>
        <v>9.3799922380579631E-2</v>
      </c>
      <c r="O191" s="9">
        <v>11</v>
      </c>
      <c r="P191" s="9">
        <v>2050.000035</v>
      </c>
      <c r="Q191" s="18">
        <f t="shared" si="29"/>
        <v>1.2404996031282547E-2</v>
      </c>
      <c r="R191" s="36">
        <v>2606230</v>
      </c>
      <c r="S191" s="36">
        <v>1660653</v>
      </c>
      <c r="T191" s="39">
        <v>0.63719999999999999</v>
      </c>
      <c r="U191" s="36">
        <v>2462459</v>
      </c>
      <c r="V191" s="36">
        <v>1566677</v>
      </c>
      <c r="W191" s="39">
        <v>0.63619999999999999</v>
      </c>
      <c r="X191" s="36">
        <v>2652558</v>
      </c>
      <c r="Y191" s="36">
        <v>1712294</v>
      </c>
      <c r="Z191" s="39">
        <v>0.64549999999999996</v>
      </c>
      <c r="AA191" s="36">
        <v>2154359</v>
      </c>
      <c r="AB191" s="36">
        <v>1291926</v>
      </c>
      <c r="AC191" s="39">
        <v>0.59970000000000001</v>
      </c>
      <c r="AD191" s="36">
        <v>1960524</v>
      </c>
      <c r="AE191" s="36">
        <v>1134593</v>
      </c>
      <c r="AF191" s="39">
        <v>0.57869999999999999</v>
      </c>
      <c r="AG191" s="36">
        <v>1449997</v>
      </c>
      <c r="AH191" s="36">
        <v>928607</v>
      </c>
      <c r="AI191" s="39">
        <v>0.64039999999999997</v>
      </c>
      <c r="AJ191" s="36">
        <v>188425</v>
      </c>
      <c r="AK191" s="36">
        <v>113741</v>
      </c>
      <c r="AL191" s="39">
        <v>0.60360000000000003</v>
      </c>
      <c r="AM191" s="36">
        <v>186235</v>
      </c>
      <c r="AN191" s="36">
        <v>109157</v>
      </c>
      <c r="AO191" s="39">
        <v>0.58609999999999995</v>
      </c>
    </row>
    <row r="192" spans="1:41" ht="14" x14ac:dyDescent="0.2">
      <c r="A192" s="1" t="s">
        <v>412</v>
      </c>
      <c r="B192" s="1" t="s">
        <v>428</v>
      </c>
      <c r="C192" s="1" t="s">
        <v>434</v>
      </c>
      <c r="D192" s="1" t="s">
        <v>413</v>
      </c>
      <c r="E192" s="25">
        <v>1132</v>
      </c>
      <c r="F192" s="21">
        <v>319061.00112099998</v>
      </c>
      <c r="G192" s="20">
        <f t="shared" si="25"/>
        <v>161740.000172</v>
      </c>
      <c r="H192" s="24">
        <f t="shared" si="26"/>
        <v>0.50692500682859098</v>
      </c>
      <c r="I192" s="12">
        <v>461</v>
      </c>
      <c r="J192" s="12">
        <v>139703.00005800001</v>
      </c>
      <c r="K192" s="13">
        <f t="shared" si="27"/>
        <v>0.43785670942911431</v>
      </c>
      <c r="L192" s="4">
        <v>59</v>
      </c>
      <c r="M192" s="4">
        <v>16582.000088000001</v>
      </c>
      <c r="N192" s="17">
        <f t="shared" si="28"/>
        <v>5.1971253239161873E-2</v>
      </c>
      <c r="O192" s="9">
        <v>17</v>
      </c>
      <c r="P192" s="9">
        <v>5455.0000259999997</v>
      </c>
      <c r="Q192" s="18">
        <f t="shared" si="29"/>
        <v>1.709704416031484E-2</v>
      </c>
      <c r="R192" s="36">
        <v>4282248</v>
      </c>
      <c r="S192" s="36">
        <v>2768180</v>
      </c>
      <c r="T192" s="39">
        <v>0.64639999999999997</v>
      </c>
      <c r="U192" s="36">
        <v>4251619</v>
      </c>
      <c r="V192" s="36">
        <v>2672691</v>
      </c>
      <c r="W192" s="39">
        <v>0.62860000000000005</v>
      </c>
      <c r="X192" s="36">
        <v>4623599</v>
      </c>
      <c r="Y192" s="36">
        <v>2984323</v>
      </c>
      <c r="Z192" s="39">
        <v>0.64549999999999996</v>
      </c>
      <c r="AA192" s="36">
        <v>3800220</v>
      </c>
      <c r="AB192" s="36">
        <v>2025296</v>
      </c>
      <c r="AC192" s="39">
        <v>0.53290000000000004</v>
      </c>
      <c r="AD192" s="36">
        <v>3675106</v>
      </c>
      <c r="AE192" s="36">
        <v>1915074</v>
      </c>
      <c r="AF192" s="39">
        <v>0.52110000000000001</v>
      </c>
      <c r="AG192" s="36">
        <v>2630951</v>
      </c>
      <c r="AH192" s="36">
        <v>1471436</v>
      </c>
      <c r="AI192" s="39">
        <v>0.55930000000000002</v>
      </c>
      <c r="AJ192" s="36">
        <v>358731</v>
      </c>
      <c r="AK192" s="36">
        <v>222191</v>
      </c>
      <c r="AL192" s="39">
        <v>0.61939999999999995</v>
      </c>
      <c r="AM192" s="36">
        <v>378005</v>
      </c>
      <c r="AN192" s="36">
        <v>217513</v>
      </c>
      <c r="AO192" s="39">
        <v>0.57540000000000002</v>
      </c>
    </row>
    <row r="193" spans="1:41" ht="14" x14ac:dyDescent="0.2">
      <c r="A193" s="1" t="s">
        <v>414</v>
      </c>
      <c r="B193" s="1" t="s">
        <v>429</v>
      </c>
      <c r="C193" s="1" t="s">
        <v>432</v>
      </c>
      <c r="D193" s="1" t="s">
        <v>415</v>
      </c>
      <c r="E193" s="25">
        <v>1232</v>
      </c>
      <c r="F193" s="21">
        <v>332054.00136499997</v>
      </c>
      <c r="G193" s="20">
        <f t="shared" si="25"/>
        <v>292022.00113599998</v>
      </c>
      <c r="H193" s="24">
        <f t="shared" si="26"/>
        <v>0.87944129549881234</v>
      </c>
      <c r="I193" s="12">
        <v>996</v>
      </c>
      <c r="J193" s="12">
        <v>260627.000937</v>
      </c>
      <c r="K193" s="13">
        <f t="shared" si="27"/>
        <v>0.78489342054491285</v>
      </c>
      <c r="L193" s="4">
        <v>97</v>
      </c>
      <c r="M193" s="4">
        <v>25838.000085</v>
      </c>
      <c r="N193" s="17">
        <f t="shared" si="28"/>
        <v>7.7812644867358144E-2</v>
      </c>
      <c r="O193" s="9">
        <v>23</v>
      </c>
      <c r="P193" s="9">
        <v>5557.0001140000004</v>
      </c>
      <c r="Q193" s="18">
        <f t="shared" si="29"/>
        <v>1.6735230086541382E-2</v>
      </c>
      <c r="R193" s="36">
        <v>4431387</v>
      </c>
      <c r="S193" s="36">
        <v>3306515</v>
      </c>
      <c r="T193" s="39">
        <v>0.74619999999999997</v>
      </c>
      <c r="U193" s="36">
        <v>4160928</v>
      </c>
      <c r="V193" s="36">
        <v>2988047</v>
      </c>
      <c r="W193" s="39">
        <v>0.71809999999999996</v>
      </c>
      <c r="X193" s="36">
        <v>4535875</v>
      </c>
      <c r="Y193" s="36">
        <v>3218044</v>
      </c>
      <c r="Z193" s="39">
        <v>0.70950000000000002</v>
      </c>
      <c r="AA193" s="36">
        <v>3928250</v>
      </c>
      <c r="AB193" s="36">
        <v>2456012</v>
      </c>
      <c r="AC193" s="39">
        <v>0.62519999999999998</v>
      </c>
      <c r="AD193" s="36">
        <v>3703800</v>
      </c>
      <c r="AE193" s="36">
        <v>2620144</v>
      </c>
      <c r="AF193" s="39">
        <v>0.70740000000000003</v>
      </c>
      <c r="AG193" s="36">
        <v>2624040</v>
      </c>
      <c r="AH193" s="36">
        <v>1912422</v>
      </c>
      <c r="AI193" s="39">
        <v>0.7288</v>
      </c>
      <c r="AJ193" s="36">
        <v>375969</v>
      </c>
      <c r="AK193" s="36">
        <v>366097</v>
      </c>
      <c r="AL193" s="39">
        <v>0.97370000000000001</v>
      </c>
      <c r="AM193" s="36">
        <v>327082</v>
      </c>
      <c r="AN193" s="36">
        <v>313356</v>
      </c>
      <c r="AO193" s="39">
        <v>0.95799999999999996</v>
      </c>
    </row>
    <row r="194" spans="1:41" ht="14" x14ac:dyDescent="0.2">
      <c r="A194" s="1" t="s">
        <v>416</v>
      </c>
      <c r="B194" s="1" t="s">
        <v>428</v>
      </c>
      <c r="C194" s="1" t="s">
        <v>437</v>
      </c>
      <c r="D194" s="1" t="s">
        <v>417</v>
      </c>
      <c r="E194" s="25">
        <v>1291</v>
      </c>
      <c r="F194" s="21">
        <v>349686.00170600001</v>
      </c>
      <c r="G194" s="20">
        <f t="shared" si="25"/>
        <v>70372.000321</v>
      </c>
      <c r="H194" s="24">
        <f t="shared" si="26"/>
        <v>0.20124340115897907</v>
      </c>
      <c r="I194" s="12">
        <v>267</v>
      </c>
      <c r="J194" s="12">
        <v>61890.000202000003</v>
      </c>
      <c r="K194" s="13">
        <f t="shared" si="27"/>
        <v>0.17698735408354802</v>
      </c>
      <c r="L194" s="4">
        <v>31</v>
      </c>
      <c r="M194" s="4">
        <v>6173.0001270000002</v>
      </c>
      <c r="N194" s="17">
        <f t="shared" si="28"/>
        <v>1.7652980379208819E-2</v>
      </c>
      <c r="O194" s="9">
        <v>11</v>
      </c>
      <c r="P194" s="9">
        <v>2308.999992</v>
      </c>
      <c r="Q194" s="18">
        <f t="shared" si="29"/>
        <v>6.6030666962222338E-3</v>
      </c>
      <c r="R194" s="36">
        <v>3037493</v>
      </c>
      <c r="S194" s="36">
        <v>1340750</v>
      </c>
      <c r="T194" s="39">
        <v>0.44140000000000001</v>
      </c>
      <c r="U194" s="36">
        <v>2877256</v>
      </c>
      <c r="V194" s="36">
        <v>1207668</v>
      </c>
      <c r="W194" s="39">
        <v>0.41970000000000002</v>
      </c>
      <c r="X194" s="36">
        <v>2723240</v>
      </c>
      <c r="Y194" s="36">
        <v>1263240</v>
      </c>
      <c r="Z194" s="39">
        <v>0.46389999999999998</v>
      </c>
      <c r="AA194" s="36">
        <v>2530047</v>
      </c>
      <c r="AB194" s="36">
        <v>909478</v>
      </c>
      <c r="AC194" s="39">
        <v>0.35949999999999999</v>
      </c>
      <c r="AD194" s="36">
        <v>2353404</v>
      </c>
      <c r="AE194" s="36">
        <v>761882</v>
      </c>
      <c r="AF194" s="39">
        <v>0.32369999999999999</v>
      </c>
      <c r="AG194" s="36">
        <v>1688481</v>
      </c>
      <c r="AH194" s="36">
        <v>684962</v>
      </c>
      <c r="AI194" s="39">
        <v>0.40570000000000001</v>
      </c>
      <c r="AJ194" s="36">
        <v>373305</v>
      </c>
      <c r="AK194" s="36">
        <v>229311</v>
      </c>
      <c r="AL194" s="39">
        <v>0.61429999999999996</v>
      </c>
      <c r="AM194" s="36">
        <v>396064</v>
      </c>
      <c r="AN194" s="36">
        <v>256669</v>
      </c>
      <c r="AO194" s="39">
        <v>0.64800000000000002</v>
      </c>
    </row>
    <row r="195" spans="1:41" ht="14" x14ac:dyDescent="0.2">
      <c r="A195" s="1" t="s">
        <v>418</v>
      </c>
      <c r="B195" s="1" t="s">
        <v>428</v>
      </c>
      <c r="C195" s="1" t="s">
        <v>437</v>
      </c>
      <c r="D195" s="1" t="s">
        <v>419</v>
      </c>
      <c r="E195" s="25">
        <v>1264</v>
      </c>
      <c r="F195" s="21">
        <v>273816.00107900001</v>
      </c>
      <c r="G195" s="20">
        <f t="shared" si="25"/>
        <v>115776.00034499999</v>
      </c>
      <c r="H195" s="24">
        <f t="shared" ref="H195:H199" si="30">G195/F195</f>
        <v>0.42282408584148773</v>
      </c>
      <c r="I195" s="12">
        <v>454</v>
      </c>
      <c r="J195" s="12">
        <v>95864.000375999996</v>
      </c>
      <c r="K195" s="13">
        <f t="shared" ref="K195:K199" si="31">J195/F195</f>
        <v>0.35010371927950917</v>
      </c>
      <c r="L195" s="4">
        <v>62</v>
      </c>
      <c r="M195" s="4">
        <v>17148.999967</v>
      </c>
      <c r="N195" s="17">
        <f t="shared" ref="N195:N199" si="32">M195/F195</f>
        <v>6.262964874011237E-2</v>
      </c>
      <c r="O195" s="9">
        <v>20</v>
      </c>
      <c r="P195" s="9">
        <v>2763.0000020000002</v>
      </c>
      <c r="Q195" s="18">
        <f t="shared" ref="Q195:Q199" si="33">P195/F195</f>
        <v>1.0090717821866201E-2</v>
      </c>
      <c r="R195" s="36">
        <v>2764092</v>
      </c>
      <c r="S195" s="36">
        <v>1513323</v>
      </c>
      <c r="T195" s="39">
        <v>0.54749999999999999</v>
      </c>
      <c r="U195" s="36">
        <v>2443536</v>
      </c>
      <c r="V195" s="36">
        <v>1328844</v>
      </c>
      <c r="W195" s="39">
        <v>0.54379999999999995</v>
      </c>
      <c r="X195" s="36">
        <v>2297792</v>
      </c>
      <c r="Y195" s="36">
        <v>1192497</v>
      </c>
      <c r="Z195" s="39">
        <v>0.51900000000000002</v>
      </c>
      <c r="AA195" s="36">
        <v>2445642</v>
      </c>
      <c r="AB195" s="36">
        <v>1086932</v>
      </c>
      <c r="AC195" s="39">
        <v>0.44440000000000002</v>
      </c>
      <c r="AD195" s="36">
        <v>2160663</v>
      </c>
      <c r="AE195" s="36">
        <v>1007183</v>
      </c>
      <c r="AF195" s="39">
        <v>0.46610000000000001</v>
      </c>
      <c r="AG195" s="36">
        <v>1405781</v>
      </c>
      <c r="AH195" s="36">
        <v>695142</v>
      </c>
      <c r="AI195" s="39">
        <v>0.4945</v>
      </c>
      <c r="AJ195" s="36">
        <v>298762</v>
      </c>
      <c r="AK195" s="36">
        <v>147644</v>
      </c>
      <c r="AL195" s="39">
        <v>0.49419999999999997</v>
      </c>
      <c r="AM195" s="36">
        <v>315671</v>
      </c>
      <c r="AN195" s="36">
        <v>159064</v>
      </c>
      <c r="AO195" s="39">
        <v>0.50390000000000001</v>
      </c>
    </row>
    <row r="196" spans="1:41" ht="14" x14ac:dyDescent="0.2">
      <c r="A196" s="1" t="s">
        <v>420</v>
      </c>
      <c r="B196" s="1" t="s">
        <v>429</v>
      </c>
      <c r="C196" s="1" t="s">
        <v>432</v>
      </c>
      <c r="D196" s="1" t="s">
        <v>421</v>
      </c>
      <c r="E196" s="25">
        <v>1195</v>
      </c>
      <c r="F196" s="21">
        <v>335827.00135899999</v>
      </c>
      <c r="G196" s="20">
        <f t="shared" si="25"/>
        <v>287178.00105399999</v>
      </c>
      <c r="H196" s="24">
        <f t="shared" si="30"/>
        <v>0.85513672185937761</v>
      </c>
      <c r="I196" s="12">
        <v>962</v>
      </c>
      <c r="J196" s="12">
        <v>262110.00100600001</v>
      </c>
      <c r="K196" s="13">
        <f t="shared" si="31"/>
        <v>0.7804911455758845</v>
      </c>
      <c r="L196" s="4">
        <v>82</v>
      </c>
      <c r="M196" s="4">
        <v>21889.000034000001</v>
      </c>
      <c r="N196" s="17">
        <f t="shared" si="32"/>
        <v>6.5179392798736274E-2</v>
      </c>
      <c r="O196" s="9">
        <v>17</v>
      </c>
      <c r="P196" s="9">
        <v>3179.0000140000002</v>
      </c>
      <c r="Q196" s="18">
        <f t="shared" si="33"/>
        <v>9.4661834847569043E-3</v>
      </c>
      <c r="R196" s="36">
        <v>5204109</v>
      </c>
      <c r="S196" s="36">
        <v>4159700</v>
      </c>
      <c r="T196" s="39">
        <v>0.79930000000000001</v>
      </c>
      <c r="U196" s="36">
        <v>5172142</v>
      </c>
      <c r="V196" s="36">
        <v>4142285</v>
      </c>
      <c r="W196" s="39">
        <v>0.80089999999999995</v>
      </c>
      <c r="X196" s="36">
        <v>5632223</v>
      </c>
      <c r="Y196" s="36">
        <v>4523496</v>
      </c>
      <c r="Z196" s="39">
        <v>0.80310000000000004</v>
      </c>
      <c r="AA196" s="36">
        <v>4873641</v>
      </c>
      <c r="AB196" s="36">
        <v>3280964</v>
      </c>
      <c r="AC196" s="39">
        <v>0.67320000000000002</v>
      </c>
      <c r="AD196" s="36">
        <v>4567117</v>
      </c>
      <c r="AE196" s="36">
        <v>3339320</v>
      </c>
      <c r="AF196" s="39">
        <v>0.73119999999999996</v>
      </c>
      <c r="AG196" s="36">
        <v>3303420</v>
      </c>
      <c r="AH196" s="36">
        <v>2521409</v>
      </c>
      <c r="AI196" s="39">
        <v>0.76329999999999998</v>
      </c>
      <c r="AJ196" s="36">
        <v>363828</v>
      </c>
      <c r="AK196" s="36">
        <v>356542</v>
      </c>
      <c r="AL196" s="39">
        <v>0.98</v>
      </c>
      <c r="AM196" s="36">
        <v>347761</v>
      </c>
      <c r="AN196" s="36">
        <v>337679</v>
      </c>
      <c r="AO196" s="39">
        <v>0.97099999999999997</v>
      </c>
    </row>
    <row r="197" spans="1:41" ht="14" x14ac:dyDescent="0.2">
      <c r="A197" s="1" t="s">
        <v>422</v>
      </c>
      <c r="B197" s="1" t="s">
        <v>429</v>
      </c>
      <c r="C197" s="1" t="s">
        <v>433</v>
      </c>
      <c r="D197" s="1" t="s">
        <v>423</v>
      </c>
      <c r="E197" s="25">
        <v>1395</v>
      </c>
      <c r="F197" s="21">
        <v>333754.00121100002</v>
      </c>
      <c r="G197" s="20">
        <f t="shared" si="25"/>
        <v>296045.00108600006</v>
      </c>
      <c r="H197" s="24">
        <f t="shared" si="30"/>
        <v>0.88701558636547928</v>
      </c>
      <c r="I197" s="12">
        <v>1138</v>
      </c>
      <c r="J197" s="12">
        <v>262400.00089000002</v>
      </c>
      <c r="K197" s="13">
        <f t="shared" si="31"/>
        <v>0.78620780556308645</v>
      </c>
      <c r="L197" s="4">
        <v>111</v>
      </c>
      <c r="M197" s="4">
        <v>29687.000146999999</v>
      </c>
      <c r="N197" s="17">
        <f t="shared" si="32"/>
        <v>8.894874679938837E-2</v>
      </c>
      <c r="O197" s="9">
        <v>22</v>
      </c>
      <c r="P197" s="9">
        <v>3958.0000490000002</v>
      </c>
      <c r="Q197" s="18">
        <f t="shared" si="33"/>
        <v>1.1859034003004337E-2</v>
      </c>
      <c r="R197" s="36">
        <v>5108391</v>
      </c>
      <c r="S197" s="36">
        <v>3813201</v>
      </c>
      <c r="T197" s="39">
        <v>0.74650000000000005</v>
      </c>
      <c r="U197" s="36">
        <v>4833065</v>
      </c>
      <c r="V197" s="36">
        <v>3515540</v>
      </c>
      <c r="W197" s="39">
        <v>0.72740000000000005</v>
      </c>
      <c r="X197" s="36">
        <v>4373018</v>
      </c>
      <c r="Y197" s="36">
        <v>3313493</v>
      </c>
      <c r="Z197" s="39">
        <v>0.75770000000000004</v>
      </c>
      <c r="AA197" s="36">
        <v>4522210</v>
      </c>
      <c r="AB197" s="36">
        <v>2989172</v>
      </c>
      <c r="AC197" s="39">
        <v>0.66100000000000003</v>
      </c>
      <c r="AD197" s="36">
        <v>4075055</v>
      </c>
      <c r="AE197" s="36">
        <v>2888254</v>
      </c>
      <c r="AF197" s="39">
        <v>0.70879999999999999</v>
      </c>
      <c r="AG197" s="36">
        <v>2885195</v>
      </c>
      <c r="AH197" s="36">
        <v>2045078</v>
      </c>
      <c r="AI197" s="39">
        <v>0.70879999999999999</v>
      </c>
      <c r="AJ197" s="36">
        <v>352369</v>
      </c>
      <c r="AK197" s="36">
        <v>339111</v>
      </c>
      <c r="AL197" s="39">
        <v>0.96240000000000003</v>
      </c>
      <c r="AM197" s="36">
        <v>331182</v>
      </c>
      <c r="AN197" s="36">
        <v>317800</v>
      </c>
      <c r="AO197" s="39">
        <v>0.95960000000000001</v>
      </c>
    </row>
    <row r="198" spans="1:41" ht="14" x14ac:dyDescent="0.2">
      <c r="A198" s="1" t="s">
        <v>424</v>
      </c>
      <c r="B198" s="1" t="s">
        <v>428</v>
      </c>
      <c r="C198" s="1" t="s">
        <v>437</v>
      </c>
      <c r="D198" s="1" t="s">
        <v>425</v>
      </c>
      <c r="E198" s="25">
        <v>827</v>
      </c>
      <c r="F198" s="21">
        <v>217984.00034100001</v>
      </c>
      <c r="G198" s="20">
        <f t="shared" si="25"/>
        <v>118233.000149</v>
      </c>
      <c r="H198" s="24">
        <f t="shared" si="30"/>
        <v>0.54239301950622054</v>
      </c>
      <c r="I198" s="12">
        <v>366</v>
      </c>
      <c r="J198" s="12">
        <v>97289.000199999995</v>
      </c>
      <c r="K198" s="13">
        <f t="shared" si="31"/>
        <v>0.44631257361919868</v>
      </c>
      <c r="L198" s="4">
        <v>61</v>
      </c>
      <c r="M198" s="4">
        <v>18604.999947</v>
      </c>
      <c r="N198" s="17">
        <f t="shared" si="32"/>
        <v>8.5350300562864925E-2</v>
      </c>
      <c r="O198" s="9">
        <v>10</v>
      </c>
      <c r="P198" s="9">
        <v>2339.0000020000002</v>
      </c>
      <c r="Q198" s="18">
        <f t="shared" si="33"/>
        <v>1.0730145324156913E-2</v>
      </c>
      <c r="R198" s="36">
        <v>2762901</v>
      </c>
      <c r="S198" s="36">
        <v>1701742</v>
      </c>
      <c r="T198" s="39">
        <v>0.6159</v>
      </c>
      <c r="U198" s="36">
        <v>2640517</v>
      </c>
      <c r="V198" s="36">
        <v>1585722</v>
      </c>
      <c r="W198" s="39">
        <v>0.60050000000000003</v>
      </c>
      <c r="X198" s="36">
        <v>2667849</v>
      </c>
      <c r="Y198" s="36">
        <v>1677819</v>
      </c>
      <c r="Z198" s="39">
        <v>0.62890000000000001</v>
      </c>
      <c r="AA198" s="36">
        <v>2326576</v>
      </c>
      <c r="AB198" s="36">
        <v>1144691</v>
      </c>
      <c r="AC198" s="39">
        <v>0.49199999999999999</v>
      </c>
      <c r="AD198" s="36">
        <v>2119787</v>
      </c>
      <c r="AE198" s="36">
        <v>1068096</v>
      </c>
      <c r="AF198" s="39">
        <v>0.50390000000000001</v>
      </c>
      <c r="AG198" s="36">
        <v>1617125</v>
      </c>
      <c r="AH198" s="36">
        <v>920262</v>
      </c>
      <c r="AI198" s="39">
        <v>0.56910000000000005</v>
      </c>
      <c r="AJ198" s="36">
        <v>244382</v>
      </c>
      <c r="AK198" s="36">
        <v>143637</v>
      </c>
      <c r="AL198" s="39">
        <v>0.58779999999999999</v>
      </c>
      <c r="AM198" s="36">
        <v>218504</v>
      </c>
      <c r="AN198" s="36">
        <v>131427</v>
      </c>
      <c r="AO198" s="39">
        <v>0.60150000000000003</v>
      </c>
    </row>
    <row r="199" spans="1:41" ht="14" x14ac:dyDescent="0.2">
      <c r="A199" s="1" t="s">
        <v>426</v>
      </c>
      <c r="B199" s="1" t="s">
        <v>428</v>
      </c>
      <c r="C199" s="1" t="s">
        <v>432</v>
      </c>
      <c r="D199" s="1" t="s">
        <v>427</v>
      </c>
      <c r="E199" s="25">
        <v>725</v>
      </c>
      <c r="F199" s="21">
        <v>200594.00107</v>
      </c>
      <c r="G199" s="20">
        <f t="shared" si="25"/>
        <v>101035.00032799999</v>
      </c>
      <c r="H199" s="24">
        <f t="shared" si="30"/>
        <v>0.50367907210117646</v>
      </c>
      <c r="I199" s="12">
        <v>325</v>
      </c>
      <c r="J199" s="12">
        <v>88891.000281999994</v>
      </c>
      <c r="K199" s="13">
        <f t="shared" si="31"/>
        <v>0.44313887657577694</v>
      </c>
      <c r="L199" s="4">
        <v>29</v>
      </c>
      <c r="M199" s="4">
        <v>7951.0000799999998</v>
      </c>
      <c r="N199" s="17">
        <f t="shared" si="32"/>
        <v>3.9637277473843248E-2</v>
      </c>
      <c r="O199" s="9">
        <v>14</v>
      </c>
      <c r="P199" s="9">
        <v>4192.9999660000003</v>
      </c>
      <c r="Q199" s="18">
        <f t="shared" si="33"/>
        <v>2.0902918051556269E-2</v>
      </c>
      <c r="R199" s="36">
        <v>2550499</v>
      </c>
      <c r="S199" s="36">
        <v>1543781</v>
      </c>
      <c r="T199" s="39">
        <v>0.60529999999999995</v>
      </c>
      <c r="U199" s="36">
        <v>2435119</v>
      </c>
      <c r="V199" s="36">
        <v>1387508</v>
      </c>
      <c r="W199" s="39">
        <v>0.56979999999999997</v>
      </c>
      <c r="X199" s="36">
        <v>2716509</v>
      </c>
      <c r="Y199" s="36">
        <v>1672585</v>
      </c>
      <c r="Z199" s="39">
        <v>0.61570000000000003</v>
      </c>
      <c r="AA199" s="36">
        <v>2237337</v>
      </c>
      <c r="AB199" s="36">
        <v>1178400</v>
      </c>
      <c r="AC199" s="39">
        <v>0.52669999999999995</v>
      </c>
      <c r="AD199" s="36">
        <v>2154758</v>
      </c>
      <c r="AE199" s="36">
        <v>1045129</v>
      </c>
      <c r="AF199" s="39">
        <v>0.48499999999999999</v>
      </c>
      <c r="AG199" s="36">
        <v>1453221</v>
      </c>
      <c r="AH199" s="36">
        <v>776167</v>
      </c>
      <c r="AI199" s="39">
        <v>0.53410000000000002</v>
      </c>
      <c r="AJ199" s="36">
        <v>223076</v>
      </c>
      <c r="AK199" s="36">
        <v>132807</v>
      </c>
      <c r="AL199" s="39">
        <v>0.59530000000000005</v>
      </c>
      <c r="AM199" s="36">
        <v>207844</v>
      </c>
      <c r="AN199" s="36">
        <v>120985</v>
      </c>
      <c r="AO199" s="39">
        <v>0.58209999999999995</v>
      </c>
    </row>
    <row r="200" spans="1:41" ht="14" x14ac:dyDescent="0.2">
      <c r="E200" s="1"/>
      <c r="F200" s="22"/>
      <c r="H200" s="24"/>
      <c r="I200" s="14"/>
      <c r="J200" s="15"/>
      <c r="K200" s="13"/>
      <c r="M200" s="3"/>
      <c r="N200" s="17"/>
      <c r="P200" s="7"/>
      <c r="Q200" s="18"/>
      <c r="AJ200" s="41"/>
      <c r="AK200" s="41"/>
      <c r="AM200" s="41"/>
      <c r="AN200" s="41"/>
    </row>
    <row r="201" spans="1:41" ht="14" x14ac:dyDescent="0.2">
      <c r="E201" s="1"/>
      <c r="F201" s="22"/>
      <c r="H201" s="24"/>
      <c r="I201" s="14"/>
      <c r="J201" s="15"/>
      <c r="K201" s="13"/>
      <c r="M201" s="3"/>
      <c r="N201" s="17"/>
      <c r="P201" s="7"/>
      <c r="Q201" s="18"/>
    </row>
    <row r="202" spans="1:41" ht="14" x14ac:dyDescent="0.2">
      <c r="E202" s="1"/>
      <c r="F202" s="22"/>
      <c r="H202" s="24"/>
      <c r="I202" s="14"/>
      <c r="J202" s="15"/>
      <c r="K202" s="13"/>
      <c r="M202" s="3"/>
      <c r="N202" s="17"/>
      <c r="P202" s="7"/>
      <c r="Q202" s="18"/>
    </row>
    <row r="203" spans="1:41" ht="14" x14ac:dyDescent="0.2">
      <c r="E203" s="1"/>
      <c r="F203" s="22"/>
      <c r="H203" s="24"/>
      <c r="I203" s="14"/>
      <c r="J203" s="15"/>
      <c r="K203" s="13"/>
      <c r="M203" s="3"/>
      <c r="N203" s="17"/>
      <c r="P203" s="7"/>
      <c r="Q203" s="18"/>
    </row>
    <row r="204" spans="1:41" ht="14" x14ac:dyDescent="0.2">
      <c r="E204" s="1"/>
      <c r="F204" s="22"/>
      <c r="H204" s="24"/>
      <c r="I204" s="14"/>
      <c r="J204" s="15"/>
      <c r="K204" s="13"/>
      <c r="M204" s="3"/>
      <c r="N204" s="17"/>
      <c r="P204" s="7"/>
      <c r="Q204" s="18"/>
    </row>
    <row r="205" spans="1:41" ht="14" x14ac:dyDescent="0.2">
      <c r="E205" s="1"/>
      <c r="F205" s="22"/>
      <c r="H205" s="24"/>
      <c r="I205" s="14"/>
      <c r="J205" s="15"/>
      <c r="K205" s="13"/>
      <c r="M205" s="3"/>
      <c r="N205" s="17"/>
      <c r="P205" s="7"/>
      <c r="Q205" s="18"/>
    </row>
    <row r="206" spans="1:41" ht="14" x14ac:dyDescent="0.2">
      <c r="E206" s="1"/>
      <c r="F206" s="22"/>
      <c r="H206" s="24"/>
      <c r="I206" s="14"/>
      <c r="J206" s="15"/>
      <c r="K206" s="13"/>
      <c r="M206" s="3"/>
      <c r="N206" s="17"/>
      <c r="P206" s="7"/>
      <c r="Q206" s="18"/>
    </row>
    <row r="207" spans="1:41" ht="14" x14ac:dyDescent="0.2">
      <c r="E207" s="1"/>
      <c r="F207" s="22"/>
      <c r="H207" s="24"/>
      <c r="I207" s="14"/>
      <c r="J207" s="15"/>
      <c r="K207" s="13"/>
      <c r="M207" s="3"/>
      <c r="N207" s="17"/>
      <c r="P207" s="7"/>
      <c r="Q207" s="18"/>
    </row>
    <row r="208" spans="1:41" ht="14" x14ac:dyDescent="0.2">
      <c r="E208" s="1"/>
      <c r="F208" s="22"/>
      <c r="H208" s="24"/>
      <c r="I208" s="14"/>
      <c r="J208" s="15"/>
      <c r="K208" s="13"/>
      <c r="M208" s="3"/>
      <c r="N208" s="17"/>
      <c r="P208" s="7"/>
      <c r="Q208" s="18"/>
    </row>
    <row r="209" spans="5:17" ht="14" x14ac:dyDescent="0.2">
      <c r="E209" s="1"/>
      <c r="F209" s="22"/>
      <c r="H209" s="24"/>
      <c r="I209" s="14"/>
      <c r="J209" s="15"/>
      <c r="K209" s="13"/>
      <c r="M209" s="3"/>
      <c r="N209" s="17"/>
      <c r="P209" s="7"/>
      <c r="Q209" s="18"/>
    </row>
    <row r="210" spans="5:17" ht="14" x14ac:dyDescent="0.2">
      <c r="E210" s="1"/>
      <c r="F210" s="22"/>
      <c r="H210" s="24"/>
      <c r="I210" s="14"/>
      <c r="J210" s="15"/>
      <c r="K210" s="13"/>
      <c r="M210" s="3"/>
      <c r="N210" s="17"/>
      <c r="P210" s="7"/>
      <c r="Q210" s="18"/>
    </row>
    <row r="211" spans="5:17" ht="14" x14ac:dyDescent="0.2">
      <c r="E211" s="1"/>
      <c r="F211" s="22"/>
      <c r="H211" s="24"/>
      <c r="I211" s="14"/>
      <c r="J211" s="15"/>
      <c r="K211" s="13"/>
      <c r="M211" s="3"/>
      <c r="N211" s="17"/>
      <c r="P211" s="7"/>
      <c r="Q211" s="18"/>
    </row>
    <row r="212" spans="5:17" ht="14" x14ac:dyDescent="0.2">
      <c r="E212" s="1"/>
      <c r="F212" s="22"/>
      <c r="H212" s="24"/>
      <c r="I212" s="14"/>
      <c r="J212" s="15"/>
      <c r="K212" s="13"/>
      <c r="M212" s="3"/>
      <c r="N212" s="17"/>
      <c r="P212" s="7"/>
      <c r="Q212" s="18"/>
    </row>
    <row r="213" spans="5:17" ht="14" x14ac:dyDescent="0.2">
      <c r="E213" s="1"/>
      <c r="F213" s="22"/>
      <c r="H213" s="24"/>
      <c r="I213" s="14"/>
      <c r="J213" s="15"/>
      <c r="K213" s="13"/>
      <c r="M213" s="3"/>
      <c r="N213" s="17"/>
      <c r="P213" s="7"/>
      <c r="Q213" s="18"/>
    </row>
    <row r="214" spans="5:17" ht="14" x14ac:dyDescent="0.2">
      <c r="E214" s="1"/>
      <c r="F214" s="22"/>
      <c r="H214" s="24"/>
      <c r="I214" s="14"/>
      <c r="J214" s="15"/>
      <c r="K214" s="13"/>
      <c r="M214" s="3"/>
      <c r="N214" s="17"/>
      <c r="P214" s="7"/>
      <c r="Q214" s="18"/>
    </row>
    <row r="215" spans="5:17" ht="14" x14ac:dyDescent="0.2">
      <c r="E215" s="1"/>
      <c r="F215" s="22"/>
      <c r="H215" s="24"/>
      <c r="I215" s="14"/>
      <c r="J215" s="15"/>
      <c r="K215" s="13"/>
      <c r="M215" s="3"/>
      <c r="N215" s="17"/>
      <c r="P215" s="7"/>
      <c r="Q215" s="18"/>
    </row>
    <row r="216" spans="5:17" ht="14" x14ac:dyDescent="0.2">
      <c r="E216" s="1"/>
      <c r="F216" s="22"/>
      <c r="H216" s="24"/>
      <c r="I216" s="14"/>
      <c r="J216" s="15"/>
      <c r="K216" s="13"/>
      <c r="M216" s="3"/>
      <c r="N216" s="17"/>
      <c r="P216" s="7"/>
      <c r="Q216" s="18"/>
    </row>
    <row r="217" spans="5:17" ht="14" x14ac:dyDescent="0.2">
      <c r="E217" s="1"/>
      <c r="F217" s="22"/>
      <c r="H217" s="24"/>
      <c r="I217" s="14"/>
      <c r="J217" s="15"/>
      <c r="K217" s="13"/>
      <c r="M217" s="3"/>
      <c r="N217" s="17"/>
      <c r="P217" s="7"/>
      <c r="Q217" s="18"/>
    </row>
    <row r="218" spans="5:17" ht="14" x14ac:dyDescent="0.2">
      <c r="E218" s="1"/>
      <c r="F218" s="22"/>
      <c r="H218" s="24"/>
      <c r="I218" s="14"/>
      <c r="J218" s="15"/>
      <c r="K218" s="13"/>
      <c r="M218" s="3"/>
      <c r="N218" s="17"/>
      <c r="P218" s="7"/>
      <c r="Q218" s="18"/>
    </row>
    <row r="219" spans="5:17" ht="14" x14ac:dyDescent="0.2">
      <c r="E219" s="1"/>
      <c r="F219" s="22"/>
      <c r="H219" s="24"/>
      <c r="I219" s="14"/>
      <c r="J219" s="15"/>
      <c r="K219" s="13"/>
      <c r="M219" s="3"/>
      <c r="N219" s="17"/>
      <c r="P219" s="7"/>
      <c r="Q219" s="18"/>
    </row>
    <row r="220" spans="5:17" ht="14" x14ac:dyDescent="0.2">
      <c r="E220" s="1"/>
      <c r="F220" s="22"/>
      <c r="H220" s="24"/>
      <c r="I220" s="14"/>
      <c r="J220" s="15"/>
      <c r="K220" s="13"/>
      <c r="M220" s="3"/>
      <c r="N220" s="17"/>
      <c r="P220" s="7"/>
      <c r="Q220" s="18"/>
    </row>
    <row r="221" spans="5:17" ht="14" x14ac:dyDescent="0.2">
      <c r="E221" s="1"/>
      <c r="F221" s="22"/>
      <c r="H221" s="24"/>
      <c r="I221" s="14"/>
      <c r="J221" s="15"/>
      <c r="K221" s="13"/>
      <c r="M221" s="3"/>
      <c r="N221" s="17"/>
      <c r="P221" s="7"/>
      <c r="Q221" s="18"/>
    </row>
    <row r="222" spans="5:17" ht="14" x14ac:dyDescent="0.2">
      <c r="E222" s="1"/>
      <c r="F222" s="22"/>
      <c r="H222" s="24"/>
      <c r="I222" s="14"/>
      <c r="J222" s="15"/>
      <c r="K222" s="13"/>
      <c r="M222" s="3"/>
      <c r="N222" s="17"/>
      <c r="P222" s="7"/>
      <c r="Q222" s="18"/>
    </row>
    <row r="223" spans="5:17" ht="14" x14ac:dyDescent="0.2">
      <c r="E223" s="1"/>
      <c r="F223" s="22"/>
      <c r="H223" s="24"/>
      <c r="I223" s="14"/>
      <c r="J223" s="15"/>
      <c r="K223" s="13"/>
      <c r="M223" s="3"/>
      <c r="N223" s="17"/>
      <c r="P223" s="7"/>
      <c r="Q223" s="18"/>
    </row>
    <row r="224" spans="5:17" ht="14" x14ac:dyDescent="0.2">
      <c r="E224" s="1"/>
      <c r="F224" s="22"/>
      <c r="H224" s="24"/>
      <c r="I224" s="14"/>
      <c r="J224" s="15"/>
      <c r="K224" s="13"/>
      <c r="M224" s="3"/>
      <c r="N224" s="17"/>
      <c r="P224" s="7"/>
      <c r="Q224" s="18"/>
    </row>
    <row r="225" spans="5:17" ht="14" x14ac:dyDescent="0.2">
      <c r="E225" s="1"/>
      <c r="F225" s="22"/>
      <c r="H225" s="24"/>
      <c r="I225" s="14"/>
      <c r="J225" s="15"/>
      <c r="K225" s="13"/>
      <c r="M225" s="3"/>
      <c r="N225" s="17"/>
      <c r="P225" s="7"/>
      <c r="Q225" s="18"/>
    </row>
    <row r="226" spans="5:17" ht="14" x14ac:dyDescent="0.2">
      <c r="E226" s="1"/>
      <c r="F226" s="22"/>
      <c r="H226" s="24"/>
      <c r="I226" s="14"/>
      <c r="J226" s="15"/>
      <c r="K226" s="13"/>
      <c r="M226" s="3"/>
      <c r="N226" s="17"/>
      <c r="P226" s="7"/>
      <c r="Q226" s="18"/>
    </row>
    <row r="227" spans="5:17" ht="14" x14ac:dyDescent="0.2">
      <c r="E227" s="1"/>
      <c r="F227" s="22"/>
      <c r="H227" s="24"/>
      <c r="I227" s="14"/>
      <c r="J227" s="15"/>
      <c r="K227" s="13"/>
      <c r="M227" s="3"/>
      <c r="N227" s="17"/>
      <c r="P227" s="7"/>
      <c r="Q227" s="18"/>
    </row>
    <row r="228" spans="5:17" ht="14" x14ac:dyDescent="0.2">
      <c r="E228" s="1"/>
      <c r="F228" s="22"/>
      <c r="H228" s="24"/>
      <c r="I228" s="14"/>
      <c r="J228" s="15"/>
      <c r="K228" s="13"/>
      <c r="M228" s="3"/>
      <c r="N228" s="17"/>
      <c r="P228" s="7"/>
      <c r="Q228" s="18"/>
    </row>
    <row r="229" spans="5:17" ht="14" x14ac:dyDescent="0.2">
      <c r="E229" s="1"/>
      <c r="F229" s="22"/>
      <c r="H229" s="24"/>
      <c r="I229" s="14"/>
      <c r="J229" s="15"/>
      <c r="K229" s="13"/>
      <c r="M229" s="3"/>
      <c r="N229" s="17"/>
      <c r="P229" s="7"/>
      <c r="Q229" s="18"/>
    </row>
    <row r="230" spans="5:17" ht="14" x14ac:dyDescent="0.2">
      <c r="E230" s="1"/>
      <c r="F230" s="22"/>
      <c r="H230" s="24"/>
      <c r="I230" s="14"/>
      <c r="J230" s="15"/>
      <c r="K230" s="13"/>
      <c r="M230" s="3"/>
      <c r="N230" s="17"/>
      <c r="P230" s="7"/>
      <c r="Q230" s="18"/>
    </row>
    <row r="231" spans="5:17" ht="14" x14ac:dyDescent="0.2">
      <c r="E231" s="1"/>
      <c r="F231" s="22"/>
      <c r="H231" s="24"/>
      <c r="I231" s="14"/>
      <c r="J231" s="15"/>
      <c r="K231" s="13"/>
      <c r="M231" s="3"/>
      <c r="N231" s="17"/>
      <c r="P231" s="7"/>
      <c r="Q231" s="18"/>
    </row>
    <row r="232" spans="5:17" ht="14" x14ac:dyDescent="0.2">
      <c r="E232" s="1"/>
      <c r="F232" s="22"/>
      <c r="H232" s="24"/>
      <c r="I232" s="14"/>
      <c r="J232" s="15"/>
      <c r="K232" s="13"/>
      <c r="M232" s="3"/>
      <c r="N232" s="17"/>
      <c r="P232" s="7"/>
      <c r="Q232" s="18"/>
    </row>
    <row r="233" spans="5:17" ht="14" x14ac:dyDescent="0.2">
      <c r="E233" s="1"/>
      <c r="F233" s="22"/>
      <c r="H233" s="24"/>
      <c r="I233" s="14"/>
      <c r="J233" s="15"/>
      <c r="K233" s="13"/>
      <c r="M233" s="3"/>
      <c r="N233" s="17"/>
      <c r="P233" s="7"/>
      <c r="Q233" s="18"/>
    </row>
    <row r="234" spans="5:17" ht="14" x14ac:dyDescent="0.2">
      <c r="E234" s="1"/>
      <c r="F234" s="22"/>
      <c r="H234" s="24"/>
      <c r="I234" s="14"/>
      <c r="J234" s="15"/>
      <c r="K234" s="13"/>
      <c r="M234" s="3"/>
      <c r="N234" s="17"/>
      <c r="P234" s="7"/>
      <c r="Q234" s="18"/>
    </row>
    <row r="235" spans="5:17" ht="14" x14ac:dyDescent="0.2">
      <c r="E235" s="1"/>
      <c r="F235" s="22"/>
      <c r="H235" s="24"/>
      <c r="I235" s="14"/>
      <c r="J235" s="15"/>
      <c r="K235" s="13"/>
      <c r="M235" s="3"/>
      <c r="N235" s="17"/>
      <c r="P235" s="7"/>
      <c r="Q235" s="18"/>
    </row>
    <row r="236" spans="5:17" ht="14" x14ac:dyDescent="0.2">
      <c r="E236" s="1"/>
      <c r="F236" s="22"/>
      <c r="H236" s="24"/>
      <c r="I236" s="14"/>
      <c r="J236" s="15"/>
      <c r="K236" s="13"/>
      <c r="M236" s="3"/>
      <c r="N236" s="17"/>
      <c r="P236" s="7"/>
      <c r="Q236" s="18"/>
    </row>
    <row r="237" spans="5:17" ht="14" x14ac:dyDescent="0.2">
      <c r="E237" s="1"/>
      <c r="F237" s="22"/>
      <c r="H237" s="24"/>
      <c r="I237" s="14"/>
      <c r="J237" s="15"/>
      <c r="K237" s="13"/>
      <c r="M237" s="3"/>
      <c r="N237" s="17"/>
      <c r="P237" s="7"/>
      <c r="Q237" s="18"/>
    </row>
    <row r="238" spans="5:17" ht="14" x14ac:dyDescent="0.2">
      <c r="E238" s="1"/>
      <c r="F238" s="22"/>
      <c r="H238" s="24"/>
      <c r="I238" s="14"/>
      <c r="J238" s="15"/>
      <c r="K238" s="13"/>
      <c r="M238" s="3"/>
      <c r="N238" s="17"/>
      <c r="P238" s="7"/>
      <c r="Q238" s="18"/>
    </row>
    <row r="239" spans="5:17" ht="14" x14ac:dyDescent="0.2">
      <c r="E239" s="1"/>
      <c r="F239" s="22"/>
      <c r="H239" s="24"/>
      <c r="I239" s="14"/>
      <c r="J239" s="15"/>
      <c r="K239" s="13"/>
      <c r="M239" s="3"/>
      <c r="N239" s="17"/>
      <c r="P239" s="7"/>
      <c r="Q239" s="18"/>
    </row>
    <row r="240" spans="5:17" ht="14" x14ac:dyDescent="0.2">
      <c r="E240" s="1"/>
      <c r="F240" s="22"/>
      <c r="H240" s="24"/>
      <c r="I240" s="14"/>
      <c r="J240" s="15"/>
      <c r="K240" s="13"/>
      <c r="M240" s="3"/>
      <c r="N240" s="17"/>
      <c r="P240" s="7"/>
      <c r="Q240" s="18"/>
    </row>
    <row r="241" spans="5:17" ht="14" x14ac:dyDescent="0.2">
      <c r="E241" s="1"/>
      <c r="F241" s="22"/>
      <c r="H241" s="24"/>
      <c r="I241" s="14"/>
      <c r="J241" s="15"/>
      <c r="K241" s="13"/>
      <c r="M241" s="3"/>
      <c r="N241" s="17"/>
      <c r="P241" s="7"/>
      <c r="Q241" s="18"/>
    </row>
    <row r="242" spans="5:17" ht="14" x14ac:dyDescent="0.2">
      <c r="E242" s="1"/>
      <c r="F242" s="22"/>
      <c r="H242" s="24"/>
      <c r="I242" s="14"/>
      <c r="J242" s="15"/>
      <c r="K242" s="13"/>
      <c r="M242" s="3"/>
      <c r="N242" s="17"/>
      <c r="P242" s="7"/>
      <c r="Q242" s="18"/>
    </row>
    <row r="243" spans="5:17" ht="14" x14ac:dyDescent="0.2">
      <c r="E243" s="1"/>
      <c r="F243" s="22"/>
      <c r="H243" s="24"/>
      <c r="I243" s="14"/>
      <c r="J243" s="15"/>
      <c r="K243" s="13"/>
      <c r="M243" s="3"/>
      <c r="N243" s="17"/>
      <c r="P243" s="7"/>
      <c r="Q243" s="18"/>
    </row>
    <row r="244" spans="5:17" ht="14" x14ac:dyDescent="0.2">
      <c r="E244" s="1"/>
      <c r="F244" s="22"/>
      <c r="H244" s="24"/>
      <c r="I244" s="14"/>
      <c r="J244" s="15"/>
      <c r="K244" s="13"/>
      <c r="M244" s="3"/>
      <c r="N244" s="17"/>
      <c r="P244" s="7"/>
      <c r="Q244" s="18"/>
    </row>
    <row r="245" spans="5:17" ht="14" x14ac:dyDescent="0.2">
      <c r="E245" s="1"/>
      <c r="F245" s="22"/>
      <c r="H245" s="24"/>
      <c r="I245" s="14"/>
      <c r="J245" s="15"/>
      <c r="K245" s="13"/>
      <c r="M245" s="3"/>
      <c r="N245" s="17"/>
      <c r="P245" s="7"/>
      <c r="Q245" s="18"/>
    </row>
    <row r="246" spans="5:17" ht="14" x14ac:dyDescent="0.2">
      <c r="E246" s="1"/>
      <c r="F246" s="22"/>
      <c r="H246" s="24"/>
      <c r="I246" s="14"/>
      <c r="J246" s="15"/>
      <c r="K246" s="13"/>
      <c r="M246" s="3"/>
      <c r="N246" s="17"/>
      <c r="P246" s="7"/>
      <c r="Q246" s="18"/>
    </row>
    <row r="247" spans="5:17" ht="14" x14ac:dyDescent="0.2">
      <c r="E247" s="1"/>
      <c r="F247" s="22"/>
      <c r="H247" s="24"/>
      <c r="I247" s="14"/>
      <c r="J247" s="15"/>
      <c r="K247" s="13"/>
      <c r="M247" s="3"/>
      <c r="N247" s="17"/>
      <c r="P247" s="7"/>
      <c r="Q247" s="18"/>
    </row>
    <row r="248" spans="5:17" ht="14" x14ac:dyDescent="0.2">
      <c r="E248" s="1"/>
      <c r="F248" s="22"/>
      <c r="H248" s="24"/>
      <c r="I248" s="14"/>
      <c r="J248" s="15"/>
      <c r="K248" s="13"/>
      <c r="M248" s="3"/>
      <c r="N248" s="17"/>
      <c r="P248" s="7"/>
      <c r="Q248" s="18"/>
    </row>
    <row r="249" spans="5:17" ht="14" x14ac:dyDescent="0.2">
      <c r="E249" s="1"/>
      <c r="F249" s="22"/>
      <c r="H249" s="24"/>
      <c r="I249" s="14"/>
      <c r="J249" s="15"/>
      <c r="K249" s="13"/>
      <c r="M249" s="3"/>
      <c r="N249" s="17"/>
      <c r="P249" s="7"/>
      <c r="Q249" s="18"/>
    </row>
    <row r="250" spans="5:17" ht="14" x14ac:dyDescent="0.2">
      <c r="E250" s="1"/>
      <c r="F250" s="22"/>
      <c r="H250" s="24"/>
      <c r="I250" s="14"/>
      <c r="J250" s="15"/>
      <c r="K250" s="13"/>
      <c r="M250" s="3"/>
      <c r="N250" s="17"/>
      <c r="P250" s="7"/>
      <c r="Q250" s="18"/>
    </row>
    <row r="251" spans="5:17" ht="14" x14ac:dyDescent="0.2">
      <c r="E251" s="1"/>
      <c r="F251" s="22"/>
      <c r="H251" s="24"/>
      <c r="I251" s="14"/>
      <c r="J251" s="15"/>
      <c r="K251" s="13"/>
      <c r="M251" s="3"/>
      <c r="N251" s="17"/>
      <c r="P251" s="7"/>
      <c r="Q251" s="18"/>
    </row>
    <row r="252" spans="5:17" ht="14" x14ac:dyDescent="0.2">
      <c r="E252" s="1"/>
      <c r="F252" s="22"/>
      <c r="H252" s="24"/>
      <c r="I252" s="14"/>
      <c r="J252" s="15"/>
      <c r="K252" s="13"/>
      <c r="M252" s="3"/>
      <c r="N252" s="17"/>
      <c r="P252" s="7"/>
      <c r="Q252" s="18"/>
    </row>
    <row r="253" spans="5:17" ht="14" x14ac:dyDescent="0.2">
      <c r="E253" s="1"/>
      <c r="F253" s="22"/>
      <c r="H253" s="24"/>
      <c r="I253" s="14"/>
      <c r="J253" s="15"/>
      <c r="K253" s="13"/>
      <c r="M253" s="3"/>
      <c r="N253" s="17"/>
      <c r="P253" s="7"/>
      <c r="Q253" s="18"/>
    </row>
    <row r="254" spans="5:17" ht="14" x14ac:dyDescent="0.2">
      <c r="E254" s="1"/>
      <c r="F254" s="22"/>
      <c r="H254" s="24"/>
      <c r="I254" s="14"/>
      <c r="J254" s="15"/>
      <c r="K254" s="13"/>
      <c r="M254" s="3"/>
      <c r="N254" s="17"/>
      <c r="P254" s="7"/>
      <c r="Q254" s="18"/>
    </row>
    <row r="255" spans="5:17" ht="14" x14ac:dyDescent="0.2">
      <c r="E255" s="1"/>
      <c r="F255" s="22"/>
      <c r="H255" s="24"/>
      <c r="I255" s="14"/>
      <c r="J255" s="15"/>
      <c r="K255" s="13"/>
      <c r="M255" s="3"/>
      <c r="N255" s="17"/>
      <c r="P255" s="7"/>
      <c r="Q255" s="18"/>
    </row>
    <row r="256" spans="5:17" ht="14" x14ac:dyDescent="0.2">
      <c r="E256" s="1"/>
      <c r="F256" s="22"/>
      <c r="H256" s="24"/>
      <c r="I256" s="14"/>
      <c r="J256" s="15"/>
      <c r="K256" s="13"/>
      <c r="M256" s="3"/>
      <c r="N256" s="17"/>
      <c r="P256" s="7"/>
      <c r="Q256" s="18"/>
    </row>
    <row r="257" spans="5:17" ht="14" x14ac:dyDescent="0.2">
      <c r="E257" s="1"/>
      <c r="F257" s="22"/>
      <c r="H257" s="24"/>
      <c r="I257" s="14"/>
      <c r="J257" s="15"/>
      <c r="K257" s="13"/>
      <c r="M257" s="3"/>
      <c r="N257" s="17"/>
      <c r="P257" s="7"/>
      <c r="Q257" s="18"/>
    </row>
    <row r="258" spans="5:17" ht="14" x14ac:dyDescent="0.2">
      <c r="E258" s="1"/>
      <c r="F258" s="22"/>
      <c r="H258" s="24"/>
      <c r="I258" s="14"/>
      <c r="J258" s="15"/>
      <c r="K258" s="13"/>
      <c r="M258" s="3"/>
      <c r="N258" s="17"/>
      <c r="P258" s="7"/>
      <c r="Q258" s="18"/>
    </row>
    <row r="259" spans="5:17" ht="14" x14ac:dyDescent="0.2">
      <c r="E259" s="1"/>
      <c r="F259" s="22"/>
      <c r="H259" s="24"/>
      <c r="I259" s="14"/>
      <c r="J259" s="15"/>
      <c r="K259" s="13"/>
      <c r="M259" s="3"/>
      <c r="N259" s="17"/>
      <c r="P259" s="7"/>
      <c r="Q259" s="18"/>
    </row>
    <row r="260" spans="5:17" ht="14" x14ac:dyDescent="0.2">
      <c r="E260" s="1"/>
      <c r="F260" s="22"/>
      <c r="H260" s="24"/>
      <c r="I260" s="14"/>
      <c r="J260" s="15"/>
      <c r="K260" s="13"/>
      <c r="M260" s="3"/>
      <c r="N260" s="17"/>
      <c r="P260" s="7"/>
      <c r="Q260" s="18"/>
    </row>
    <row r="261" spans="5:17" ht="14" x14ac:dyDescent="0.2">
      <c r="E261" s="1"/>
      <c r="F261" s="22"/>
      <c r="H261" s="24"/>
      <c r="I261" s="14"/>
      <c r="J261" s="15"/>
      <c r="K261" s="13"/>
      <c r="M261" s="3"/>
      <c r="N261" s="17"/>
      <c r="P261" s="7"/>
      <c r="Q261" s="18"/>
    </row>
    <row r="262" spans="5:17" ht="14" x14ac:dyDescent="0.2">
      <c r="E262" s="1"/>
      <c r="F262" s="22"/>
      <c r="H262" s="24"/>
      <c r="I262" s="14"/>
      <c r="J262" s="15"/>
      <c r="K262" s="13"/>
      <c r="M262" s="3"/>
      <c r="N262" s="17"/>
      <c r="P262" s="7"/>
      <c r="Q262" s="18"/>
    </row>
    <row r="263" spans="5:17" ht="14" x14ac:dyDescent="0.2">
      <c r="E263" s="1"/>
      <c r="F263" s="22"/>
      <c r="H263" s="24"/>
      <c r="I263" s="14"/>
      <c r="J263" s="15"/>
      <c r="K263" s="13"/>
      <c r="M263" s="3"/>
      <c r="N263" s="17"/>
      <c r="P263" s="7"/>
      <c r="Q263" s="18"/>
    </row>
    <row r="264" spans="5:17" ht="14" x14ac:dyDescent="0.2">
      <c r="E264" s="1"/>
      <c r="F264" s="22"/>
      <c r="H264" s="24"/>
      <c r="I264" s="14"/>
      <c r="J264" s="15"/>
      <c r="K264" s="13"/>
      <c r="M264" s="3"/>
      <c r="N264" s="17"/>
      <c r="P264" s="7"/>
      <c r="Q264" s="18"/>
    </row>
    <row r="265" spans="5:17" ht="14" x14ac:dyDescent="0.2">
      <c r="E265" s="1"/>
      <c r="F265" s="22"/>
      <c r="H265" s="24"/>
      <c r="I265" s="14"/>
      <c r="J265" s="15"/>
      <c r="K265" s="13"/>
      <c r="M265" s="3"/>
      <c r="N265" s="17"/>
      <c r="P265" s="7"/>
      <c r="Q265" s="18"/>
    </row>
    <row r="266" spans="5:17" ht="14" x14ac:dyDescent="0.2">
      <c r="E266" s="1"/>
      <c r="F266" s="22"/>
      <c r="H266" s="24"/>
      <c r="I266" s="14"/>
      <c r="J266" s="15"/>
      <c r="K266" s="13"/>
      <c r="M266" s="3"/>
      <c r="N266" s="17"/>
      <c r="P266" s="7"/>
      <c r="Q266" s="18"/>
    </row>
    <row r="267" spans="5:17" ht="14" x14ac:dyDescent="0.2">
      <c r="E267" s="1"/>
      <c r="F267" s="22"/>
      <c r="H267" s="24"/>
      <c r="I267" s="14"/>
      <c r="J267" s="15"/>
      <c r="K267" s="13"/>
      <c r="M267" s="3"/>
      <c r="N267" s="17"/>
      <c r="P267" s="7"/>
      <c r="Q267" s="18"/>
    </row>
    <row r="268" spans="5:17" ht="14" x14ac:dyDescent="0.2">
      <c r="E268" s="1"/>
      <c r="F268" s="22"/>
      <c r="H268" s="24"/>
      <c r="I268" s="14"/>
      <c r="J268" s="15"/>
      <c r="K268" s="13"/>
      <c r="M268" s="3"/>
      <c r="N268" s="17"/>
      <c r="P268" s="7"/>
      <c r="Q268" s="18"/>
    </row>
    <row r="269" spans="5:17" ht="14" x14ac:dyDescent="0.2">
      <c r="E269" s="1"/>
      <c r="F269" s="22"/>
      <c r="H269" s="24"/>
      <c r="I269" s="14"/>
      <c r="J269" s="15"/>
      <c r="K269" s="13"/>
      <c r="M269" s="3"/>
      <c r="N269" s="17"/>
      <c r="P269" s="7"/>
      <c r="Q269" s="18"/>
    </row>
    <row r="270" spans="5:17" ht="14" x14ac:dyDescent="0.2">
      <c r="E270" s="1"/>
      <c r="F270" s="22"/>
      <c r="H270" s="24"/>
      <c r="I270" s="14"/>
      <c r="J270" s="15"/>
      <c r="K270" s="13"/>
      <c r="M270" s="3"/>
      <c r="N270" s="17"/>
      <c r="P270" s="7"/>
      <c r="Q270" s="18"/>
    </row>
    <row r="271" spans="5:17" ht="14" x14ac:dyDescent="0.2">
      <c r="E271" s="1"/>
      <c r="F271" s="22"/>
      <c r="H271" s="24"/>
      <c r="I271" s="14"/>
      <c r="J271" s="15"/>
      <c r="K271" s="13"/>
      <c r="M271" s="3"/>
      <c r="N271" s="17"/>
      <c r="P271" s="7"/>
      <c r="Q271" s="18"/>
    </row>
    <row r="272" spans="5:17" ht="14" x14ac:dyDescent="0.2">
      <c r="E272" s="1"/>
      <c r="F272" s="22"/>
      <c r="H272" s="24"/>
      <c r="I272" s="14"/>
      <c r="J272" s="15"/>
      <c r="K272" s="13"/>
      <c r="M272" s="3"/>
      <c r="N272" s="17"/>
      <c r="P272" s="7"/>
      <c r="Q272" s="18"/>
    </row>
    <row r="273" spans="5:17" ht="14" x14ac:dyDescent="0.2">
      <c r="E273" s="1"/>
      <c r="F273" s="22"/>
      <c r="H273" s="24"/>
      <c r="I273" s="14"/>
      <c r="J273" s="15"/>
      <c r="K273" s="13"/>
      <c r="M273" s="3"/>
      <c r="N273" s="17"/>
      <c r="P273" s="7"/>
      <c r="Q273" s="18"/>
    </row>
    <row r="274" spans="5:17" ht="14" x14ac:dyDescent="0.2">
      <c r="E274" s="1"/>
      <c r="F274" s="22"/>
      <c r="H274" s="24"/>
      <c r="I274" s="14"/>
      <c r="J274" s="15"/>
      <c r="K274" s="13"/>
      <c r="M274" s="3"/>
      <c r="N274" s="17"/>
      <c r="P274" s="7"/>
      <c r="Q274" s="18"/>
    </row>
    <row r="275" spans="5:17" ht="14" x14ac:dyDescent="0.2">
      <c r="E275" s="1"/>
      <c r="F275" s="22"/>
      <c r="H275" s="24"/>
      <c r="I275" s="14"/>
      <c r="J275" s="15"/>
      <c r="K275" s="13"/>
      <c r="M275" s="3"/>
      <c r="N275" s="17"/>
      <c r="P275" s="7"/>
      <c r="Q275" s="18"/>
    </row>
    <row r="276" spans="5:17" ht="14" x14ac:dyDescent="0.2">
      <c r="E276" s="1"/>
      <c r="F276" s="22"/>
      <c r="H276" s="24"/>
      <c r="I276" s="14"/>
      <c r="J276" s="15"/>
      <c r="K276" s="13"/>
      <c r="M276" s="3"/>
      <c r="N276" s="17"/>
      <c r="P276" s="7"/>
      <c r="Q276" s="18"/>
    </row>
    <row r="277" spans="5:17" ht="14" x14ac:dyDescent="0.2">
      <c r="E277" s="1"/>
      <c r="F277" s="22"/>
      <c r="H277" s="24"/>
      <c r="I277" s="14"/>
      <c r="J277" s="15"/>
      <c r="K277" s="13"/>
      <c r="M277" s="3"/>
      <c r="N277" s="17"/>
      <c r="P277" s="7"/>
      <c r="Q277" s="18"/>
    </row>
    <row r="278" spans="5:17" ht="14" x14ac:dyDescent="0.2">
      <c r="E278" s="1"/>
      <c r="F278" s="22"/>
      <c r="H278" s="24"/>
      <c r="I278" s="14"/>
      <c r="J278" s="15"/>
      <c r="K278" s="13"/>
      <c r="M278" s="3"/>
      <c r="N278" s="17"/>
      <c r="P278" s="7"/>
      <c r="Q278" s="18"/>
    </row>
    <row r="279" spans="5:17" ht="14" x14ac:dyDescent="0.2">
      <c r="E279" s="1"/>
      <c r="F279" s="22"/>
      <c r="H279" s="24"/>
      <c r="I279" s="14"/>
      <c r="J279" s="15"/>
      <c r="K279" s="13"/>
      <c r="M279" s="3"/>
      <c r="N279" s="17"/>
      <c r="P279" s="7"/>
      <c r="Q279" s="18"/>
    </row>
    <row r="280" spans="5:17" ht="14" x14ac:dyDescent="0.2">
      <c r="E280" s="1"/>
      <c r="F280" s="22"/>
      <c r="H280" s="24"/>
      <c r="I280" s="14"/>
      <c r="J280" s="15"/>
      <c r="K280" s="13"/>
      <c r="M280" s="3"/>
      <c r="N280" s="17"/>
      <c r="P280" s="7"/>
      <c r="Q280" s="18"/>
    </row>
    <row r="281" spans="5:17" ht="14" x14ac:dyDescent="0.2">
      <c r="E281" s="1"/>
      <c r="F281" s="22"/>
      <c r="H281" s="24"/>
      <c r="I281" s="14"/>
      <c r="J281" s="15"/>
      <c r="K281" s="13"/>
      <c r="M281" s="3"/>
      <c r="N281" s="17"/>
      <c r="P281" s="7"/>
      <c r="Q281" s="18"/>
    </row>
    <row r="282" spans="5:17" ht="14" x14ac:dyDescent="0.2">
      <c r="E282" s="1"/>
      <c r="F282" s="22"/>
      <c r="H282" s="24"/>
      <c r="I282" s="14"/>
      <c r="J282" s="15"/>
      <c r="K282" s="13"/>
      <c r="M282" s="3"/>
      <c r="N282" s="17"/>
      <c r="P282" s="7"/>
      <c r="Q282" s="18"/>
    </row>
    <row r="283" spans="5:17" ht="14" x14ac:dyDescent="0.2">
      <c r="E283" s="1"/>
      <c r="F283" s="22"/>
      <c r="H283" s="24"/>
      <c r="I283" s="14"/>
      <c r="J283" s="15"/>
      <c r="K283" s="13"/>
      <c r="M283" s="3"/>
      <c r="N283" s="17"/>
      <c r="P283" s="7"/>
      <c r="Q283" s="18"/>
    </row>
    <row r="284" spans="5:17" ht="14" x14ac:dyDescent="0.2">
      <c r="E284" s="1"/>
      <c r="F284" s="22"/>
      <c r="H284" s="24"/>
      <c r="I284" s="14"/>
      <c r="J284" s="15"/>
      <c r="K284" s="13"/>
      <c r="M284" s="3"/>
      <c r="N284" s="17"/>
      <c r="P284" s="7"/>
      <c r="Q284" s="18"/>
    </row>
    <row r="285" spans="5:17" ht="14" x14ac:dyDescent="0.2">
      <c r="E285" s="1"/>
      <c r="F285" s="22"/>
      <c r="H285" s="24"/>
      <c r="I285" s="14"/>
      <c r="J285" s="15"/>
      <c r="K285" s="13"/>
      <c r="M285" s="3"/>
      <c r="N285" s="17"/>
      <c r="P285" s="7"/>
      <c r="Q285" s="18"/>
    </row>
    <row r="286" spans="5:17" ht="14" x14ac:dyDescent="0.2">
      <c r="E286" s="1"/>
      <c r="F286" s="22"/>
      <c r="H286" s="24"/>
      <c r="I286" s="14"/>
      <c r="J286" s="15"/>
      <c r="K286" s="13"/>
      <c r="M286" s="3"/>
      <c r="N286" s="17"/>
      <c r="P286" s="7"/>
      <c r="Q286" s="18"/>
    </row>
    <row r="287" spans="5:17" ht="14" x14ac:dyDescent="0.2">
      <c r="E287" s="1"/>
      <c r="F287" s="22"/>
      <c r="H287" s="24"/>
      <c r="I287" s="14"/>
      <c r="J287" s="15"/>
      <c r="K287" s="13"/>
      <c r="M287" s="3"/>
      <c r="N287" s="17"/>
      <c r="P287" s="7"/>
      <c r="Q287" s="18"/>
    </row>
    <row r="288" spans="5:17" ht="14" x14ac:dyDescent="0.2">
      <c r="E288" s="1"/>
      <c r="F288" s="22"/>
      <c r="H288" s="24"/>
      <c r="I288" s="14"/>
      <c r="J288" s="15"/>
      <c r="K288" s="13"/>
      <c r="M288" s="3"/>
      <c r="N288" s="17"/>
      <c r="P288" s="7"/>
      <c r="Q288" s="18"/>
    </row>
    <row r="289" spans="5:17" ht="14" x14ac:dyDescent="0.2">
      <c r="E289" s="1"/>
      <c r="F289" s="22"/>
      <c r="H289" s="24"/>
      <c r="I289" s="14"/>
      <c r="J289" s="15"/>
      <c r="K289" s="13"/>
      <c r="M289" s="3"/>
      <c r="N289" s="17"/>
      <c r="P289" s="7"/>
      <c r="Q289" s="18"/>
    </row>
    <row r="290" spans="5:17" ht="14" x14ac:dyDescent="0.2">
      <c r="E290" s="1"/>
      <c r="F290" s="22"/>
      <c r="H290" s="24"/>
      <c r="I290" s="14"/>
      <c r="J290" s="15"/>
      <c r="K290" s="13"/>
      <c r="M290" s="3"/>
      <c r="N290" s="17"/>
      <c r="P290" s="7"/>
      <c r="Q290" s="18"/>
    </row>
    <row r="291" spans="5:17" ht="14" x14ac:dyDescent="0.2">
      <c r="E291" s="1"/>
      <c r="F291" s="22"/>
      <c r="H291" s="24"/>
      <c r="I291" s="14"/>
      <c r="J291" s="15"/>
      <c r="K291" s="13"/>
      <c r="M291" s="3"/>
      <c r="N291" s="17"/>
      <c r="P291" s="7"/>
      <c r="Q291" s="18"/>
    </row>
    <row r="292" spans="5:17" ht="14" x14ac:dyDescent="0.2">
      <c r="E292" s="1"/>
      <c r="F292" s="22"/>
      <c r="H292" s="24"/>
      <c r="I292" s="14"/>
      <c r="J292" s="15"/>
      <c r="K292" s="13"/>
      <c r="M292" s="3"/>
      <c r="N292" s="17"/>
      <c r="P292" s="7"/>
      <c r="Q292" s="18"/>
    </row>
    <row r="293" spans="5:17" ht="14" x14ac:dyDescent="0.2">
      <c r="E293" s="1"/>
      <c r="F293" s="22"/>
      <c r="H293" s="24"/>
      <c r="I293" s="14"/>
      <c r="J293" s="15"/>
      <c r="K293" s="13"/>
      <c r="M293" s="3"/>
      <c r="N293" s="17"/>
      <c r="P293" s="7"/>
      <c r="Q293" s="18"/>
    </row>
    <row r="294" spans="5:17" ht="14" x14ac:dyDescent="0.2">
      <c r="E294" s="1"/>
      <c r="F294" s="22"/>
      <c r="H294" s="24"/>
      <c r="I294" s="14"/>
      <c r="J294" s="15"/>
      <c r="K294" s="13"/>
      <c r="M294" s="3"/>
      <c r="N294" s="17"/>
      <c r="P294" s="7"/>
      <c r="Q294" s="18"/>
    </row>
    <row r="295" spans="5:17" ht="14" x14ac:dyDescent="0.2">
      <c r="E295" s="1"/>
      <c r="F295" s="22"/>
      <c r="H295" s="24"/>
      <c r="I295" s="14"/>
      <c r="J295" s="15"/>
      <c r="K295" s="13"/>
      <c r="M295" s="3"/>
      <c r="N295" s="17"/>
      <c r="P295" s="7"/>
      <c r="Q295" s="18"/>
    </row>
    <row r="296" spans="5:17" ht="14" x14ac:dyDescent="0.2">
      <c r="E296" s="1"/>
      <c r="F296" s="22"/>
      <c r="H296" s="24"/>
      <c r="I296" s="14"/>
      <c r="J296" s="15"/>
      <c r="K296" s="13"/>
      <c r="M296" s="3"/>
      <c r="N296" s="17"/>
      <c r="P296" s="7"/>
      <c r="Q296" s="18"/>
    </row>
    <row r="297" spans="5:17" ht="14" x14ac:dyDescent="0.2">
      <c r="E297" s="1"/>
      <c r="F297" s="22"/>
      <c r="H297" s="24"/>
      <c r="I297" s="14"/>
      <c r="J297" s="15"/>
      <c r="K297" s="13"/>
      <c r="M297" s="3"/>
      <c r="N297" s="17"/>
      <c r="P297" s="7"/>
      <c r="Q297" s="18"/>
    </row>
    <row r="298" spans="5:17" ht="14" x14ac:dyDescent="0.2">
      <c r="E298" s="1"/>
      <c r="F298" s="22"/>
      <c r="H298" s="24"/>
      <c r="I298" s="14"/>
      <c r="J298" s="15"/>
      <c r="K298" s="13"/>
      <c r="M298" s="3"/>
      <c r="N298" s="17"/>
      <c r="P298" s="7"/>
      <c r="Q298" s="18"/>
    </row>
    <row r="299" spans="5:17" ht="14" x14ac:dyDescent="0.2">
      <c r="E299" s="1"/>
      <c r="F299" s="22"/>
      <c r="H299" s="24"/>
      <c r="I299" s="14"/>
      <c r="J299" s="15"/>
      <c r="K299" s="13"/>
      <c r="M299" s="3"/>
      <c r="N299" s="17"/>
      <c r="P299" s="7"/>
      <c r="Q299" s="18"/>
    </row>
    <row r="300" spans="5:17" ht="14" x14ac:dyDescent="0.2">
      <c r="E300" s="1"/>
      <c r="F300" s="22"/>
      <c r="H300" s="24"/>
      <c r="I300" s="14"/>
      <c r="J300" s="15"/>
      <c r="K300" s="13"/>
      <c r="M300" s="3"/>
      <c r="N300" s="17"/>
      <c r="P300" s="7"/>
      <c r="Q300" s="18"/>
    </row>
    <row r="301" spans="5:17" ht="14" x14ac:dyDescent="0.2">
      <c r="E301" s="1"/>
      <c r="F301" s="22"/>
      <c r="H301" s="24"/>
      <c r="I301" s="14"/>
      <c r="J301" s="15"/>
      <c r="K301" s="13"/>
      <c r="M301" s="3"/>
      <c r="N301" s="17"/>
      <c r="P301" s="7"/>
      <c r="Q301" s="18"/>
    </row>
    <row r="302" spans="5:17" ht="14" x14ac:dyDescent="0.2">
      <c r="E302" s="1"/>
      <c r="F302" s="22"/>
      <c r="H302" s="24"/>
      <c r="I302" s="14"/>
      <c r="J302" s="15"/>
      <c r="K302" s="13"/>
      <c r="M302" s="3"/>
      <c r="N302" s="17"/>
      <c r="P302" s="7"/>
      <c r="Q302" s="18"/>
    </row>
    <row r="303" spans="5:17" ht="14" x14ac:dyDescent="0.2">
      <c r="E303" s="1"/>
      <c r="F303" s="22"/>
      <c r="H303" s="24"/>
      <c r="I303" s="14"/>
      <c r="J303" s="15"/>
      <c r="K303" s="13"/>
      <c r="M303" s="3"/>
      <c r="N303" s="17"/>
      <c r="P303" s="7"/>
      <c r="Q303" s="18"/>
    </row>
    <row r="304" spans="5:17" ht="14" x14ac:dyDescent="0.2">
      <c r="E304" s="1"/>
      <c r="F304" s="22"/>
      <c r="H304" s="24"/>
      <c r="I304" s="14"/>
      <c r="J304" s="15"/>
      <c r="K304" s="13"/>
      <c r="M304" s="3"/>
      <c r="N304" s="17"/>
      <c r="P304" s="7"/>
      <c r="Q304" s="18"/>
    </row>
    <row r="305" spans="5:17" ht="14" x14ac:dyDescent="0.2">
      <c r="E305" s="1"/>
      <c r="F305" s="22"/>
      <c r="H305" s="24"/>
      <c r="I305" s="14"/>
      <c r="J305" s="15"/>
      <c r="K305" s="13"/>
      <c r="M305" s="3"/>
      <c r="N305" s="17"/>
      <c r="P305" s="7"/>
      <c r="Q305" s="18"/>
    </row>
    <row r="306" spans="5:17" ht="14" x14ac:dyDescent="0.2">
      <c r="E306" s="1"/>
      <c r="F306" s="22"/>
      <c r="H306" s="24"/>
      <c r="I306" s="14"/>
      <c r="J306" s="15"/>
      <c r="K306" s="13"/>
      <c r="M306" s="3"/>
      <c r="N306" s="17"/>
      <c r="P306" s="7"/>
      <c r="Q306" s="18"/>
    </row>
    <row r="307" spans="5:17" ht="14" x14ac:dyDescent="0.2">
      <c r="E307" s="1"/>
      <c r="F307" s="22"/>
      <c r="H307" s="24"/>
      <c r="I307" s="14"/>
      <c r="J307" s="15"/>
      <c r="K307" s="13"/>
      <c r="M307" s="3"/>
      <c r="N307" s="17"/>
      <c r="P307" s="7"/>
      <c r="Q307" s="18"/>
    </row>
    <row r="308" spans="5:17" ht="14" x14ac:dyDescent="0.2">
      <c r="E308" s="1"/>
      <c r="F308" s="22"/>
      <c r="H308" s="24"/>
      <c r="I308" s="14"/>
      <c r="J308" s="15"/>
      <c r="K308" s="13"/>
      <c r="M308" s="3"/>
      <c r="N308" s="17"/>
      <c r="P308" s="7"/>
      <c r="Q308" s="18"/>
    </row>
    <row r="309" spans="5:17" ht="14" x14ac:dyDescent="0.2">
      <c r="E309" s="1"/>
      <c r="F309" s="22"/>
      <c r="H309" s="24"/>
      <c r="I309" s="14"/>
      <c r="J309" s="15"/>
      <c r="K309" s="13"/>
      <c r="M309" s="3"/>
      <c r="N309" s="17"/>
      <c r="P309" s="7"/>
      <c r="Q309" s="18"/>
    </row>
    <row r="310" spans="5:17" ht="14" x14ac:dyDescent="0.2">
      <c r="E310" s="1"/>
      <c r="F310" s="22"/>
      <c r="H310" s="24"/>
      <c r="I310" s="14"/>
      <c r="J310" s="15"/>
      <c r="K310" s="13"/>
      <c r="M310" s="3"/>
      <c r="N310" s="17"/>
      <c r="P310" s="7"/>
      <c r="Q310" s="18"/>
    </row>
    <row r="311" spans="5:17" ht="14" x14ac:dyDescent="0.2">
      <c r="E311" s="1"/>
      <c r="F311" s="22"/>
      <c r="H311" s="24"/>
      <c r="I311" s="14"/>
      <c r="J311" s="15"/>
      <c r="K311" s="13"/>
      <c r="M311" s="3"/>
      <c r="N311" s="17"/>
      <c r="P311" s="7"/>
      <c r="Q311" s="18"/>
    </row>
    <row r="312" spans="5:17" ht="14" x14ac:dyDescent="0.2">
      <c r="E312" s="1"/>
      <c r="F312" s="22"/>
      <c r="H312" s="24"/>
      <c r="I312" s="14"/>
      <c r="J312" s="15"/>
      <c r="K312" s="13"/>
      <c r="M312" s="3"/>
      <c r="N312" s="17"/>
      <c r="P312" s="7"/>
      <c r="Q312" s="18"/>
    </row>
    <row r="313" spans="5:17" ht="14" x14ac:dyDescent="0.2">
      <c r="E313" s="1"/>
      <c r="F313" s="22"/>
      <c r="H313" s="24"/>
      <c r="I313" s="14"/>
      <c r="J313" s="15"/>
      <c r="K313" s="13"/>
      <c r="M313" s="3"/>
      <c r="N313" s="17"/>
      <c r="P313" s="7"/>
      <c r="Q313" s="18"/>
    </row>
    <row r="314" spans="5:17" ht="14" x14ac:dyDescent="0.2">
      <c r="E314" s="1"/>
      <c r="F314" s="22"/>
      <c r="H314" s="24"/>
      <c r="I314" s="14"/>
      <c r="J314" s="15"/>
      <c r="K314" s="13"/>
      <c r="M314" s="3"/>
      <c r="N314" s="17"/>
      <c r="P314" s="7"/>
      <c r="Q314" s="18"/>
    </row>
    <row r="315" spans="5:17" ht="14" x14ac:dyDescent="0.2">
      <c r="E315" s="1"/>
      <c r="F315" s="22"/>
      <c r="H315" s="24"/>
      <c r="I315" s="14"/>
      <c r="J315" s="15"/>
      <c r="K315" s="13"/>
      <c r="M315" s="3"/>
      <c r="N315" s="17"/>
      <c r="P315" s="7"/>
      <c r="Q315" s="18"/>
    </row>
    <row r="316" spans="5:17" ht="14" x14ac:dyDescent="0.2">
      <c r="E316" s="1"/>
      <c r="F316" s="22"/>
      <c r="H316" s="24"/>
      <c r="I316" s="14"/>
      <c r="J316" s="15"/>
      <c r="K316" s="13"/>
      <c r="M316" s="3"/>
      <c r="N316" s="17"/>
      <c r="P316" s="7"/>
      <c r="Q316" s="18"/>
    </row>
    <row r="317" spans="5:17" ht="14" x14ac:dyDescent="0.2">
      <c r="E317" s="1"/>
      <c r="F317" s="22"/>
      <c r="H317" s="24"/>
      <c r="I317" s="14"/>
      <c r="J317" s="15"/>
      <c r="K317" s="13"/>
      <c r="M317" s="3"/>
      <c r="N317" s="17"/>
      <c r="P317" s="7"/>
      <c r="Q317" s="18"/>
    </row>
    <row r="318" spans="5:17" ht="14" x14ac:dyDescent="0.2">
      <c r="E318" s="1"/>
      <c r="F318" s="22"/>
      <c r="H318" s="24"/>
      <c r="I318" s="14"/>
      <c r="J318" s="15"/>
      <c r="K318" s="13"/>
      <c r="M318" s="3"/>
      <c r="N318" s="17"/>
      <c r="P318" s="7"/>
      <c r="Q318" s="18"/>
    </row>
    <row r="319" spans="5:17" ht="14" x14ac:dyDescent="0.2">
      <c r="E319" s="1"/>
      <c r="F319" s="22"/>
      <c r="H319" s="24"/>
      <c r="I319" s="14"/>
      <c r="J319" s="15"/>
      <c r="K319" s="13"/>
      <c r="M319" s="3"/>
      <c r="N319" s="17"/>
      <c r="P319" s="7"/>
      <c r="Q319" s="18"/>
    </row>
    <row r="320" spans="5:17" ht="14" x14ac:dyDescent="0.2">
      <c r="E320" s="1"/>
      <c r="F320" s="22"/>
      <c r="H320" s="24"/>
      <c r="I320" s="14"/>
      <c r="J320" s="15"/>
      <c r="K320" s="13"/>
      <c r="M320" s="3"/>
      <c r="N320" s="17"/>
      <c r="P320" s="7"/>
      <c r="Q320" s="18"/>
    </row>
    <row r="321" spans="5:17" ht="14" x14ac:dyDescent="0.2">
      <c r="E321" s="1"/>
      <c r="F321" s="22"/>
      <c r="H321" s="24"/>
      <c r="I321" s="14"/>
      <c r="J321" s="15"/>
      <c r="K321" s="13"/>
      <c r="M321" s="3"/>
      <c r="N321" s="17"/>
      <c r="P321" s="7"/>
      <c r="Q321" s="18"/>
    </row>
    <row r="322" spans="5:17" ht="14" x14ac:dyDescent="0.2">
      <c r="E322" s="1"/>
      <c r="F322" s="22"/>
      <c r="H322" s="24"/>
      <c r="I322" s="14"/>
      <c r="J322" s="15"/>
      <c r="K322" s="13"/>
      <c r="M322" s="3"/>
      <c r="N322" s="17"/>
      <c r="P322" s="7"/>
      <c r="Q322" s="18"/>
    </row>
    <row r="323" spans="5:17" ht="14" x14ac:dyDescent="0.2">
      <c r="E323" s="1"/>
      <c r="F323" s="22"/>
      <c r="H323" s="24"/>
      <c r="I323" s="14"/>
      <c r="J323" s="15"/>
      <c r="K323" s="13"/>
      <c r="M323" s="3"/>
      <c r="N323" s="17"/>
      <c r="P323" s="7"/>
      <c r="Q323" s="18"/>
    </row>
    <row r="324" spans="5:17" ht="14" x14ac:dyDescent="0.2">
      <c r="E324" s="1"/>
      <c r="F324" s="22"/>
      <c r="H324" s="24"/>
      <c r="I324" s="14"/>
      <c r="J324" s="15"/>
      <c r="K324" s="13"/>
      <c r="M324" s="3"/>
      <c r="N324" s="17"/>
      <c r="P324" s="7"/>
      <c r="Q324" s="18"/>
    </row>
    <row r="325" spans="5:17" ht="14" x14ac:dyDescent="0.2">
      <c r="E325" s="1"/>
      <c r="F325" s="22"/>
      <c r="H325" s="24"/>
      <c r="I325" s="14"/>
      <c r="J325" s="15"/>
      <c r="K325" s="13"/>
      <c r="M325" s="3"/>
      <c r="N325" s="17"/>
      <c r="P325" s="7"/>
      <c r="Q325" s="18"/>
    </row>
    <row r="326" spans="5:17" ht="14" x14ac:dyDescent="0.2">
      <c r="E326" s="1"/>
      <c r="F326" s="22"/>
      <c r="H326" s="24"/>
      <c r="I326" s="14"/>
      <c r="J326" s="15"/>
      <c r="K326" s="13"/>
      <c r="M326" s="3"/>
      <c r="N326" s="17"/>
      <c r="P326" s="7"/>
      <c r="Q326" s="18"/>
    </row>
    <row r="327" spans="5:17" ht="14" x14ac:dyDescent="0.2">
      <c r="E327" s="1"/>
      <c r="F327" s="22"/>
      <c r="H327" s="24"/>
      <c r="I327" s="14"/>
      <c r="J327" s="15"/>
      <c r="K327" s="13"/>
      <c r="M327" s="3"/>
      <c r="N327" s="17"/>
      <c r="P327" s="7"/>
      <c r="Q327" s="18"/>
    </row>
    <row r="328" spans="5:17" ht="14" x14ac:dyDescent="0.2">
      <c r="E328" s="1"/>
      <c r="F328" s="22"/>
      <c r="H328" s="24"/>
      <c r="I328" s="14"/>
      <c r="J328" s="15"/>
      <c r="K328" s="13"/>
      <c r="M328" s="3"/>
      <c r="N328" s="17"/>
      <c r="P328" s="7"/>
      <c r="Q328" s="18"/>
    </row>
    <row r="329" spans="5:17" ht="14" x14ac:dyDescent="0.2">
      <c r="E329" s="1"/>
      <c r="F329" s="22"/>
      <c r="H329" s="24"/>
      <c r="I329" s="14"/>
      <c r="J329" s="15"/>
      <c r="K329" s="13"/>
      <c r="M329" s="3"/>
      <c r="N329" s="17"/>
      <c r="P329" s="7"/>
      <c r="Q329" s="18"/>
    </row>
    <row r="330" spans="5:17" ht="14" x14ac:dyDescent="0.2">
      <c r="E330" s="1"/>
      <c r="F330" s="22"/>
      <c r="H330" s="24"/>
      <c r="I330" s="14"/>
      <c r="J330" s="15"/>
      <c r="K330" s="13"/>
      <c r="M330" s="3"/>
      <c r="N330" s="17"/>
      <c r="P330" s="7"/>
      <c r="Q330" s="18"/>
    </row>
    <row r="331" spans="5:17" ht="14" x14ac:dyDescent="0.2">
      <c r="E331" s="1"/>
      <c r="F331" s="22"/>
      <c r="H331" s="24"/>
      <c r="I331" s="14"/>
      <c r="J331" s="15"/>
      <c r="K331" s="13"/>
      <c r="M331" s="3"/>
      <c r="N331" s="17"/>
      <c r="P331" s="7"/>
      <c r="Q331" s="18"/>
    </row>
    <row r="332" spans="5:17" ht="14" x14ac:dyDescent="0.2">
      <c r="E332" s="1"/>
      <c r="F332" s="22"/>
      <c r="H332" s="24"/>
      <c r="I332" s="14"/>
      <c r="J332" s="15"/>
      <c r="K332" s="13"/>
      <c r="M332" s="3"/>
      <c r="N332" s="17"/>
      <c r="P332" s="7"/>
      <c r="Q332" s="18"/>
    </row>
    <row r="333" spans="5:17" ht="14" x14ac:dyDescent="0.2">
      <c r="E333" s="1"/>
      <c r="F333" s="22"/>
      <c r="H333" s="24"/>
      <c r="I333" s="14"/>
      <c r="J333" s="15"/>
      <c r="K333" s="13"/>
      <c r="M333" s="3"/>
      <c r="N333" s="17"/>
      <c r="P333" s="7"/>
      <c r="Q333" s="18"/>
    </row>
    <row r="334" spans="5:17" ht="14" x14ac:dyDescent="0.2">
      <c r="E334" s="1"/>
      <c r="F334" s="22"/>
      <c r="H334" s="24"/>
      <c r="I334" s="14"/>
      <c r="J334" s="15"/>
      <c r="K334" s="13"/>
      <c r="M334" s="3"/>
      <c r="N334" s="17"/>
      <c r="P334" s="7"/>
      <c r="Q334" s="18"/>
    </row>
    <row r="335" spans="5:17" ht="14" x14ac:dyDescent="0.2">
      <c r="E335" s="1"/>
      <c r="F335" s="22"/>
      <c r="H335" s="24"/>
      <c r="I335" s="14"/>
      <c r="J335" s="15"/>
      <c r="K335" s="13"/>
      <c r="M335" s="3"/>
      <c r="N335" s="17"/>
      <c r="P335" s="7"/>
      <c r="Q335" s="18"/>
    </row>
    <row r="336" spans="5:17" ht="14" x14ac:dyDescent="0.2">
      <c r="E336" s="1"/>
      <c r="F336" s="22"/>
      <c r="H336" s="24"/>
      <c r="I336" s="14"/>
      <c r="J336" s="15"/>
      <c r="K336" s="13"/>
      <c r="M336" s="3"/>
      <c r="N336" s="17"/>
      <c r="P336" s="7"/>
      <c r="Q336" s="18"/>
    </row>
    <row r="337" spans="5:17" ht="14" x14ac:dyDescent="0.2">
      <c r="E337" s="1"/>
      <c r="F337" s="22"/>
      <c r="H337" s="24"/>
      <c r="I337" s="14"/>
      <c r="J337" s="15"/>
      <c r="K337" s="13"/>
      <c r="M337" s="3"/>
      <c r="N337" s="17"/>
      <c r="P337" s="7"/>
      <c r="Q337" s="18"/>
    </row>
    <row r="338" spans="5:17" ht="14" x14ac:dyDescent="0.2">
      <c r="E338" s="1"/>
      <c r="F338" s="22"/>
      <c r="H338" s="24"/>
      <c r="I338" s="14"/>
      <c r="J338" s="15"/>
      <c r="K338" s="13"/>
      <c r="M338" s="3"/>
      <c r="N338" s="17"/>
      <c r="P338" s="7"/>
      <c r="Q338" s="18"/>
    </row>
    <row r="339" spans="5:17" ht="14" x14ac:dyDescent="0.2">
      <c r="E339" s="1"/>
      <c r="F339" s="22"/>
      <c r="H339" s="24"/>
      <c r="I339" s="14"/>
      <c r="J339" s="15"/>
      <c r="K339" s="13"/>
      <c r="M339" s="3"/>
      <c r="N339" s="17"/>
      <c r="P339" s="7"/>
      <c r="Q339" s="18"/>
    </row>
    <row r="340" spans="5:17" ht="14" x14ac:dyDescent="0.2">
      <c r="E340" s="1"/>
      <c r="F340" s="22"/>
      <c r="H340" s="24"/>
      <c r="I340" s="14"/>
      <c r="J340" s="15"/>
      <c r="K340" s="13"/>
      <c r="M340" s="3"/>
      <c r="N340" s="17"/>
      <c r="P340" s="7"/>
      <c r="Q340" s="18"/>
    </row>
    <row r="341" spans="5:17" ht="14" x14ac:dyDescent="0.2">
      <c r="E341" s="1"/>
      <c r="F341" s="22"/>
      <c r="H341" s="24"/>
      <c r="I341" s="14"/>
      <c r="J341" s="15"/>
      <c r="K341" s="13"/>
      <c r="M341" s="3"/>
      <c r="N341" s="17"/>
      <c r="P341" s="7"/>
      <c r="Q341" s="18"/>
    </row>
    <row r="342" spans="5:17" ht="14" x14ac:dyDescent="0.2">
      <c r="E342" s="1"/>
      <c r="F342" s="22"/>
      <c r="H342" s="24"/>
      <c r="I342" s="14"/>
      <c r="J342" s="15"/>
      <c r="K342" s="13"/>
      <c r="M342" s="3"/>
      <c r="N342" s="17"/>
      <c r="P342" s="7"/>
      <c r="Q342" s="18"/>
    </row>
    <row r="343" spans="5:17" ht="14" x14ac:dyDescent="0.2">
      <c r="E343" s="1"/>
      <c r="F343" s="22"/>
      <c r="H343" s="24"/>
      <c r="I343" s="14"/>
      <c r="J343" s="15"/>
      <c r="K343" s="13"/>
      <c r="M343" s="3"/>
      <c r="N343" s="17"/>
      <c r="P343" s="7"/>
      <c r="Q343" s="18"/>
    </row>
    <row r="344" spans="5:17" ht="14" x14ac:dyDescent="0.2">
      <c r="E344" s="1"/>
      <c r="F344" s="22"/>
      <c r="H344" s="24"/>
      <c r="I344" s="14"/>
      <c r="J344" s="15"/>
      <c r="K344" s="13"/>
      <c r="M344" s="3"/>
      <c r="N344" s="17"/>
      <c r="P344" s="7"/>
      <c r="Q344" s="18"/>
    </row>
    <row r="345" spans="5:17" ht="14" x14ac:dyDescent="0.2">
      <c r="E345" s="1"/>
      <c r="F345" s="22"/>
      <c r="H345" s="24"/>
      <c r="I345" s="14"/>
      <c r="J345" s="15"/>
      <c r="K345" s="13"/>
      <c r="M345" s="3"/>
      <c r="N345" s="17"/>
      <c r="P345" s="7"/>
      <c r="Q345" s="18"/>
    </row>
    <row r="346" spans="5:17" ht="14" x14ac:dyDescent="0.2">
      <c r="E346" s="1"/>
      <c r="F346" s="22"/>
      <c r="H346" s="24"/>
      <c r="I346" s="14"/>
      <c r="J346" s="15"/>
      <c r="K346" s="13"/>
      <c r="M346" s="3"/>
      <c r="N346" s="17"/>
      <c r="P346" s="7"/>
      <c r="Q346" s="18"/>
    </row>
    <row r="347" spans="5:17" ht="14" x14ac:dyDescent="0.2">
      <c r="E347" s="1"/>
      <c r="F347" s="22"/>
      <c r="H347" s="24"/>
      <c r="I347" s="14"/>
      <c r="J347" s="15"/>
      <c r="K347" s="13"/>
      <c r="M347" s="3"/>
      <c r="N347" s="17"/>
      <c r="P347" s="7"/>
      <c r="Q347" s="18"/>
    </row>
    <row r="348" spans="5:17" ht="14" x14ac:dyDescent="0.2">
      <c r="E348" s="1"/>
      <c r="F348" s="22"/>
      <c r="H348" s="24"/>
      <c r="I348" s="14"/>
      <c r="J348" s="15"/>
      <c r="K348" s="13"/>
      <c r="M348" s="3"/>
      <c r="N348" s="17"/>
      <c r="P348" s="7"/>
      <c r="Q348" s="18"/>
    </row>
    <row r="349" spans="5:17" ht="14" x14ac:dyDescent="0.2">
      <c r="E349" s="1"/>
      <c r="F349" s="22"/>
      <c r="H349" s="24"/>
      <c r="I349" s="14"/>
      <c r="J349" s="15"/>
      <c r="K349" s="13"/>
      <c r="M349" s="3"/>
      <c r="N349" s="17"/>
      <c r="P349" s="7"/>
      <c r="Q349" s="18"/>
    </row>
    <row r="350" spans="5:17" ht="14" x14ac:dyDescent="0.2">
      <c r="E350" s="1"/>
      <c r="F350" s="22"/>
      <c r="H350" s="24"/>
      <c r="I350" s="14"/>
      <c r="J350" s="15"/>
      <c r="K350" s="13"/>
      <c r="M350" s="3"/>
      <c r="N350" s="17"/>
      <c r="P350" s="7"/>
      <c r="Q350" s="18"/>
    </row>
    <row r="351" spans="5:17" ht="14" x14ac:dyDescent="0.2">
      <c r="E351" s="1"/>
      <c r="F351" s="22"/>
      <c r="H351" s="24"/>
      <c r="I351" s="14"/>
      <c r="J351" s="15"/>
      <c r="K351" s="13"/>
      <c r="M351" s="3"/>
      <c r="N351" s="17"/>
      <c r="P351" s="7"/>
      <c r="Q351" s="18"/>
    </row>
    <row r="352" spans="5:17" ht="14" x14ac:dyDescent="0.2">
      <c r="E352" s="1"/>
      <c r="F352" s="22"/>
      <c r="H352" s="24"/>
      <c r="I352" s="14"/>
      <c r="J352" s="15"/>
      <c r="K352" s="13"/>
      <c r="M352" s="3"/>
      <c r="N352" s="17"/>
      <c r="P352" s="7"/>
      <c r="Q352" s="18"/>
    </row>
    <row r="353" spans="5:17" ht="14" x14ac:dyDescent="0.2">
      <c r="E353" s="1"/>
      <c r="F353" s="22"/>
      <c r="H353" s="24"/>
      <c r="I353" s="14"/>
      <c r="J353" s="15"/>
      <c r="K353" s="13"/>
      <c r="M353" s="3"/>
      <c r="N353" s="17"/>
      <c r="P353" s="7"/>
      <c r="Q353" s="18"/>
    </row>
    <row r="354" spans="5:17" ht="14" x14ac:dyDescent="0.2">
      <c r="E354" s="1"/>
      <c r="F354" s="22"/>
      <c r="H354" s="24"/>
      <c r="I354" s="14"/>
      <c r="J354" s="15"/>
      <c r="K354" s="13"/>
      <c r="M354" s="3"/>
      <c r="N354" s="17"/>
      <c r="P354" s="7"/>
      <c r="Q354" s="18"/>
    </row>
    <row r="355" spans="5:17" ht="14" x14ac:dyDescent="0.2">
      <c r="E355" s="1"/>
      <c r="F355" s="22"/>
      <c r="H355" s="24"/>
      <c r="I355" s="14"/>
      <c r="J355" s="15"/>
      <c r="K355" s="13"/>
      <c r="M355" s="3"/>
      <c r="N355" s="17"/>
      <c r="P355" s="7"/>
      <c r="Q355" s="18"/>
    </row>
    <row r="356" spans="5:17" ht="14" x14ac:dyDescent="0.2">
      <c r="E356" s="1"/>
      <c r="F356" s="22"/>
      <c r="H356" s="24"/>
      <c r="I356" s="14"/>
      <c r="J356" s="15"/>
      <c r="K356" s="13"/>
      <c r="M356" s="3"/>
      <c r="N356" s="17"/>
      <c r="P356" s="7"/>
      <c r="Q356" s="18"/>
    </row>
    <row r="357" spans="5:17" ht="14" x14ac:dyDescent="0.2">
      <c r="E357" s="1"/>
      <c r="F357" s="22"/>
      <c r="H357" s="24"/>
      <c r="I357" s="14"/>
      <c r="J357" s="15"/>
      <c r="K357" s="13"/>
      <c r="M357" s="3"/>
      <c r="N357" s="17"/>
      <c r="P357" s="7"/>
      <c r="Q357" s="18"/>
    </row>
    <row r="358" spans="5:17" ht="14" x14ac:dyDescent="0.2">
      <c r="E358" s="1"/>
      <c r="F358" s="22"/>
      <c r="H358" s="24"/>
      <c r="I358" s="14"/>
      <c r="J358" s="15"/>
      <c r="K358" s="13"/>
      <c r="M358" s="3"/>
      <c r="N358" s="17"/>
      <c r="P358" s="7"/>
      <c r="Q358" s="18"/>
    </row>
    <row r="359" spans="5:17" ht="14" x14ac:dyDescent="0.2">
      <c r="E359" s="1"/>
      <c r="F359" s="22"/>
      <c r="H359" s="24"/>
      <c r="I359" s="14"/>
      <c r="J359" s="15"/>
      <c r="K359" s="13"/>
      <c r="M359" s="3"/>
      <c r="N359" s="17"/>
      <c r="P359" s="7"/>
      <c r="Q359" s="18"/>
    </row>
    <row r="360" spans="5:17" ht="14" x14ac:dyDescent="0.2">
      <c r="E360" s="1"/>
      <c r="F360" s="22"/>
      <c r="H360" s="24"/>
      <c r="I360" s="14"/>
      <c r="J360" s="15"/>
      <c r="K360" s="13"/>
      <c r="M360" s="3"/>
      <c r="N360" s="17"/>
      <c r="P360" s="7"/>
      <c r="Q360" s="18"/>
    </row>
    <row r="361" spans="5:17" ht="14" x14ac:dyDescent="0.2">
      <c r="E361" s="1"/>
      <c r="F361" s="22"/>
      <c r="H361" s="24"/>
      <c r="I361" s="14"/>
      <c r="J361" s="15"/>
      <c r="K361" s="13"/>
      <c r="M361" s="3"/>
      <c r="N361" s="17"/>
      <c r="P361" s="7"/>
      <c r="Q361" s="18"/>
    </row>
    <row r="362" spans="5:17" ht="14" x14ac:dyDescent="0.2">
      <c r="E362" s="1"/>
      <c r="F362" s="22"/>
      <c r="H362" s="24"/>
      <c r="I362" s="14"/>
      <c r="J362" s="15"/>
      <c r="K362" s="13"/>
      <c r="M362" s="3"/>
      <c r="N362" s="17"/>
      <c r="P362" s="7"/>
      <c r="Q362" s="18"/>
    </row>
    <row r="363" spans="5:17" ht="14" x14ac:dyDescent="0.2">
      <c r="E363" s="1"/>
      <c r="F363" s="22"/>
      <c r="H363" s="24"/>
      <c r="I363" s="14"/>
      <c r="J363" s="15"/>
      <c r="K363" s="13"/>
      <c r="M363" s="3"/>
      <c r="N363" s="17"/>
      <c r="P363" s="7"/>
      <c r="Q363" s="18"/>
    </row>
    <row r="364" spans="5:17" ht="14" x14ac:dyDescent="0.2">
      <c r="E364" s="1"/>
      <c r="F364" s="22"/>
      <c r="H364" s="24"/>
      <c r="I364" s="14"/>
      <c r="J364" s="15"/>
      <c r="K364" s="13"/>
      <c r="M364" s="3"/>
      <c r="N364" s="17"/>
      <c r="P364" s="7"/>
      <c r="Q364" s="18"/>
    </row>
    <row r="365" spans="5:17" ht="14" x14ac:dyDescent="0.2">
      <c r="E365" s="1"/>
      <c r="F365" s="22"/>
      <c r="H365" s="24"/>
      <c r="I365" s="14"/>
      <c r="J365" s="15"/>
      <c r="K365" s="13"/>
      <c r="M365" s="3"/>
      <c r="N365" s="17"/>
      <c r="P365" s="7"/>
      <c r="Q365" s="18"/>
    </row>
    <row r="366" spans="5:17" ht="14" x14ac:dyDescent="0.2">
      <c r="E366" s="1"/>
      <c r="F366" s="22"/>
      <c r="H366" s="24"/>
      <c r="I366" s="14"/>
      <c r="J366" s="15"/>
      <c r="K366" s="13"/>
      <c r="M366" s="3"/>
      <c r="N366" s="17"/>
      <c r="P366" s="7"/>
      <c r="Q366" s="18"/>
    </row>
    <row r="367" spans="5:17" ht="14" x14ac:dyDescent="0.2">
      <c r="E367" s="1"/>
      <c r="F367" s="22"/>
      <c r="H367" s="24"/>
      <c r="I367" s="14"/>
      <c r="J367" s="15"/>
      <c r="K367" s="13"/>
      <c r="M367" s="3"/>
      <c r="N367" s="17"/>
      <c r="P367" s="7"/>
      <c r="Q367" s="18"/>
    </row>
    <row r="368" spans="5:17" ht="14" x14ac:dyDescent="0.2">
      <c r="E368" s="1"/>
      <c r="F368" s="22"/>
      <c r="H368" s="24"/>
      <c r="I368" s="14"/>
      <c r="J368" s="15"/>
      <c r="K368" s="13"/>
      <c r="M368" s="3"/>
      <c r="N368" s="17"/>
      <c r="P368" s="7"/>
      <c r="Q368" s="18"/>
    </row>
    <row r="369" spans="5:17" ht="14" x14ac:dyDescent="0.2">
      <c r="E369" s="1"/>
      <c r="F369" s="22"/>
      <c r="H369" s="24"/>
      <c r="I369" s="14"/>
      <c r="J369" s="15"/>
      <c r="K369" s="13"/>
      <c r="M369" s="3"/>
      <c r="N369" s="17"/>
      <c r="P369" s="7"/>
      <c r="Q369" s="18"/>
    </row>
    <row r="370" spans="5:17" ht="14" x14ac:dyDescent="0.2">
      <c r="E370" s="1"/>
      <c r="F370" s="22"/>
      <c r="H370" s="24"/>
      <c r="I370" s="14"/>
      <c r="J370" s="15"/>
      <c r="K370" s="13"/>
      <c r="M370" s="3"/>
      <c r="N370" s="17"/>
      <c r="P370" s="7"/>
      <c r="Q370" s="18"/>
    </row>
    <row r="371" spans="5:17" ht="14" x14ac:dyDescent="0.2">
      <c r="E371" s="1"/>
      <c r="F371" s="22"/>
      <c r="H371" s="24"/>
      <c r="I371" s="14"/>
      <c r="J371" s="15"/>
      <c r="K371" s="13"/>
      <c r="M371" s="3"/>
      <c r="N371" s="17"/>
      <c r="P371" s="7"/>
      <c r="Q371" s="18"/>
    </row>
    <row r="372" spans="5:17" ht="14" x14ac:dyDescent="0.2">
      <c r="E372" s="1"/>
      <c r="F372" s="22"/>
      <c r="H372" s="24"/>
      <c r="I372" s="14"/>
      <c r="J372" s="15"/>
      <c r="K372" s="13"/>
      <c r="M372" s="3"/>
      <c r="N372" s="17"/>
      <c r="P372" s="7"/>
      <c r="Q372" s="18"/>
    </row>
    <row r="373" spans="5:17" ht="14" x14ac:dyDescent="0.2">
      <c r="E373" s="1"/>
      <c r="F373" s="22"/>
      <c r="H373" s="24"/>
      <c r="I373" s="14"/>
      <c r="J373" s="15"/>
      <c r="K373" s="13"/>
      <c r="M373" s="3"/>
      <c r="N373" s="17"/>
      <c r="P373" s="7"/>
      <c r="Q373" s="18"/>
    </row>
    <row r="374" spans="5:17" ht="14" x14ac:dyDescent="0.2">
      <c r="E374" s="1"/>
      <c r="F374" s="22"/>
      <c r="H374" s="24"/>
      <c r="I374" s="14"/>
      <c r="J374" s="15"/>
      <c r="K374" s="13"/>
      <c r="M374" s="3"/>
      <c r="N374" s="17"/>
      <c r="P374" s="7"/>
      <c r="Q374" s="18"/>
    </row>
    <row r="375" spans="5:17" ht="14" x14ac:dyDescent="0.2">
      <c r="E375" s="1"/>
      <c r="F375" s="22"/>
      <c r="H375" s="24"/>
      <c r="I375" s="14"/>
      <c r="J375" s="15"/>
      <c r="K375" s="13"/>
      <c r="M375" s="3"/>
      <c r="N375" s="17"/>
      <c r="P375" s="7"/>
      <c r="Q375" s="18"/>
    </row>
    <row r="376" spans="5:17" ht="14" x14ac:dyDescent="0.2">
      <c r="E376" s="1"/>
      <c r="F376" s="22"/>
      <c r="H376" s="24"/>
      <c r="I376" s="14"/>
      <c r="J376" s="15"/>
      <c r="K376" s="13"/>
      <c r="M376" s="3"/>
      <c r="N376" s="17"/>
      <c r="P376" s="7"/>
      <c r="Q376" s="18"/>
    </row>
    <row r="377" spans="5:17" ht="14" x14ac:dyDescent="0.2">
      <c r="E377" s="1"/>
      <c r="F377" s="22"/>
      <c r="H377" s="24"/>
      <c r="I377" s="14"/>
      <c r="J377" s="15"/>
      <c r="K377" s="13"/>
      <c r="M377" s="3"/>
      <c r="N377" s="17"/>
      <c r="P377" s="7"/>
      <c r="Q377" s="18"/>
    </row>
    <row r="378" spans="5:17" ht="14" x14ac:dyDescent="0.2">
      <c r="E378" s="1"/>
      <c r="F378" s="22"/>
      <c r="H378" s="24"/>
      <c r="I378" s="14"/>
      <c r="J378" s="15"/>
      <c r="K378" s="13"/>
      <c r="M378" s="3"/>
      <c r="N378" s="17"/>
      <c r="P378" s="7"/>
      <c r="Q378" s="18"/>
    </row>
    <row r="379" spans="5:17" ht="14" x14ac:dyDescent="0.2">
      <c r="E379" s="1"/>
      <c r="F379" s="22"/>
      <c r="H379" s="24"/>
      <c r="I379" s="14"/>
      <c r="J379" s="15"/>
      <c r="K379" s="13"/>
      <c r="M379" s="3"/>
      <c r="N379" s="17"/>
      <c r="P379" s="7"/>
      <c r="Q379" s="18"/>
    </row>
    <row r="380" spans="5:17" ht="14" x14ac:dyDescent="0.2">
      <c r="E380" s="1"/>
      <c r="F380" s="22"/>
      <c r="H380" s="24"/>
      <c r="I380" s="14"/>
      <c r="J380" s="15"/>
      <c r="K380" s="13"/>
      <c r="M380" s="3"/>
      <c r="N380" s="17"/>
      <c r="P380" s="7"/>
      <c r="Q380" s="18"/>
    </row>
    <row r="381" spans="5:17" ht="14" x14ac:dyDescent="0.2">
      <c r="E381" s="1"/>
      <c r="F381" s="22"/>
      <c r="H381" s="24"/>
      <c r="I381" s="14"/>
      <c r="J381" s="15"/>
      <c r="K381" s="13"/>
      <c r="M381" s="3"/>
      <c r="N381" s="17"/>
      <c r="P381" s="7"/>
      <c r="Q381" s="18"/>
    </row>
    <row r="382" spans="5:17" ht="14" x14ac:dyDescent="0.2">
      <c r="E382" s="1"/>
      <c r="F382" s="22"/>
      <c r="H382" s="24"/>
      <c r="I382" s="14"/>
      <c r="J382" s="15"/>
      <c r="K382" s="13"/>
      <c r="M382" s="3"/>
      <c r="N382" s="17"/>
      <c r="P382" s="7"/>
      <c r="Q382" s="18"/>
    </row>
    <row r="383" spans="5:17" ht="14" x14ac:dyDescent="0.2">
      <c r="E383" s="1"/>
      <c r="F383" s="22"/>
      <c r="H383" s="24"/>
      <c r="I383" s="14"/>
      <c r="J383" s="15"/>
      <c r="K383" s="13"/>
      <c r="M383" s="3"/>
      <c r="N383" s="17"/>
      <c r="P383" s="7"/>
      <c r="Q383" s="18"/>
    </row>
    <row r="384" spans="5:17" ht="14" x14ac:dyDescent="0.2">
      <c r="E384" s="1"/>
      <c r="F384" s="22"/>
      <c r="H384" s="24"/>
      <c r="I384" s="14"/>
      <c r="J384" s="15"/>
      <c r="K384" s="13"/>
      <c r="M384" s="3"/>
      <c r="N384" s="17"/>
      <c r="P384" s="7"/>
      <c r="Q384" s="18"/>
    </row>
    <row r="385" spans="5:17" ht="14" x14ac:dyDescent="0.2">
      <c r="E385" s="1"/>
      <c r="F385" s="22"/>
      <c r="H385" s="24"/>
      <c r="I385" s="14"/>
      <c r="J385" s="15"/>
      <c r="K385" s="13"/>
      <c r="M385" s="3"/>
      <c r="N385" s="17"/>
      <c r="P385" s="7"/>
      <c r="Q385" s="18"/>
    </row>
    <row r="386" spans="5:17" ht="14" x14ac:dyDescent="0.2">
      <c r="E386" s="1"/>
      <c r="F386" s="22"/>
      <c r="H386" s="24"/>
      <c r="I386" s="14"/>
      <c r="J386" s="15"/>
      <c r="K386" s="13"/>
      <c r="M386" s="3"/>
      <c r="N386" s="17"/>
      <c r="P386" s="7"/>
      <c r="Q386" s="18"/>
    </row>
    <row r="387" spans="5:17" ht="14" x14ac:dyDescent="0.2">
      <c r="E387" s="1"/>
      <c r="F387" s="22"/>
      <c r="H387" s="24"/>
      <c r="I387" s="14"/>
      <c r="J387" s="15"/>
      <c r="K387" s="13"/>
      <c r="M387" s="3"/>
      <c r="N387" s="17"/>
      <c r="P387" s="7"/>
      <c r="Q387" s="18"/>
    </row>
    <row r="388" spans="5:17" ht="14" x14ac:dyDescent="0.2">
      <c r="E388" s="1"/>
      <c r="F388" s="22"/>
      <c r="H388" s="24"/>
      <c r="I388" s="14"/>
      <c r="J388" s="15"/>
      <c r="K388" s="13"/>
      <c r="M388" s="3"/>
      <c r="N388" s="17"/>
      <c r="P388" s="7"/>
      <c r="Q388" s="18"/>
    </row>
    <row r="389" spans="5:17" ht="14" x14ac:dyDescent="0.2">
      <c r="E389" s="1"/>
      <c r="F389" s="22"/>
      <c r="H389" s="24"/>
      <c r="I389" s="14"/>
      <c r="J389" s="15"/>
      <c r="K389" s="13"/>
      <c r="M389" s="3"/>
      <c r="N389" s="17"/>
      <c r="P389" s="7"/>
      <c r="Q389" s="18"/>
    </row>
    <row r="390" spans="5:17" ht="14" x14ac:dyDescent="0.2">
      <c r="E390" s="1"/>
      <c r="F390" s="22"/>
      <c r="H390" s="24"/>
      <c r="I390" s="14"/>
      <c r="J390" s="15"/>
      <c r="K390" s="13"/>
      <c r="M390" s="3"/>
      <c r="N390" s="17"/>
      <c r="P390" s="7"/>
      <c r="Q390" s="18"/>
    </row>
    <row r="391" spans="5:17" ht="14" x14ac:dyDescent="0.2">
      <c r="E391" s="1"/>
      <c r="F391" s="22"/>
      <c r="H391" s="24"/>
      <c r="I391" s="14"/>
      <c r="J391" s="15"/>
      <c r="K391" s="13"/>
      <c r="M391" s="3"/>
      <c r="N391" s="17"/>
      <c r="P391" s="7"/>
      <c r="Q391" s="18"/>
    </row>
    <row r="392" spans="5:17" ht="14" x14ac:dyDescent="0.2">
      <c r="E392" s="1"/>
      <c r="F392" s="22"/>
      <c r="H392" s="24"/>
      <c r="I392" s="14"/>
      <c r="J392" s="15"/>
      <c r="K392" s="13"/>
      <c r="M392" s="3"/>
      <c r="N392" s="17"/>
      <c r="P392" s="7"/>
      <c r="Q392" s="18"/>
    </row>
    <row r="393" spans="5:17" ht="14" x14ac:dyDescent="0.2">
      <c r="E393" s="1"/>
      <c r="F393" s="22"/>
      <c r="H393" s="24"/>
      <c r="I393" s="14"/>
      <c r="J393" s="15"/>
      <c r="K393" s="13"/>
      <c r="M393" s="3"/>
      <c r="N393" s="17"/>
      <c r="P393" s="7"/>
      <c r="Q393" s="18"/>
    </row>
    <row r="394" spans="5:17" ht="14" x14ac:dyDescent="0.2">
      <c r="E394" s="1"/>
      <c r="F394" s="22"/>
      <c r="H394" s="24"/>
      <c r="I394" s="14"/>
      <c r="J394" s="15"/>
      <c r="K394" s="13"/>
      <c r="M394" s="3"/>
      <c r="N394" s="17"/>
      <c r="P394" s="7"/>
      <c r="Q394" s="18"/>
    </row>
    <row r="395" spans="5:17" ht="14" x14ac:dyDescent="0.2">
      <c r="E395" s="1"/>
      <c r="F395" s="22"/>
      <c r="H395" s="24"/>
      <c r="I395" s="14"/>
      <c r="J395" s="15"/>
      <c r="K395" s="13"/>
      <c r="M395" s="3"/>
      <c r="N395" s="17"/>
      <c r="P395" s="7"/>
      <c r="Q395" s="18"/>
    </row>
    <row r="396" spans="5:17" ht="14" x14ac:dyDescent="0.2">
      <c r="E396" s="1"/>
      <c r="F396" s="22"/>
      <c r="H396" s="24"/>
      <c r="I396" s="14"/>
      <c r="J396" s="15"/>
      <c r="K396" s="13"/>
      <c r="M396" s="3"/>
      <c r="N396" s="17"/>
      <c r="P396" s="7"/>
      <c r="Q396" s="18"/>
    </row>
    <row r="397" spans="5:17" ht="14" x14ac:dyDescent="0.2">
      <c r="E397" s="1"/>
      <c r="F397" s="22"/>
      <c r="H397" s="24"/>
      <c r="I397" s="14"/>
      <c r="J397" s="15"/>
      <c r="K397" s="13"/>
      <c r="M397" s="3"/>
      <c r="N397" s="17"/>
      <c r="P397" s="7"/>
      <c r="Q397" s="18"/>
    </row>
    <row r="398" spans="5:17" ht="14" x14ac:dyDescent="0.2">
      <c r="E398" s="1"/>
      <c r="F398" s="22"/>
      <c r="H398" s="24"/>
      <c r="I398" s="14"/>
      <c r="J398" s="15"/>
      <c r="K398" s="13"/>
      <c r="M398" s="3"/>
      <c r="N398" s="17"/>
      <c r="P398" s="7"/>
      <c r="Q398" s="18"/>
    </row>
    <row r="399" spans="5:17" ht="14" x14ac:dyDescent="0.2">
      <c r="E399" s="1"/>
      <c r="F399" s="22"/>
      <c r="H399" s="24"/>
      <c r="I399" s="14"/>
      <c r="J399" s="15"/>
      <c r="K399" s="13"/>
      <c r="M399" s="3"/>
      <c r="N399" s="17"/>
      <c r="P399" s="7"/>
      <c r="Q399" s="18"/>
    </row>
    <row r="400" spans="5:17" ht="14" x14ac:dyDescent="0.2">
      <c r="E400" s="1"/>
      <c r="F400" s="22"/>
      <c r="H400" s="24"/>
      <c r="I400" s="14"/>
      <c r="J400" s="15"/>
      <c r="K400" s="13"/>
      <c r="M400" s="3"/>
      <c r="N400" s="17"/>
      <c r="P400" s="7"/>
      <c r="Q400" s="18"/>
    </row>
    <row r="401" spans="5:17" ht="14" x14ac:dyDescent="0.2">
      <c r="E401" s="1"/>
      <c r="F401" s="22"/>
      <c r="H401" s="24"/>
      <c r="I401" s="14"/>
      <c r="J401" s="15"/>
      <c r="K401" s="13"/>
      <c r="M401" s="3"/>
      <c r="N401" s="17"/>
      <c r="P401" s="7"/>
      <c r="Q401" s="18"/>
    </row>
    <row r="402" spans="5:17" ht="14" x14ac:dyDescent="0.2">
      <c r="E402" s="1"/>
      <c r="F402" s="22"/>
      <c r="H402" s="24"/>
      <c r="I402" s="14"/>
      <c r="J402" s="15"/>
      <c r="K402" s="13"/>
      <c r="M402" s="3"/>
      <c r="N402" s="17"/>
      <c r="P402" s="7"/>
      <c r="Q402" s="18"/>
    </row>
    <row r="403" spans="5:17" ht="14" x14ac:dyDescent="0.2">
      <c r="E403" s="1"/>
      <c r="F403" s="22"/>
      <c r="H403" s="24"/>
      <c r="I403" s="14"/>
      <c r="J403" s="15"/>
      <c r="K403" s="13"/>
      <c r="M403" s="3"/>
      <c r="N403" s="17"/>
      <c r="P403" s="7"/>
      <c r="Q403" s="18"/>
    </row>
    <row r="404" spans="5:17" ht="14" x14ac:dyDescent="0.2">
      <c r="E404" s="1"/>
      <c r="F404" s="22"/>
      <c r="H404" s="24"/>
      <c r="I404" s="14"/>
      <c r="J404" s="15"/>
      <c r="K404" s="13"/>
      <c r="M404" s="3"/>
      <c r="N404" s="17"/>
      <c r="P404" s="7"/>
      <c r="Q404" s="18"/>
    </row>
    <row r="405" spans="5:17" ht="14" x14ac:dyDescent="0.2">
      <c r="E405" s="1"/>
      <c r="F405" s="22"/>
      <c r="H405" s="24"/>
      <c r="I405" s="14"/>
      <c r="J405" s="15"/>
      <c r="K405" s="13"/>
      <c r="M405" s="3"/>
      <c r="N405" s="17"/>
      <c r="P405" s="7"/>
      <c r="Q405" s="18"/>
    </row>
    <row r="406" spans="5:17" ht="14" x14ac:dyDescent="0.2">
      <c r="E406" s="1"/>
      <c r="F406" s="22"/>
      <c r="H406" s="24"/>
      <c r="I406" s="14"/>
      <c r="J406" s="15"/>
      <c r="K406" s="13"/>
      <c r="M406" s="3"/>
      <c r="N406" s="17"/>
      <c r="P406" s="7"/>
      <c r="Q406" s="18"/>
    </row>
    <row r="407" spans="5:17" ht="14" x14ac:dyDescent="0.2">
      <c r="E407" s="1"/>
      <c r="F407" s="22"/>
      <c r="H407" s="24"/>
      <c r="I407" s="14"/>
      <c r="J407" s="15"/>
      <c r="K407" s="13"/>
      <c r="M407" s="3"/>
      <c r="N407" s="17"/>
      <c r="P407" s="7"/>
      <c r="Q407" s="18"/>
    </row>
    <row r="408" spans="5:17" ht="14" x14ac:dyDescent="0.2">
      <c r="E408" s="1"/>
      <c r="F408" s="22"/>
      <c r="H408" s="24"/>
      <c r="I408" s="14"/>
      <c r="J408" s="15"/>
      <c r="K408" s="13"/>
      <c r="M408" s="3"/>
      <c r="N408" s="17"/>
      <c r="P408" s="7"/>
      <c r="Q408" s="18"/>
    </row>
    <row r="409" spans="5:17" ht="14" x14ac:dyDescent="0.2">
      <c r="E409" s="1"/>
      <c r="F409" s="22"/>
      <c r="H409" s="24"/>
      <c r="I409" s="14"/>
      <c r="J409" s="15"/>
      <c r="K409" s="13"/>
      <c r="M409" s="3"/>
      <c r="N409" s="17"/>
      <c r="P409" s="7"/>
      <c r="Q409" s="18"/>
    </row>
    <row r="410" spans="5:17" ht="14" x14ac:dyDescent="0.2">
      <c r="E410" s="1"/>
      <c r="F410" s="22"/>
      <c r="H410" s="24"/>
      <c r="I410" s="14"/>
      <c r="J410" s="15"/>
      <c r="K410" s="13"/>
      <c r="M410" s="3"/>
      <c r="N410" s="17"/>
      <c r="P410" s="7"/>
      <c r="Q410" s="18"/>
    </row>
    <row r="411" spans="5:17" ht="14" x14ac:dyDescent="0.2">
      <c r="E411" s="1"/>
      <c r="F411" s="22"/>
      <c r="H411" s="24"/>
      <c r="I411" s="14"/>
      <c r="J411" s="15"/>
      <c r="K411" s="13"/>
      <c r="M411" s="3"/>
      <c r="N411" s="17"/>
      <c r="P411" s="7"/>
      <c r="Q411" s="18"/>
    </row>
    <row r="412" spans="5:17" ht="14" x14ac:dyDescent="0.2">
      <c r="E412" s="1"/>
      <c r="F412" s="22"/>
      <c r="H412" s="24"/>
      <c r="I412" s="14"/>
      <c r="J412" s="15"/>
      <c r="K412" s="13"/>
      <c r="M412" s="3"/>
      <c r="N412" s="17"/>
      <c r="P412" s="7"/>
      <c r="Q412" s="18"/>
    </row>
    <row r="413" spans="5:17" ht="14" x14ac:dyDescent="0.2">
      <c r="E413" s="1"/>
      <c r="F413" s="22"/>
      <c r="H413" s="24"/>
      <c r="I413" s="14"/>
      <c r="J413" s="15"/>
      <c r="K413" s="13"/>
      <c r="M413" s="3"/>
      <c r="N413" s="17"/>
      <c r="P413" s="7"/>
      <c r="Q413" s="18"/>
    </row>
    <row r="414" spans="5:17" ht="14" x14ac:dyDescent="0.2">
      <c r="E414" s="1"/>
      <c r="F414" s="22"/>
      <c r="H414" s="24"/>
      <c r="I414" s="14"/>
      <c r="J414" s="15"/>
      <c r="K414" s="13"/>
      <c r="M414" s="3"/>
      <c r="N414" s="17"/>
      <c r="P414" s="7"/>
      <c r="Q414" s="18"/>
    </row>
    <row r="415" spans="5:17" ht="14" x14ac:dyDescent="0.2">
      <c r="E415" s="1"/>
      <c r="F415" s="22"/>
      <c r="H415" s="24"/>
      <c r="I415" s="14"/>
      <c r="J415" s="15"/>
      <c r="K415" s="13"/>
      <c r="M415" s="3"/>
      <c r="N415" s="17"/>
      <c r="P415" s="7"/>
      <c r="Q415" s="18"/>
    </row>
    <row r="416" spans="5:17" ht="14" x14ac:dyDescent="0.2">
      <c r="E416" s="1"/>
      <c r="F416" s="22"/>
      <c r="H416" s="24"/>
      <c r="I416" s="14"/>
      <c r="J416" s="15"/>
      <c r="K416" s="13"/>
      <c r="M416" s="3"/>
      <c r="N416" s="17"/>
      <c r="P416" s="7"/>
      <c r="Q416" s="18"/>
    </row>
    <row r="417" spans="5:17" ht="14" x14ac:dyDescent="0.2">
      <c r="E417" s="1"/>
      <c r="F417" s="22"/>
      <c r="H417" s="24"/>
      <c r="I417" s="14"/>
      <c r="J417" s="15"/>
      <c r="K417" s="13"/>
      <c r="M417" s="3"/>
      <c r="N417" s="17"/>
      <c r="P417" s="7"/>
      <c r="Q417" s="18"/>
    </row>
    <row r="418" spans="5:17" ht="14" x14ac:dyDescent="0.2">
      <c r="E418" s="1"/>
      <c r="F418" s="22"/>
      <c r="H418" s="24"/>
      <c r="I418" s="14"/>
      <c r="J418" s="15"/>
      <c r="K418" s="13"/>
      <c r="M418" s="3"/>
      <c r="N418" s="17"/>
      <c r="P418" s="7"/>
      <c r="Q418" s="18"/>
    </row>
    <row r="419" spans="5:17" ht="14" x14ac:dyDescent="0.2">
      <c r="E419" s="1"/>
      <c r="F419" s="22"/>
      <c r="H419" s="24"/>
      <c r="I419" s="14"/>
      <c r="J419" s="15"/>
      <c r="K419" s="13"/>
      <c r="M419" s="3"/>
      <c r="N419" s="17"/>
      <c r="P419" s="7"/>
      <c r="Q419" s="18"/>
    </row>
    <row r="420" spans="5:17" ht="14" x14ac:dyDescent="0.2">
      <c r="E420" s="1"/>
      <c r="F420" s="22"/>
      <c r="H420" s="24"/>
      <c r="I420" s="14"/>
      <c r="J420" s="15"/>
      <c r="K420" s="13"/>
      <c r="M420" s="3"/>
      <c r="N420" s="17"/>
      <c r="P420" s="7"/>
      <c r="Q420" s="18"/>
    </row>
    <row r="421" spans="5:17" ht="14" x14ac:dyDescent="0.2">
      <c r="E421" s="1"/>
      <c r="F421" s="22"/>
      <c r="H421" s="24"/>
      <c r="I421" s="14"/>
      <c r="J421" s="15"/>
      <c r="K421" s="13"/>
      <c r="M421" s="3"/>
      <c r="N421" s="17"/>
      <c r="P421" s="7"/>
      <c r="Q421" s="18"/>
    </row>
    <row r="422" spans="5:17" ht="14" x14ac:dyDescent="0.2">
      <c r="E422" s="1"/>
      <c r="F422" s="22"/>
      <c r="H422" s="24"/>
      <c r="I422" s="14"/>
      <c r="J422" s="15"/>
      <c r="K422" s="13"/>
      <c r="M422" s="3"/>
      <c r="N422" s="17"/>
      <c r="P422" s="7"/>
      <c r="Q422" s="18"/>
    </row>
    <row r="423" spans="5:17" ht="14" x14ac:dyDescent="0.2">
      <c r="E423" s="1"/>
      <c r="F423" s="22"/>
      <c r="H423" s="24"/>
      <c r="I423" s="14"/>
      <c r="J423" s="15"/>
      <c r="K423" s="13"/>
      <c r="M423" s="3"/>
      <c r="N423" s="17"/>
      <c r="P423" s="7"/>
      <c r="Q423" s="18"/>
    </row>
    <row r="424" spans="5:17" ht="14" x14ac:dyDescent="0.2">
      <c r="E424" s="1"/>
      <c r="F424" s="22"/>
      <c r="H424" s="24"/>
      <c r="I424" s="14"/>
      <c r="J424" s="15"/>
      <c r="K424" s="13"/>
      <c r="M424" s="3"/>
      <c r="N424" s="17"/>
      <c r="P424" s="7"/>
      <c r="Q424" s="18"/>
    </row>
    <row r="425" spans="5:17" ht="14" x14ac:dyDescent="0.2">
      <c r="E425" s="1"/>
      <c r="F425" s="22"/>
      <c r="H425" s="24"/>
      <c r="I425" s="14"/>
      <c r="J425" s="15"/>
      <c r="K425" s="13"/>
      <c r="M425" s="3"/>
      <c r="N425" s="17"/>
      <c r="P425" s="7"/>
      <c r="Q425" s="18"/>
    </row>
    <row r="426" spans="5:17" ht="14" x14ac:dyDescent="0.2">
      <c r="E426" s="1"/>
      <c r="F426" s="22"/>
      <c r="H426" s="24"/>
      <c r="I426" s="14"/>
      <c r="J426" s="15"/>
      <c r="K426" s="13"/>
      <c r="M426" s="3"/>
      <c r="N426" s="17"/>
      <c r="P426" s="7"/>
      <c r="Q426" s="18"/>
    </row>
    <row r="427" spans="5:17" ht="14" x14ac:dyDescent="0.2">
      <c r="E427" s="1"/>
      <c r="F427" s="22"/>
      <c r="H427" s="24"/>
      <c r="I427" s="14"/>
      <c r="J427" s="15"/>
      <c r="K427" s="13"/>
      <c r="M427" s="3"/>
      <c r="N427" s="17"/>
      <c r="P427" s="7"/>
      <c r="Q427" s="18"/>
    </row>
    <row r="428" spans="5:17" ht="14" x14ac:dyDescent="0.2">
      <c r="E428" s="1"/>
      <c r="F428" s="22"/>
      <c r="H428" s="24"/>
      <c r="I428" s="14"/>
      <c r="J428" s="15"/>
      <c r="K428" s="13"/>
      <c r="M428" s="3"/>
      <c r="N428" s="17"/>
      <c r="P428" s="7"/>
      <c r="Q428" s="18"/>
    </row>
    <row r="429" spans="5:17" ht="14" x14ac:dyDescent="0.2">
      <c r="E429" s="1"/>
      <c r="F429" s="22"/>
      <c r="H429" s="24"/>
      <c r="I429" s="14"/>
      <c r="J429" s="15"/>
      <c r="K429" s="13"/>
      <c r="M429" s="3"/>
      <c r="N429" s="17"/>
      <c r="P429" s="7"/>
      <c r="Q429" s="18"/>
    </row>
    <row r="430" spans="5:17" ht="14" x14ac:dyDescent="0.2">
      <c r="E430" s="1"/>
      <c r="F430" s="22"/>
      <c r="H430" s="24"/>
      <c r="I430" s="14"/>
      <c r="J430" s="15"/>
      <c r="K430" s="13"/>
      <c r="M430" s="3"/>
      <c r="N430" s="17"/>
      <c r="P430" s="7"/>
      <c r="Q430" s="18"/>
    </row>
    <row r="431" spans="5:17" ht="14" x14ac:dyDescent="0.2">
      <c r="E431" s="1"/>
      <c r="F431" s="22"/>
      <c r="H431" s="24"/>
      <c r="I431" s="14"/>
      <c r="J431" s="15"/>
      <c r="K431" s="13"/>
      <c r="M431" s="3"/>
      <c r="N431" s="17"/>
      <c r="P431" s="7"/>
      <c r="Q431" s="18"/>
    </row>
    <row r="432" spans="5:17" ht="14" x14ac:dyDescent="0.2">
      <c r="E432" s="1"/>
      <c r="F432" s="22"/>
      <c r="H432" s="24"/>
      <c r="I432" s="14"/>
      <c r="J432" s="15"/>
      <c r="K432" s="13"/>
      <c r="M432" s="3"/>
      <c r="N432" s="17"/>
      <c r="P432" s="7"/>
      <c r="Q432" s="18"/>
    </row>
    <row r="433" spans="5:17" ht="14" x14ac:dyDescent="0.2">
      <c r="E433" s="1"/>
      <c r="F433" s="22"/>
      <c r="H433" s="24"/>
      <c r="I433" s="14"/>
      <c r="J433" s="15"/>
      <c r="K433" s="13"/>
      <c r="M433" s="3"/>
      <c r="N433" s="17"/>
      <c r="P433" s="7"/>
      <c r="Q433" s="18"/>
    </row>
    <row r="434" spans="5:17" ht="14" x14ac:dyDescent="0.2">
      <c r="E434" s="1"/>
      <c r="F434" s="22"/>
      <c r="H434" s="24"/>
      <c r="I434" s="14"/>
      <c r="J434" s="15"/>
      <c r="K434" s="13"/>
      <c r="M434" s="3"/>
      <c r="N434" s="17"/>
      <c r="P434" s="7"/>
      <c r="Q434" s="18"/>
    </row>
    <row r="435" spans="5:17" ht="14" x14ac:dyDescent="0.2">
      <c r="E435" s="1"/>
      <c r="F435" s="22"/>
      <c r="H435" s="24"/>
      <c r="I435" s="14"/>
      <c r="J435" s="15"/>
      <c r="K435" s="13"/>
      <c r="M435" s="3"/>
      <c r="N435" s="17"/>
      <c r="P435" s="7"/>
      <c r="Q435" s="18"/>
    </row>
    <row r="436" spans="5:17" ht="14" x14ac:dyDescent="0.2">
      <c r="E436" s="1"/>
      <c r="F436" s="22"/>
      <c r="H436" s="24"/>
      <c r="I436" s="14"/>
      <c r="J436" s="15"/>
      <c r="K436" s="13"/>
      <c r="M436" s="3"/>
      <c r="N436" s="17"/>
      <c r="P436" s="7"/>
      <c r="Q436" s="18"/>
    </row>
    <row r="437" spans="5:17" ht="14" x14ac:dyDescent="0.2">
      <c r="E437" s="1"/>
      <c r="F437" s="22"/>
      <c r="H437" s="24"/>
      <c r="I437" s="14"/>
      <c r="J437" s="15"/>
      <c r="K437" s="13"/>
      <c r="M437" s="3"/>
      <c r="N437" s="17"/>
      <c r="P437" s="7"/>
      <c r="Q437" s="18"/>
    </row>
    <row r="438" spans="5:17" ht="14" x14ac:dyDescent="0.2">
      <c r="E438" s="1"/>
      <c r="F438" s="22"/>
      <c r="H438" s="24"/>
      <c r="I438" s="14"/>
      <c r="J438" s="15"/>
      <c r="K438" s="13"/>
      <c r="M438" s="3"/>
      <c r="N438" s="17"/>
      <c r="P438" s="7"/>
      <c r="Q438" s="18"/>
    </row>
    <row r="439" spans="5:17" ht="14" x14ac:dyDescent="0.2">
      <c r="E439" s="1"/>
      <c r="F439" s="22"/>
      <c r="H439" s="24"/>
      <c r="I439" s="14"/>
      <c r="J439" s="15"/>
      <c r="K439" s="13"/>
      <c r="M439" s="3"/>
      <c r="N439" s="17"/>
      <c r="P439" s="7"/>
      <c r="Q439" s="18"/>
    </row>
    <row r="440" spans="5:17" ht="14" x14ac:dyDescent="0.2">
      <c r="E440" s="1"/>
      <c r="F440" s="22"/>
      <c r="H440" s="24"/>
      <c r="I440" s="14"/>
      <c r="J440" s="15"/>
      <c r="K440" s="13"/>
      <c r="M440" s="3"/>
      <c r="N440" s="17"/>
      <c r="P440" s="7"/>
      <c r="Q440" s="18"/>
    </row>
    <row r="441" spans="5:17" ht="14" x14ac:dyDescent="0.2">
      <c r="E441" s="1"/>
      <c r="F441" s="22"/>
      <c r="H441" s="24"/>
      <c r="I441" s="14"/>
      <c r="J441" s="15"/>
      <c r="K441" s="13"/>
      <c r="M441" s="3"/>
      <c r="N441" s="17"/>
      <c r="P441" s="7"/>
      <c r="Q441" s="18"/>
    </row>
    <row r="442" spans="5:17" ht="14" x14ac:dyDescent="0.2">
      <c r="E442" s="1"/>
      <c r="F442" s="22"/>
      <c r="H442" s="24"/>
      <c r="I442" s="14"/>
      <c r="J442" s="15"/>
      <c r="K442" s="13"/>
      <c r="M442" s="3"/>
      <c r="N442" s="17"/>
      <c r="P442" s="7"/>
      <c r="Q442" s="18"/>
    </row>
    <row r="443" spans="5:17" ht="14" x14ac:dyDescent="0.2">
      <c r="E443" s="1"/>
      <c r="F443" s="22"/>
      <c r="H443" s="24"/>
      <c r="I443" s="14"/>
      <c r="J443" s="15"/>
      <c r="K443" s="13"/>
      <c r="M443" s="3"/>
      <c r="N443" s="17"/>
      <c r="P443" s="7"/>
      <c r="Q443" s="18"/>
    </row>
    <row r="444" spans="5:17" ht="14" x14ac:dyDescent="0.2">
      <c r="E444" s="1"/>
      <c r="F444" s="22"/>
      <c r="H444" s="24"/>
      <c r="I444" s="14"/>
      <c r="J444" s="15"/>
      <c r="K444" s="13"/>
      <c r="M444" s="3"/>
      <c r="N444" s="17"/>
      <c r="P444" s="7"/>
      <c r="Q444" s="18"/>
    </row>
    <row r="445" spans="5:17" ht="14" x14ac:dyDescent="0.2">
      <c r="E445" s="1"/>
      <c r="F445" s="22"/>
      <c r="H445" s="24"/>
      <c r="I445" s="14"/>
      <c r="J445" s="15"/>
      <c r="K445" s="13"/>
      <c r="M445" s="3"/>
      <c r="N445" s="17"/>
      <c r="P445" s="7"/>
      <c r="Q445" s="18"/>
    </row>
    <row r="446" spans="5:17" ht="14" x14ac:dyDescent="0.2">
      <c r="E446" s="1"/>
      <c r="F446" s="22"/>
      <c r="H446" s="24"/>
      <c r="I446" s="14"/>
      <c r="J446" s="15"/>
      <c r="K446" s="13"/>
      <c r="M446" s="3"/>
      <c r="N446" s="17"/>
      <c r="P446" s="7"/>
      <c r="Q446" s="18"/>
    </row>
    <row r="447" spans="5:17" ht="14" x14ac:dyDescent="0.2">
      <c r="E447" s="1"/>
      <c r="F447" s="22"/>
      <c r="H447" s="24"/>
      <c r="I447" s="14"/>
      <c r="J447" s="15"/>
      <c r="K447" s="13"/>
      <c r="M447" s="3"/>
      <c r="N447" s="17"/>
      <c r="P447" s="7"/>
      <c r="Q447" s="18"/>
    </row>
    <row r="448" spans="5:17" ht="14" x14ac:dyDescent="0.2">
      <c r="E448" s="1"/>
      <c r="F448" s="22"/>
      <c r="H448" s="24"/>
      <c r="I448" s="14"/>
      <c r="J448" s="15"/>
      <c r="K448" s="13"/>
      <c r="M448" s="3"/>
      <c r="N448" s="17"/>
      <c r="P448" s="7"/>
      <c r="Q448" s="18"/>
    </row>
    <row r="449" spans="5:17" ht="14" x14ac:dyDescent="0.2">
      <c r="E449" s="1"/>
      <c r="F449" s="22"/>
      <c r="H449" s="24"/>
      <c r="I449" s="14"/>
      <c r="J449" s="15"/>
      <c r="K449" s="13"/>
      <c r="M449" s="3"/>
      <c r="N449" s="17"/>
      <c r="P449" s="7"/>
      <c r="Q449" s="18"/>
    </row>
    <row r="450" spans="5:17" ht="14" x14ac:dyDescent="0.2">
      <c r="E450" s="1"/>
      <c r="F450" s="22"/>
      <c r="H450" s="24"/>
      <c r="I450" s="14"/>
      <c r="J450" s="15"/>
      <c r="K450" s="13"/>
      <c r="M450" s="3"/>
      <c r="N450" s="17"/>
      <c r="P450" s="7"/>
      <c r="Q450" s="18"/>
    </row>
    <row r="451" spans="5:17" ht="14" x14ac:dyDescent="0.2">
      <c r="E451" s="1"/>
      <c r="F451" s="22"/>
      <c r="H451" s="24"/>
      <c r="I451" s="14"/>
      <c r="J451" s="15"/>
      <c r="K451" s="13"/>
      <c r="M451" s="3"/>
      <c r="N451" s="17"/>
      <c r="P451" s="7"/>
      <c r="Q451" s="18"/>
    </row>
    <row r="452" spans="5:17" ht="14" x14ac:dyDescent="0.2">
      <c r="E452" s="1"/>
      <c r="F452" s="22"/>
      <c r="H452" s="24"/>
      <c r="I452" s="14"/>
      <c r="J452" s="15"/>
      <c r="K452" s="13"/>
      <c r="M452" s="3"/>
      <c r="N452" s="17"/>
      <c r="P452" s="7"/>
      <c r="Q452" s="18"/>
    </row>
    <row r="453" spans="5:17" ht="14" x14ac:dyDescent="0.2">
      <c r="E453" s="1"/>
      <c r="F453" s="22"/>
      <c r="H453" s="24"/>
      <c r="I453" s="14"/>
      <c r="J453" s="15"/>
      <c r="K453" s="13"/>
      <c r="M453" s="3"/>
      <c r="N453" s="17"/>
      <c r="P453" s="7"/>
      <c r="Q453" s="18"/>
    </row>
    <row r="454" spans="5:17" ht="14" x14ac:dyDescent="0.2">
      <c r="E454" s="1"/>
      <c r="F454" s="22"/>
      <c r="H454" s="24"/>
      <c r="I454" s="14"/>
      <c r="J454" s="15"/>
      <c r="K454" s="13"/>
      <c r="M454" s="3"/>
      <c r="N454" s="17"/>
      <c r="P454" s="7"/>
      <c r="Q454" s="18"/>
    </row>
    <row r="455" spans="5:17" ht="14" x14ac:dyDescent="0.2">
      <c r="E455" s="1"/>
      <c r="F455" s="22"/>
      <c r="H455" s="24"/>
      <c r="I455" s="14"/>
      <c r="J455" s="15"/>
      <c r="K455" s="13"/>
      <c r="M455" s="3"/>
      <c r="N455" s="17"/>
      <c r="P455" s="7"/>
      <c r="Q455" s="18"/>
    </row>
    <row r="456" spans="5:17" ht="14" x14ac:dyDescent="0.2">
      <c r="E456" s="1"/>
      <c r="F456" s="22"/>
      <c r="H456" s="24"/>
      <c r="I456" s="14"/>
      <c r="J456" s="15"/>
      <c r="K456" s="13"/>
      <c r="M456" s="3"/>
      <c r="N456" s="17"/>
      <c r="P456" s="7"/>
      <c r="Q456" s="18"/>
    </row>
    <row r="457" spans="5:17" ht="14" x14ac:dyDescent="0.2">
      <c r="E457" s="1"/>
      <c r="F457" s="22"/>
      <c r="H457" s="24"/>
      <c r="I457" s="14"/>
      <c r="J457" s="15"/>
      <c r="K457" s="13"/>
      <c r="M457" s="3"/>
      <c r="N457" s="17"/>
      <c r="P457" s="7"/>
      <c r="Q457" s="18"/>
    </row>
    <row r="458" spans="5:17" ht="14" x14ac:dyDescent="0.2">
      <c r="E458" s="1"/>
      <c r="F458" s="22"/>
      <c r="H458" s="24"/>
      <c r="I458" s="14"/>
      <c r="J458" s="15"/>
      <c r="K458" s="13"/>
      <c r="M458" s="3"/>
      <c r="N458" s="17"/>
      <c r="P458" s="7"/>
      <c r="Q458" s="18"/>
    </row>
    <row r="459" spans="5:17" ht="14" x14ac:dyDescent="0.2">
      <c r="E459" s="1"/>
      <c r="F459" s="22"/>
      <c r="H459" s="24"/>
      <c r="I459" s="14"/>
      <c r="J459" s="15"/>
      <c r="K459" s="13"/>
      <c r="M459" s="3"/>
      <c r="N459" s="17"/>
      <c r="P459" s="7"/>
      <c r="Q459" s="18"/>
    </row>
    <row r="460" spans="5:17" ht="14" x14ac:dyDescent="0.2">
      <c r="E460" s="1"/>
      <c r="F460" s="22"/>
      <c r="H460" s="24"/>
      <c r="I460" s="14"/>
      <c r="J460" s="15"/>
      <c r="K460" s="13"/>
      <c r="M460" s="3"/>
      <c r="N460" s="17"/>
      <c r="P460" s="7"/>
      <c r="Q460" s="18"/>
    </row>
    <row r="461" spans="5:17" ht="14" x14ac:dyDescent="0.2">
      <c r="E461" s="1"/>
      <c r="F461" s="22"/>
      <c r="H461" s="24"/>
      <c r="I461" s="14"/>
      <c r="J461" s="15"/>
      <c r="K461" s="13"/>
      <c r="M461" s="3"/>
      <c r="N461" s="17"/>
      <c r="P461" s="7"/>
      <c r="Q461" s="18"/>
    </row>
    <row r="462" spans="5:17" ht="14" x14ac:dyDescent="0.2">
      <c r="E462" s="1"/>
      <c r="F462" s="22"/>
      <c r="H462" s="24"/>
      <c r="I462" s="14"/>
      <c r="J462" s="15"/>
      <c r="K462" s="13"/>
      <c r="M462" s="3"/>
      <c r="N462" s="17"/>
      <c r="P462" s="7"/>
      <c r="Q462" s="18"/>
    </row>
    <row r="463" spans="5:17" ht="14" x14ac:dyDescent="0.2">
      <c r="E463" s="1"/>
      <c r="F463" s="22"/>
      <c r="H463" s="24"/>
      <c r="I463" s="14"/>
      <c r="J463" s="15"/>
      <c r="K463" s="13"/>
      <c r="M463" s="3"/>
      <c r="N463" s="17"/>
      <c r="P463" s="7"/>
      <c r="Q463" s="18"/>
    </row>
    <row r="464" spans="5:17" ht="14" x14ac:dyDescent="0.2">
      <c r="E464" s="1"/>
      <c r="F464" s="22"/>
      <c r="H464" s="24"/>
      <c r="I464" s="14"/>
      <c r="J464" s="15"/>
      <c r="K464" s="13"/>
      <c r="M464" s="3"/>
      <c r="N464" s="17"/>
      <c r="P464" s="7"/>
      <c r="Q464" s="18"/>
    </row>
    <row r="465" spans="5:17" ht="14" x14ac:dyDescent="0.2">
      <c r="E465" s="1"/>
      <c r="F465" s="22"/>
      <c r="H465" s="24"/>
      <c r="I465" s="14"/>
      <c r="J465" s="15"/>
      <c r="K465" s="13"/>
      <c r="M465" s="3"/>
      <c r="N465" s="17"/>
      <c r="P465" s="7"/>
      <c r="Q465" s="18"/>
    </row>
    <row r="466" spans="5:17" ht="14" x14ac:dyDescent="0.2">
      <c r="E466" s="1"/>
      <c r="F466" s="22"/>
      <c r="H466" s="24"/>
      <c r="I466" s="14"/>
      <c r="J466" s="15"/>
      <c r="K466" s="13"/>
      <c r="M466" s="3"/>
      <c r="N466" s="17"/>
      <c r="P466" s="7"/>
      <c r="Q466" s="18"/>
    </row>
    <row r="467" spans="5:17" ht="14" x14ac:dyDescent="0.2">
      <c r="E467" s="1"/>
      <c r="F467" s="22"/>
      <c r="H467" s="24"/>
      <c r="I467" s="14"/>
      <c r="J467" s="15"/>
      <c r="K467" s="13"/>
      <c r="M467" s="3"/>
      <c r="N467" s="17"/>
      <c r="P467" s="7"/>
      <c r="Q467" s="18"/>
    </row>
    <row r="468" spans="5:17" ht="14" x14ac:dyDescent="0.2">
      <c r="E468" s="1"/>
      <c r="F468" s="22"/>
      <c r="H468" s="24"/>
      <c r="I468" s="14"/>
      <c r="J468" s="15"/>
      <c r="K468" s="13"/>
      <c r="M468" s="3"/>
      <c r="N468" s="17"/>
      <c r="P468" s="7"/>
      <c r="Q468" s="18"/>
    </row>
    <row r="469" spans="5:17" ht="14" x14ac:dyDescent="0.2">
      <c r="E469" s="1"/>
      <c r="F469" s="22"/>
      <c r="H469" s="24"/>
      <c r="I469" s="14"/>
      <c r="J469" s="15"/>
      <c r="K469" s="13"/>
      <c r="M469" s="3"/>
      <c r="N469" s="17"/>
      <c r="P469" s="7"/>
      <c r="Q469" s="18"/>
    </row>
    <row r="470" spans="5:17" ht="14" x14ac:dyDescent="0.2">
      <c r="E470" s="1"/>
      <c r="F470" s="22"/>
      <c r="H470" s="24"/>
      <c r="I470" s="14"/>
      <c r="J470" s="15"/>
      <c r="K470" s="13"/>
      <c r="M470" s="3"/>
      <c r="N470" s="17"/>
      <c r="P470" s="7"/>
      <c r="Q470" s="18"/>
    </row>
    <row r="471" spans="5:17" ht="14" x14ac:dyDescent="0.2">
      <c r="E471" s="1"/>
      <c r="F471" s="22"/>
      <c r="H471" s="24"/>
      <c r="I471" s="14"/>
      <c r="J471" s="15"/>
      <c r="K471" s="13"/>
      <c r="M471" s="3"/>
      <c r="N471" s="17"/>
      <c r="P471" s="7"/>
      <c r="Q471" s="18"/>
    </row>
    <row r="472" spans="5:17" ht="14" x14ac:dyDescent="0.2">
      <c r="E472" s="1"/>
      <c r="F472" s="22"/>
      <c r="H472" s="24"/>
      <c r="I472" s="14"/>
      <c r="J472" s="15"/>
      <c r="K472" s="13"/>
      <c r="M472" s="3"/>
      <c r="N472" s="17"/>
      <c r="P472" s="7"/>
      <c r="Q472" s="18"/>
    </row>
    <row r="473" spans="5:17" ht="14" x14ac:dyDescent="0.2">
      <c r="E473" s="1"/>
      <c r="F473" s="22"/>
      <c r="H473" s="24"/>
      <c r="I473" s="14"/>
      <c r="J473" s="15"/>
      <c r="K473" s="13"/>
      <c r="M473" s="3"/>
      <c r="N473" s="17"/>
      <c r="P473" s="7"/>
      <c r="Q473" s="18"/>
    </row>
    <row r="474" spans="5:17" ht="14" x14ac:dyDescent="0.2">
      <c r="E474" s="1"/>
      <c r="F474" s="22"/>
      <c r="H474" s="24"/>
      <c r="I474" s="14"/>
      <c r="J474" s="15"/>
      <c r="K474" s="13"/>
      <c r="M474" s="3"/>
      <c r="N474" s="17"/>
      <c r="P474" s="7"/>
      <c r="Q474" s="18"/>
    </row>
    <row r="475" spans="5:17" ht="14" x14ac:dyDescent="0.2">
      <c r="E475" s="1"/>
      <c r="F475" s="22"/>
      <c r="H475" s="24"/>
      <c r="I475" s="14"/>
      <c r="J475" s="15"/>
      <c r="K475" s="13"/>
      <c r="M475" s="3"/>
      <c r="N475" s="17"/>
      <c r="P475" s="7"/>
      <c r="Q475" s="18"/>
    </row>
    <row r="476" spans="5:17" ht="14" x14ac:dyDescent="0.2">
      <c r="E476" s="1"/>
      <c r="F476" s="22"/>
      <c r="H476" s="24"/>
      <c r="I476" s="14"/>
      <c r="J476" s="15"/>
      <c r="K476" s="13"/>
      <c r="M476" s="3"/>
      <c r="N476" s="17"/>
      <c r="P476" s="7"/>
      <c r="Q476" s="18"/>
    </row>
    <row r="477" spans="5:17" ht="14" x14ac:dyDescent="0.2">
      <c r="E477" s="1"/>
      <c r="F477" s="22"/>
      <c r="H477" s="24"/>
      <c r="I477" s="14"/>
      <c r="J477" s="15"/>
      <c r="K477" s="13"/>
      <c r="M477" s="3"/>
      <c r="N477" s="17"/>
      <c r="P477" s="7"/>
      <c r="Q477" s="18"/>
    </row>
    <row r="478" spans="5:17" ht="14" x14ac:dyDescent="0.2">
      <c r="E478" s="1"/>
      <c r="F478" s="22"/>
      <c r="H478" s="24"/>
      <c r="I478" s="14"/>
      <c r="J478" s="15"/>
      <c r="K478" s="13"/>
      <c r="M478" s="3"/>
      <c r="N478" s="17"/>
      <c r="P478" s="7"/>
      <c r="Q478" s="18"/>
    </row>
    <row r="479" spans="5:17" ht="14" x14ac:dyDescent="0.2">
      <c r="E479" s="1"/>
      <c r="F479" s="22"/>
      <c r="H479" s="24"/>
      <c r="I479" s="14"/>
      <c r="J479" s="15"/>
      <c r="K479" s="13"/>
      <c r="M479" s="3"/>
      <c r="N479" s="17"/>
      <c r="P479" s="7"/>
      <c r="Q479" s="18"/>
    </row>
    <row r="480" spans="5:17" ht="14" x14ac:dyDescent="0.2">
      <c r="E480" s="1"/>
      <c r="F480" s="22"/>
      <c r="H480" s="24"/>
      <c r="I480" s="14"/>
      <c r="J480" s="15"/>
      <c r="K480" s="13"/>
      <c r="M480" s="3"/>
      <c r="N480" s="17"/>
      <c r="P480" s="7"/>
      <c r="Q480" s="18"/>
    </row>
    <row r="481" spans="5:17" ht="14" x14ac:dyDescent="0.2">
      <c r="E481" s="1"/>
      <c r="F481" s="22"/>
      <c r="H481" s="24"/>
      <c r="I481" s="14"/>
      <c r="J481" s="15"/>
      <c r="K481" s="13"/>
      <c r="M481" s="3"/>
      <c r="N481" s="17"/>
      <c r="P481" s="7"/>
      <c r="Q481" s="18"/>
    </row>
    <row r="482" spans="5:17" ht="14" x14ac:dyDescent="0.2">
      <c r="E482" s="1"/>
      <c r="F482" s="22"/>
      <c r="H482" s="24"/>
      <c r="I482" s="14"/>
      <c r="J482" s="15"/>
      <c r="K482" s="13"/>
      <c r="M482" s="3"/>
      <c r="N482" s="17"/>
      <c r="P482" s="7"/>
      <c r="Q482" s="18"/>
    </row>
    <row r="483" spans="5:17" ht="14" x14ac:dyDescent="0.2">
      <c r="E483" s="1"/>
      <c r="F483" s="22"/>
      <c r="H483" s="24"/>
      <c r="I483" s="14"/>
      <c r="J483" s="15"/>
      <c r="K483" s="13"/>
      <c r="M483" s="3"/>
      <c r="N483" s="17"/>
      <c r="P483" s="7"/>
      <c r="Q483" s="18"/>
    </row>
    <row r="484" spans="5:17" ht="14" x14ac:dyDescent="0.2">
      <c r="E484" s="1"/>
      <c r="F484" s="22"/>
      <c r="H484" s="24"/>
      <c r="I484" s="14"/>
      <c r="J484" s="15"/>
      <c r="K484" s="13"/>
      <c r="M484" s="3"/>
      <c r="N484" s="17"/>
      <c r="P484" s="7"/>
      <c r="Q484" s="18"/>
    </row>
    <row r="485" spans="5:17" ht="14" x14ac:dyDescent="0.2">
      <c r="E485" s="1"/>
      <c r="F485" s="22"/>
      <c r="H485" s="24"/>
      <c r="I485" s="14"/>
      <c r="J485" s="15"/>
      <c r="K485" s="13"/>
      <c r="M485" s="3"/>
      <c r="N485" s="17"/>
      <c r="P485" s="7"/>
      <c r="Q485" s="18"/>
    </row>
    <row r="486" spans="5:17" ht="14" x14ac:dyDescent="0.2">
      <c r="E486" s="1"/>
      <c r="F486" s="22"/>
      <c r="H486" s="24"/>
      <c r="I486" s="14"/>
      <c r="J486" s="15"/>
      <c r="K486" s="13"/>
      <c r="M486" s="3"/>
      <c r="N486" s="17"/>
      <c r="P486" s="7"/>
      <c r="Q486" s="18"/>
    </row>
    <row r="487" spans="5:17" ht="14" x14ac:dyDescent="0.2">
      <c r="E487" s="1"/>
      <c r="F487" s="22"/>
      <c r="H487" s="24"/>
      <c r="I487" s="14"/>
      <c r="J487" s="15"/>
      <c r="K487" s="13"/>
      <c r="M487" s="3"/>
      <c r="N487" s="17"/>
      <c r="P487" s="7"/>
      <c r="Q487" s="18"/>
    </row>
    <row r="488" spans="5:17" ht="14" x14ac:dyDescent="0.2">
      <c r="E488" s="1"/>
      <c r="F488" s="22"/>
      <c r="H488" s="24"/>
      <c r="I488" s="14"/>
      <c r="J488" s="15"/>
      <c r="K488" s="13"/>
      <c r="M488" s="3"/>
      <c r="N488" s="17"/>
      <c r="P488" s="7"/>
      <c r="Q488" s="18"/>
    </row>
    <row r="489" spans="5:17" ht="14" x14ac:dyDescent="0.2">
      <c r="E489" s="1"/>
      <c r="F489" s="22"/>
      <c r="H489" s="24"/>
      <c r="I489" s="14"/>
      <c r="J489" s="15"/>
      <c r="K489" s="13"/>
      <c r="M489" s="3"/>
      <c r="N489" s="17"/>
      <c r="P489" s="7"/>
      <c r="Q489" s="18"/>
    </row>
    <row r="490" spans="5:17" ht="14" x14ac:dyDescent="0.2">
      <c r="E490" s="1"/>
      <c r="F490" s="22"/>
      <c r="H490" s="24"/>
      <c r="I490" s="14"/>
      <c r="J490" s="15"/>
      <c r="K490" s="13"/>
      <c r="M490" s="3"/>
      <c r="N490" s="17"/>
      <c r="P490" s="7"/>
      <c r="Q490" s="18"/>
    </row>
    <row r="491" spans="5:17" ht="14" x14ac:dyDescent="0.2">
      <c r="E491" s="1"/>
      <c r="F491" s="22"/>
      <c r="H491" s="24"/>
      <c r="I491" s="14"/>
      <c r="J491" s="15"/>
      <c r="K491" s="13"/>
      <c r="M491" s="3"/>
      <c r="N491" s="17"/>
      <c r="P491" s="7"/>
      <c r="Q491" s="18"/>
    </row>
    <row r="492" spans="5:17" ht="14" x14ac:dyDescent="0.2">
      <c r="E492" s="1"/>
      <c r="F492" s="22"/>
      <c r="H492" s="24"/>
      <c r="I492" s="14"/>
      <c r="J492" s="15"/>
      <c r="K492" s="13"/>
      <c r="M492" s="3"/>
      <c r="N492" s="17"/>
      <c r="P492" s="7"/>
      <c r="Q492" s="18"/>
    </row>
    <row r="493" spans="5:17" ht="14" x14ac:dyDescent="0.2">
      <c r="E493" s="1"/>
      <c r="F493" s="22"/>
      <c r="H493" s="24"/>
      <c r="I493" s="14"/>
      <c r="J493" s="15"/>
      <c r="K493" s="13"/>
      <c r="M493" s="3"/>
      <c r="N493" s="17"/>
      <c r="P493" s="7"/>
      <c r="Q493" s="18"/>
    </row>
    <row r="494" spans="5:17" ht="14" x14ac:dyDescent="0.2">
      <c r="E494" s="1"/>
      <c r="F494" s="22"/>
      <c r="H494" s="24"/>
      <c r="I494" s="14"/>
      <c r="J494" s="15"/>
      <c r="K494" s="13"/>
      <c r="M494" s="3"/>
      <c r="N494" s="17"/>
      <c r="P494" s="7"/>
      <c r="Q494" s="18"/>
    </row>
    <row r="495" spans="5:17" ht="14" x14ac:dyDescent="0.2">
      <c r="E495" s="1"/>
      <c r="F495" s="22"/>
      <c r="H495" s="24"/>
      <c r="I495" s="14"/>
      <c r="J495" s="15"/>
      <c r="K495" s="13"/>
      <c r="M495" s="3"/>
      <c r="N495" s="17"/>
      <c r="P495" s="7"/>
      <c r="Q495" s="18"/>
    </row>
    <row r="496" spans="5:17" ht="14" x14ac:dyDescent="0.2">
      <c r="E496" s="1"/>
      <c r="F496" s="22"/>
      <c r="H496" s="24"/>
      <c r="I496" s="14"/>
      <c r="J496" s="15"/>
      <c r="K496" s="13"/>
      <c r="M496" s="3"/>
      <c r="N496" s="17"/>
      <c r="P496" s="7"/>
      <c r="Q496" s="18"/>
    </row>
    <row r="497" spans="5:17" ht="14" x14ac:dyDescent="0.2">
      <c r="E497" s="1"/>
      <c r="F497" s="22"/>
      <c r="H497" s="24"/>
      <c r="I497" s="14"/>
      <c r="J497" s="15"/>
      <c r="K497" s="13"/>
      <c r="M497" s="3"/>
      <c r="N497" s="17"/>
      <c r="P497" s="7"/>
      <c r="Q497" s="18"/>
    </row>
    <row r="498" spans="5:17" ht="14" x14ac:dyDescent="0.2">
      <c r="E498" s="1"/>
      <c r="F498" s="22"/>
      <c r="H498" s="24"/>
      <c r="I498" s="14"/>
      <c r="J498" s="15"/>
      <c r="K498" s="13"/>
      <c r="M498" s="3"/>
      <c r="N498" s="17"/>
      <c r="P498" s="7"/>
      <c r="Q498" s="18"/>
    </row>
    <row r="499" spans="5:17" ht="14" x14ac:dyDescent="0.2">
      <c r="E499" s="1"/>
      <c r="F499" s="22"/>
      <c r="H499" s="24"/>
      <c r="I499" s="14"/>
      <c r="J499" s="15"/>
      <c r="K499" s="13"/>
      <c r="M499" s="3"/>
      <c r="N499" s="17"/>
      <c r="P499" s="7"/>
      <c r="Q499" s="18"/>
    </row>
    <row r="500" spans="5:17" ht="14" x14ac:dyDescent="0.2">
      <c r="E500" s="1"/>
      <c r="F500" s="22"/>
      <c r="H500" s="24"/>
      <c r="I500" s="14"/>
      <c r="J500" s="15"/>
      <c r="K500" s="13"/>
      <c r="M500" s="3"/>
      <c r="N500" s="17"/>
      <c r="P500" s="7"/>
      <c r="Q500" s="18"/>
    </row>
    <row r="501" spans="5:17" ht="14" x14ac:dyDescent="0.2">
      <c r="E501" s="1"/>
      <c r="F501" s="22"/>
      <c r="H501" s="24"/>
      <c r="I501" s="14"/>
      <c r="J501" s="15"/>
      <c r="K501" s="13"/>
      <c r="M501" s="3"/>
      <c r="N501" s="17"/>
      <c r="P501" s="7"/>
      <c r="Q501" s="18"/>
    </row>
    <row r="502" spans="5:17" ht="14" x14ac:dyDescent="0.2">
      <c r="E502" s="1"/>
      <c r="F502" s="22"/>
      <c r="H502" s="24"/>
      <c r="I502" s="14"/>
      <c r="J502" s="15"/>
      <c r="K502" s="13"/>
      <c r="M502" s="3"/>
      <c r="N502" s="17"/>
      <c r="P502" s="7"/>
      <c r="Q502" s="18"/>
    </row>
    <row r="503" spans="5:17" ht="14" x14ac:dyDescent="0.2">
      <c r="E503" s="1"/>
      <c r="F503" s="22"/>
      <c r="H503" s="24"/>
      <c r="I503" s="14"/>
      <c r="J503" s="15"/>
      <c r="K503" s="13"/>
      <c r="M503" s="3"/>
      <c r="N503" s="17"/>
      <c r="P503" s="7"/>
      <c r="Q503" s="18"/>
    </row>
    <row r="504" spans="5:17" ht="14" x14ac:dyDescent="0.2">
      <c r="E504" s="1"/>
      <c r="F504" s="22"/>
      <c r="H504" s="24"/>
      <c r="I504" s="14"/>
      <c r="J504" s="15"/>
      <c r="K504" s="13"/>
      <c r="M504" s="3"/>
      <c r="N504" s="17"/>
      <c r="P504" s="7"/>
      <c r="Q504" s="18"/>
    </row>
    <row r="505" spans="5:17" ht="14" x14ac:dyDescent="0.2">
      <c r="E505" s="1"/>
      <c r="F505" s="22"/>
      <c r="H505" s="24"/>
      <c r="I505" s="14"/>
      <c r="J505" s="15"/>
      <c r="K505" s="13"/>
      <c r="M505" s="3"/>
      <c r="N505" s="17"/>
      <c r="P505" s="7"/>
      <c r="Q505" s="18"/>
    </row>
    <row r="506" spans="5:17" ht="14" x14ac:dyDescent="0.2">
      <c r="E506" s="1"/>
      <c r="F506" s="22"/>
      <c r="H506" s="24"/>
      <c r="I506" s="14"/>
      <c r="J506" s="15"/>
      <c r="K506" s="13"/>
      <c r="M506" s="3"/>
      <c r="N506" s="17"/>
      <c r="P506" s="7"/>
      <c r="Q506" s="18"/>
    </row>
    <row r="507" spans="5:17" ht="14" x14ac:dyDescent="0.2">
      <c r="E507" s="1"/>
      <c r="F507" s="22"/>
      <c r="H507" s="24"/>
      <c r="I507" s="14"/>
      <c r="J507" s="15"/>
      <c r="K507" s="13"/>
      <c r="M507" s="3"/>
      <c r="N507" s="17"/>
      <c r="P507" s="7"/>
      <c r="Q507" s="18"/>
    </row>
    <row r="508" spans="5:17" ht="14" x14ac:dyDescent="0.2">
      <c r="E508" s="1"/>
      <c r="F508" s="22"/>
      <c r="H508" s="24"/>
      <c r="I508" s="14"/>
      <c r="J508" s="15"/>
      <c r="K508" s="13"/>
      <c r="M508" s="3"/>
      <c r="N508" s="17"/>
      <c r="P508" s="7"/>
      <c r="Q508" s="18"/>
    </row>
    <row r="509" spans="5:17" ht="14" x14ac:dyDescent="0.2">
      <c r="E509" s="1"/>
      <c r="F509" s="22"/>
      <c r="H509" s="24"/>
      <c r="I509" s="14"/>
      <c r="J509" s="15"/>
      <c r="K509" s="13"/>
      <c r="M509" s="3"/>
      <c r="N509" s="17"/>
      <c r="P509" s="7"/>
      <c r="Q509" s="18"/>
    </row>
    <row r="510" spans="5:17" ht="14" x14ac:dyDescent="0.2">
      <c r="E510" s="1"/>
      <c r="F510" s="22"/>
      <c r="H510" s="24"/>
      <c r="I510" s="14"/>
      <c r="J510" s="15"/>
      <c r="K510" s="13"/>
      <c r="M510" s="3"/>
      <c r="N510" s="17"/>
      <c r="P510" s="7"/>
      <c r="Q510" s="18"/>
    </row>
    <row r="511" spans="5:17" ht="14" x14ac:dyDescent="0.2">
      <c r="E511" s="1"/>
      <c r="F511" s="22"/>
      <c r="H511" s="24"/>
      <c r="I511" s="14"/>
      <c r="J511" s="15"/>
      <c r="K511" s="13"/>
      <c r="M511" s="3"/>
      <c r="N511" s="17"/>
      <c r="P511" s="7"/>
      <c r="Q511" s="18"/>
    </row>
    <row r="512" spans="5:17" ht="14" x14ac:dyDescent="0.2">
      <c r="E512" s="1"/>
      <c r="F512" s="22"/>
      <c r="H512" s="24"/>
      <c r="I512" s="14"/>
      <c r="J512" s="15"/>
      <c r="K512" s="13"/>
      <c r="M512" s="3"/>
      <c r="N512" s="17"/>
      <c r="P512" s="7"/>
      <c r="Q512" s="18"/>
    </row>
    <row r="513" spans="5:17" ht="14" x14ac:dyDescent="0.2">
      <c r="E513" s="1"/>
      <c r="F513" s="22"/>
      <c r="H513" s="24"/>
      <c r="I513" s="14"/>
      <c r="J513" s="15"/>
      <c r="K513" s="13"/>
      <c r="M513" s="3"/>
      <c r="N513" s="17"/>
      <c r="P513" s="7"/>
      <c r="Q513" s="18"/>
    </row>
    <row r="514" spans="5:17" ht="14" x14ac:dyDescent="0.2">
      <c r="E514" s="1"/>
      <c r="F514" s="22"/>
      <c r="H514" s="24"/>
      <c r="I514" s="14"/>
      <c r="J514" s="15"/>
      <c r="K514" s="13"/>
      <c r="M514" s="3"/>
      <c r="N514" s="17"/>
      <c r="P514" s="7"/>
      <c r="Q514" s="18"/>
    </row>
    <row r="515" spans="5:17" ht="14" x14ac:dyDescent="0.2">
      <c r="E515" s="1"/>
      <c r="F515" s="22"/>
      <c r="H515" s="24"/>
      <c r="I515" s="14"/>
      <c r="J515" s="15"/>
      <c r="K515" s="13"/>
      <c r="M515" s="3"/>
      <c r="N515" s="17"/>
      <c r="P515" s="7"/>
      <c r="Q515" s="18"/>
    </row>
    <row r="516" spans="5:17" ht="14" x14ac:dyDescent="0.2">
      <c r="E516" s="1"/>
      <c r="F516" s="22"/>
      <c r="H516" s="24"/>
      <c r="I516" s="14"/>
      <c r="J516" s="15"/>
      <c r="K516" s="13"/>
      <c r="M516" s="3"/>
      <c r="N516" s="17"/>
      <c r="P516" s="7"/>
      <c r="Q516" s="18"/>
    </row>
    <row r="517" spans="5:17" ht="14" x14ac:dyDescent="0.2">
      <c r="E517" s="1"/>
      <c r="F517" s="22"/>
      <c r="H517" s="24"/>
      <c r="I517" s="14"/>
      <c r="J517" s="15"/>
      <c r="K517" s="13"/>
      <c r="M517" s="3"/>
      <c r="N517" s="17"/>
      <c r="P517" s="7"/>
      <c r="Q517" s="18"/>
    </row>
    <row r="518" spans="5:17" ht="14" x14ac:dyDescent="0.2">
      <c r="E518" s="1"/>
      <c r="F518" s="22"/>
      <c r="H518" s="24"/>
      <c r="I518" s="14"/>
      <c r="J518" s="15"/>
      <c r="K518" s="13"/>
      <c r="M518" s="3"/>
      <c r="N518" s="17"/>
      <c r="P518" s="7"/>
      <c r="Q518" s="18"/>
    </row>
    <row r="519" spans="5:17" ht="14" x14ac:dyDescent="0.2">
      <c r="E519" s="1"/>
      <c r="F519" s="22"/>
      <c r="H519" s="24"/>
      <c r="I519" s="14"/>
      <c r="J519" s="15"/>
      <c r="K519" s="13"/>
      <c r="M519" s="3"/>
      <c r="N519" s="17"/>
      <c r="P519" s="7"/>
      <c r="Q519" s="18"/>
    </row>
    <row r="520" spans="5:17" ht="14" x14ac:dyDescent="0.2">
      <c r="E520" s="1"/>
      <c r="F520" s="22"/>
      <c r="H520" s="24"/>
      <c r="I520" s="14"/>
      <c r="J520" s="15"/>
      <c r="K520" s="13"/>
      <c r="M520" s="3"/>
      <c r="N520" s="17"/>
      <c r="P520" s="7"/>
      <c r="Q520" s="18"/>
    </row>
    <row r="521" spans="5:17" ht="14" x14ac:dyDescent="0.2">
      <c r="E521" s="1"/>
      <c r="F521" s="22"/>
      <c r="H521" s="24"/>
      <c r="I521" s="14"/>
      <c r="J521" s="15"/>
      <c r="K521" s="13"/>
      <c r="M521" s="3"/>
      <c r="N521" s="17"/>
      <c r="P521" s="7"/>
      <c r="Q521" s="18"/>
    </row>
    <row r="522" spans="5:17" ht="14" x14ac:dyDescent="0.2">
      <c r="E522" s="1"/>
      <c r="F522" s="22"/>
      <c r="H522" s="24"/>
      <c r="I522" s="14"/>
      <c r="J522" s="15"/>
      <c r="K522" s="13"/>
      <c r="M522" s="3"/>
      <c r="N522" s="17"/>
      <c r="P522" s="7"/>
      <c r="Q522" s="18"/>
    </row>
    <row r="523" spans="5:17" ht="14" x14ac:dyDescent="0.2">
      <c r="E523" s="1"/>
      <c r="F523" s="22"/>
      <c r="H523" s="24"/>
      <c r="I523" s="14"/>
      <c r="J523" s="15"/>
      <c r="K523" s="13"/>
      <c r="M523" s="3"/>
      <c r="N523" s="17"/>
      <c r="P523" s="7"/>
      <c r="Q523" s="18"/>
    </row>
    <row r="524" spans="5:17" ht="14" x14ac:dyDescent="0.2">
      <c r="E524" s="1"/>
      <c r="F524" s="22"/>
      <c r="H524" s="24"/>
      <c r="I524" s="14"/>
      <c r="J524" s="15"/>
      <c r="K524" s="13"/>
      <c r="M524" s="3"/>
      <c r="N524" s="17"/>
      <c r="P524" s="7"/>
      <c r="Q524" s="18"/>
    </row>
    <row r="525" spans="5:17" ht="14" x14ac:dyDescent="0.2">
      <c r="E525" s="1"/>
      <c r="F525" s="22"/>
      <c r="H525" s="24"/>
      <c r="I525" s="14"/>
      <c r="J525" s="15"/>
      <c r="K525" s="13"/>
      <c r="M525" s="3"/>
      <c r="N525" s="17"/>
      <c r="P525" s="7"/>
      <c r="Q525" s="18"/>
    </row>
    <row r="526" spans="5:17" ht="14" x14ac:dyDescent="0.2">
      <c r="E526" s="1"/>
      <c r="F526" s="22"/>
      <c r="H526" s="24"/>
      <c r="I526" s="14"/>
      <c r="J526" s="15"/>
      <c r="K526" s="13"/>
      <c r="M526" s="3"/>
      <c r="N526" s="17"/>
      <c r="P526" s="7"/>
      <c r="Q526" s="18"/>
    </row>
    <row r="527" spans="5:17" ht="14" x14ac:dyDescent="0.2">
      <c r="E527" s="1"/>
      <c r="F527" s="22"/>
      <c r="H527" s="24"/>
      <c r="I527" s="14"/>
      <c r="J527" s="15"/>
      <c r="K527" s="13"/>
      <c r="M527" s="3"/>
      <c r="N527" s="17"/>
      <c r="P527" s="7"/>
      <c r="Q527" s="18"/>
    </row>
    <row r="528" spans="5:17" ht="14" x14ac:dyDescent="0.2">
      <c r="E528" s="1"/>
      <c r="F528" s="22"/>
      <c r="H528" s="24"/>
      <c r="I528" s="14"/>
      <c r="J528" s="15"/>
      <c r="K528" s="13"/>
      <c r="M528" s="3"/>
      <c r="N528" s="17"/>
      <c r="P528" s="7"/>
      <c r="Q528" s="18"/>
    </row>
    <row r="529" spans="5:17" ht="14" x14ac:dyDescent="0.2">
      <c r="E529" s="1"/>
      <c r="F529" s="22"/>
      <c r="H529" s="24"/>
      <c r="I529" s="14"/>
      <c r="J529" s="15"/>
      <c r="K529" s="13"/>
      <c r="M529" s="3"/>
      <c r="N529" s="17"/>
      <c r="P529" s="7"/>
      <c r="Q529" s="18"/>
    </row>
    <row r="530" spans="5:17" ht="14" x14ac:dyDescent="0.2">
      <c r="E530" s="1"/>
      <c r="F530" s="22"/>
      <c r="H530" s="24"/>
      <c r="I530" s="14"/>
      <c r="J530" s="15"/>
      <c r="K530" s="13"/>
      <c r="M530" s="3"/>
      <c r="N530" s="17"/>
      <c r="P530" s="7"/>
      <c r="Q530" s="18"/>
    </row>
    <row r="531" spans="5:17" ht="14" x14ac:dyDescent="0.2">
      <c r="E531" s="1"/>
      <c r="F531" s="22"/>
      <c r="H531" s="24"/>
      <c r="I531" s="14"/>
      <c r="J531" s="15"/>
      <c r="K531" s="13"/>
      <c r="M531" s="3"/>
      <c r="N531" s="17"/>
      <c r="P531" s="7"/>
      <c r="Q531" s="18"/>
    </row>
    <row r="532" spans="5:17" ht="14" x14ac:dyDescent="0.2">
      <c r="E532" s="1"/>
      <c r="F532" s="22"/>
      <c r="H532" s="24"/>
      <c r="I532" s="14"/>
      <c r="J532" s="15"/>
      <c r="K532" s="13"/>
      <c r="M532" s="3"/>
      <c r="N532" s="17"/>
      <c r="P532" s="7"/>
      <c r="Q532" s="18"/>
    </row>
    <row r="533" spans="5:17" ht="14" x14ac:dyDescent="0.2">
      <c r="E533" s="1"/>
      <c r="F533" s="22"/>
      <c r="H533" s="24"/>
      <c r="I533" s="14"/>
      <c r="J533" s="15"/>
      <c r="K533" s="13"/>
      <c r="M533" s="3"/>
      <c r="N533" s="17"/>
      <c r="P533" s="7"/>
      <c r="Q533" s="18"/>
    </row>
    <row r="534" spans="5:17" ht="14" x14ac:dyDescent="0.2">
      <c r="E534" s="1"/>
      <c r="F534" s="22"/>
      <c r="H534" s="24"/>
      <c r="I534" s="14"/>
      <c r="J534" s="15"/>
      <c r="K534" s="13"/>
      <c r="M534" s="3"/>
      <c r="N534" s="17"/>
      <c r="P534" s="7"/>
      <c r="Q534" s="18"/>
    </row>
    <row r="535" spans="5:17" ht="14" x14ac:dyDescent="0.2">
      <c r="E535" s="1"/>
      <c r="F535" s="22"/>
      <c r="H535" s="24"/>
      <c r="I535" s="14"/>
      <c r="J535" s="15"/>
      <c r="K535" s="13"/>
      <c r="M535" s="3"/>
      <c r="N535" s="17"/>
      <c r="P535" s="7"/>
      <c r="Q535" s="18"/>
    </row>
    <row r="536" spans="5:17" ht="14" x14ac:dyDescent="0.2">
      <c r="E536" s="1"/>
      <c r="F536" s="22"/>
      <c r="H536" s="24"/>
      <c r="I536" s="14"/>
      <c r="J536" s="15"/>
      <c r="K536" s="13"/>
      <c r="M536" s="3"/>
      <c r="N536" s="17"/>
      <c r="P536" s="7"/>
      <c r="Q536" s="18"/>
    </row>
    <row r="537" spans="5:17" ht="14" x14ac:dyDescent="0.2">
      <c r="E537" s="1"/>
      <c r="F537" s="22"/>
      <c r="H537" s="24"/>
      <c r="I537" s="14"/>
      <c r="J537" s="15"/>
      <c r="K537" s="13"/>
      <c r="M537" s="3"/>
      <c r="N537" s="17"/>
      <c r="P537" s="7"/>
      <c r="Q537" s="18"/>
    </row>
    <row r="538" spans="5:17" ht="14" x14ac:dyDescent="0.2">
      <c r="E538" s="1"/>
      <c r="F538" s="22"/>
      <c r="H538" s="24"/>
      <c r="I538" s="14"/>
      <c r="J538" s="15"/>
      <c r="K538" s="13"/>
      <c r="M538" s="3"/>
      <c r="N538" s="17"/>
      <c r="P538" s="7"/>
      <c r="Q538" s="18"/>
    </row>
    <row r="539" spans="5:17" ht="14" x14ac:dyDescent="0.2">
      <c r="E539" s="1"/>
      <c r="F539" s="22"/>
      <c r="H539" s="24"/>
      <c r="I539" s="14"/>
      <c r="J539" s="15"/>
      <c r="K539" s="13"/>
      <c r="M539" s="3"/>
      <c r="N539" s="17"/>
      <c r="P539" s="7"/>
      <c r="Q539" s="18"/>
    </row>
    <row r="540" spans="5:17" ht="14" x14ac:dyDescent="0.2">
      <c r="E540" s="1"/>
      <c r="F540" s="22"/>
      <c r="H540" s="24"/>
      <c r="I540" s="14"/>
      <c r="J540" s="15"/>
      <c r="K540" s="13"/>
      <c r="M540" s="3"/>
      <c r="N540" s="17"/>
      <c r="P540" s="7"/>
      <c r="Q540" s="18"/>
    </row>
    <row r="541" spans="5:17" ht="14" x14ac:dyDescent="0.2">
      <c r="E541" s="1"/>
      <c r="F541" s="22"/>
      <c r="H541" s="24"/>
      <c r="I541" s="14"/>
      <c r="J541" s="15"/>
      <c r="K541" s="13"/>
      <c r="M541" s="3"/>
      <c r="N541" s="17"/>
      <c r="P541" s="7"/>
      <c r="Q541" s="18"/>
    </row>
    <row r="542" spans="5:17" ht="14" x14ac:dyDescent="0.2">
      <c r="E542" s="1"/>
      <c r="F542" s="22"/>
      <c r="H542" s="24"/>
      <c r="I542" s="14"/>
      <c r="J542" s="15"/>
      <c r="K542" s="13"/>
      <c r="M542" s="3"/>
      <c r="N542" s="17"/>
      <c r="P542" s="7"/>
      <c r="Q542" s="18"/>
    </row>
    <row r="543" spans="5:17" ht="14" x14ac:dyDescent="0.2">
      <c r="E543" s="1"/>
      <c r="F543" s="22"/>
      <c r="H543" s="24"/>
      <c r="I543" s="14"/>
      <c r="J543" s="15"/>
      <c r="K543" s="13"/>
      <c r="M543" s="3"/>
      <c r="N543" s="17"/>
      <c r="P543" s="7"/>
      <c r="Q543" s="18"/>
    </row>
    <row r="544" spans="5:17" ht="14" x14ac:dyDescent="0.2">
      <c r="E544" s="1"/>
      <c r="F544" s="22"/>
      <c r="H544" s="24"/>
      <c r="I544" s="14"/>
      <c r="J544" s="15"/>
      <c r="K544" s="13"/>
      <c r="M544" s="3"/>
      <c r="N544" s="17"/>
      <c r="P544" s="7"/>
      <c r="Q544" s="18"/>
    </row>
    <row r="545" spans="5:17" ht="14" x14ac:dyDescent="0.2">
      <c r="E545" s="1"/>
      <c r="F545" s="22"/>
      <c r="H545" s="24"/>
      <c r="I545" s="14"/>
      <c r="J545" s="15"/>
      <c r="K545" s="13"/>
      <c r="M545" s="3"/>
      <c r="N545" s="17"/>
      <c r="P545" s="7"/>
      <c r="Q545" s="18"/>
    </row>
    <row r="546" spans="5:17" ht="14" x14ac:dyDescent="0.2">
      <c r="E546" s="1"/>
      <c r="F546" s="22"/>
      <c r="H546" s="24"/>
      <c r="I546" s="14"/>
      <c r="J546" s="15"/>
      <c r="K546" s="13"/>
      <c r="M546" s="3"/>
      <c r="N546" s="17"/>
      <c r="P546" s="7"/>
      <c r="Q546" s="18"/>
    </row>
    <row r="547" spans="5:17" ht="14" x14ac:dyDescent="0.2">
      <c r="E547" s="1"/>
      <c r="F547" s="22"/>
      <c r="H547" s="24"/>
      <c r="I547" s="14"/>
      <c r="J547" s="15"/>
      <c r="K547" s="13"/>
      <c r="M547" s="3"/>
      <c r="N547" s="17"/>
      <c r="P547" s="7"/>
      <c r="Q547" s="18"/>
    </row>
    <row r="548" spans="5:17" ht="14" x14ac:dyDescent="0.2">
      <c r="E548" s="1"/>
      <c r="F548" s="22"/>
      <c r="H548" s="24"/>
      <c r="I548" s="14"/>
      <c r="J548" s="15"/>
      <c r="K548" s="13"/>
      <c r="M548" s="3"/>
      <c r="N548" s="17"/>
      <c r="P548" s="7"/>
      <c r="Q548" s="18"/>
    </row>
    <row r="549" spans="5:17" ht="14" x14ac:dyDescent="0.2">
      <c r="E549" s="1"/>
      <c r="F549" s="22"/>
      <c r="H549" s="24"/>
      <c r="I549" s="14"/>
      <c r="J549" s="15"/>
      <c r="K549" s="13"/>
      <c r="M549" s="3"/>
      <c r="N549" s="17"/>
      <c r="P549" s="7"/>
      <c r="Q549" s="18"/>
    </row>
    <row r="550" spans="5:17" ht="14" x14ac:dyDescent="0.2">
      <c r="E550" s="1"/>
      <c r="F550" s="22"/>
      <c r="H550" s="24"/>
      <c r="I550" s="14"/>
      <c r="J550" s="15"/>
      <c r="K550" s="13"/>
      <c r="M550" s="3"/>
      <c r="N550" s="17"/>
      <c r="P550" s="7"/>
      <c r="Q550" s="18"/>
    </row>
    <row r="551" spans="5:17" ht="14" x14ac:dyDescent="0.2">
      <c r="E551" s="1"/>
      <c r="F551" s="22"/>
      <c r="H551" s="24"/>
      <c r="I551" s="14"/>
      <c r="J551" s="15"/>
      <c r="K551" s="13"/>
      <c r="M551" s="3"/>
      <c r="N551" s="17"/>
      <c r="P551" s="7"/>
      <c r="Q551" s="18"/>
    </row>
    <row r="552" spans="5:17" ht="14" x14ac:dyDescent="0.2">
      <c r="E552" s="1"/>
      <c r="F552" s="22"/>
      <c r="H552" s="24"/>
      <c r="I552" s="14"/>
      <c r="J552" s="15"/>
      <c r="K552" s="13"/>
      <c r="M552" s="3"/>
      <c r="N552" s="17"/>
      <c r="P552" s="7"/>
      <c r="Q552" s="18"/>
    </row>
    <row r="553" spans="5:17" ht="14" x14ac:dyDescent="0.2">
      <c r="E553" s="1"/>
      <c r="F553" s="22"/>
      <c r="H553" s="24"/>
      <c r="I553" s="14"/>
      <c r="J553" s="15"/>
      <c r="K553" s="13"/>
      <c r="M553" s="3"/>
      <c r="N553" s="17"/>
      <c r="P553" s="7"/>
      <c r="Q553" s="18"/>
    </row>
    <row r="554" spans="5:17" ht="14" x14ac:dyDescent="0.2">
      <c r="E554" s="1"/>
      <c r="F554" s="22"/>
      <c r="H554" s="24"/>
      <c r="I554" s="14"/>
      <c r="J554" s="15"/>
      <c r="K554" s="13"/>
      <c r="M554" s="3"/>
      <c r="N554" s="17"/>
      <c r="P554" s="7"/>
      <c r="Q554" s="18"/>
    </row>
    <row r="555" spans="5:17" ht="14" x14ac:dyDescent="0.2">
      <c r="E555" s="1"/>
      <c r="F555" s="22"/>
      <c r="H555" s="24"/>
      <c r="I555" s="14"/>
      <c r="J555" s="15"/>
      <c r="K555" s="13"/>
      <c r="M555" s="3"/>
      <c r="N555" s="17"/>
      <c r="P555" s="7"/>
      <c r="Q555" s="18"/>
    </row>
    <row r="556" spans="5:17" ht="14" x14ac:dyDescent="0.2">
      <c r="E556" s="1"/>
      <c r="F556" s="22"/>
      <c r="H556" s="24"/>
      <c r="I556" s="14"/>
      <c r="J556" s="15"/>
      <c r="K556" s="13"/>
      <c r="M556" s="3"/>
      <c r="N556" s="17"/>
      <c r="P556" s="7"/>
      <c r="Q556" s="18"/>
    </row>
    <row r="557" spans="5:17" ht="14" x14ac:dyDescent="0.2">
      <c r="E557" s="1"/>
      <c r="F557" s="22"/>
      <c r="H557" s="24"/>
      <c r="I557" s="14"/>
      <c r="J557" s="15"/>
      <c r="K557" s="13"/>
      <c r="M557" s="3"/>
      <c r="N557" s="17"/>
      <c r="P557" s="7"/>
      <c r="Q557" s="18"/>
    </row>
    <row r="558" spans="5:17" ht="14" x14ac:dyDescent="0.2">
      <c r="E558" s="1"/>
      <c r="F558" s="22"/>
      <c r="H558" s="24"/>
      <c r="I558" s="14"/>
      <c r="J558" s="15"/>
      <c r="K558" s="13"/>
      <c r="M558" s="3"/>
      <c r="N558" s="17"/>
      <c r="P558" s="7"/>
      <c r="Q558" s="18"/>
    </row>
    <row r="559" spans="5:17" ht="14" x14ac:dyDescent="0.2">
      <c r="E559" s="1"/>
      <c r="F559" s="22"/>
      <c r="H559" s="24"/>
      <c r="I559" s="14"/>
      <c r="J559" s="15"/>
      <c r="K559" s="13"/>
      <c r="M559" s="3"/>
      <c r="N559" s="17"/>
      <c r="P559" s="7"/>
      <c r="Q559" s="18"/>
    </row>
    <row r="560" spans="5:17" ht="14" x14ac:dyDescent="0.2">
      <c r="E560" s="1"/>
      <c r="F560" s="22"/>
      <c r="H560" s="24"/>
      <c r="I560" s="14"/>
      <c r="J560" s="15"/>
      <c r="K560" s="13"/>
      <c r="M560" s="3"/>
      <c r="N560" s="17"/>
      <c r="P560" s="7"/>
      <c r="Q560" s="18"/>
    </row>
    <row r="561" spans="5:17" ht="14" x14ac:dyDescent="0.2">
      <c r="E561" s="1"/>
      <c r="F561" s="22"/>
      <c r="H561" s="24"/>
      <c r="I561" s="14"/>
      <c r="J561" s="15"/>
      <c r="K561" s="13"/>
      <c r="M561" s="3"/>
      <c r="N561" s="17"/>
      <c r="P561" s="7"/>
      <c r="Q561" s="18"/>
    </row>
    <row r="562" spans="5:17" ht="14" x14ac:dyDescent="0.2">
      <c r="E562" s="1"/>
      <c r="F562" s="22"/>
      <c r="H562" s="24"/>
      <c r="I562" s="14"/>
      <c r="J562" s="15"/>
      <c r="K562" s="13"/>
      <c r="M562" s="3"/>
      <c r="N562" s="17"/>
      <c r="P562" s="7"/>
      <c r="Q562" s="18"/>
    </row>
    <row r="563" spans="5:17" ht="14" x14ac:dyDescent="0.2">
      <c r="E563" s="1"/>
      <c r="F563" s="22"/>
      <c r="H563" s="24"/>
      <c r="I563" s="14"/>
      <c r="J563" s="15"/>
      <c r="K563" s="13"/>
      <c r="M563" s="3"/>
      <c r="N563" s="17"/>
      <c r="P563" s="7"/>
      <c r="Q563" s="18"/>
    </row>
    <row r="564" spans="5:17" ht="14" x14ac:dyDescent="0.2">
      <c r="E564" s="1"/>
      <c r="F564" s="22"/>
      <c r="H564" s="24"/>
      <c r="I564" s="14"/>
      <c r="J564" s="15"/>
      <c r="K564" s="13"/>
      <c r="M564" s="3"/>
      <c r="N564" s="17"/>
      <c r="P564" s="7"/>
      <c r="Q564" s="18"/>
    </row>
    <row r="565" spans="5:17" ht="14" x14ac:dyDescent="0.2">
      <c r="E565" s="1"/>
      <c r="F565" s="22"/>
      <c r="H565" s="24"/>
      <c r="I565" s="14"/>
      <c r="J565" s="15"/>
      <c r="K565" s="13"/>
      <c r="M565" s="3"/>
      <c r="N565" s="17"/>
      <c r="P565" s="7"/>
      <c r="Q565" s="18"/>
    </row>
    <row r="566" spans="5:17" ht="14" x14ac:dyDescent="0.2">
      <c r="E566" s="1"/>
      <c r="F566" s="22"/>
      <c r="H566" s="24"/>
      <c r="I566" s="14"/>
      <c r="J566" s="15"/>
      <c r="K566" s="13"/>
      <c r="M566" s="3"/>
      <c r="N566" s="17"/>
      <c r="P566" s="7"/>
      <c r="Q566" s="18"/>
    </row>
    <row r="567" spans="5:17" ht="14" x14ac:dyDescent="0.2">
      <c r="E567" s="1"/>
      <c r="F567" s="22"/>
      <c r="H567" s="24"/>
      <c r="I567" s="14"/>
      <c r="J567" s="15"/>
      <c r="K567" s="13"/>
      <c r="M567" s="3"/>
      <c r="N567" s="17"/>
      <c r="P567" s="7"/>
      <c r="Q567" s="18"/>
    </row>
    <row r="568" spans="5:17" ht="14" x14ac:dyDescent="0.2">
      <c r="E568" s="1"/>
      <c r="F568" s="22"/>
      <c r="H568" s="24"/>
      <c r="I568" s="14"/>
      <c r="J568" s="15"/>
      <c r="K568" s="13"/>
      <c r="M568" s="3"/>
      <c r="N568" s="17"/>
      <c r="P568" s="7"/>
      <c r="Q568" s="18"/>
    </row>
    <row r="569" spans="5:17" ht="14" x14ac:dyDescent="0.2">
      <c r="E569" s="1"/>
      <c r="F569" s="22"/>
      <c r="H569" s="24"/>
      <c r="I569" s="14"/>
      <c r="J569" s="15"/>
      <c r="K569" s="13"/>
      <c r="M569" s="3"/>
      <c r="N569" s="17"/>
      <c r="P569" s="7"/>
      <c r="Q569" s="18"/>
    </row>
    <row r="570" spans="5:17" ht="14" x14ac:dyDescent="0.2">
      <c r="E570" s="1"/>
      <c r="F570" s="22"/>
      <c r="H570" s="24"/>
      <c r="I570" s="14"/>
      <c r="J570" s="15"/>
      <c r="K570" s="13"/>
      <c r="M570" s="3"/>
      <c r="N570" s="17"/>
      <c r="P570" s="7"/>
      <c r="Q570" s="18"/>
    </row>
    <row r="571" spans="5:17" ht="14" x14ac:dyDescent="0.2">
      <c r="E571" s="1"/>
      <c r="F571" s="22"/>
      <c r="H571" s="24"/>
      <c r="I571" s="14"/>
      <c r="J571" s="15"/>
      <c r="K571" s="13"/>
      <c r="M571" s="3"/>
      <c r="N571" s="17"/>
      <c r="P571" s="7"/>
      <c r="Q571" s="18"/>
    </row>
    <row r="572" spans="5:17" ht="14" x14ac:dyDescent="0.2">
      <c r="E572" s="1"/>
      <c r="F572" s="22"/>
      <c r="H572" s="24"/>
      <c r="I572" s="14"/>
      <c r="J572" s="15"/>
      <c r="K572" s="13"/>
      <c r="M572" s="3"/>
      <c r="N572" s="17"/>
      <c r="P572" s="7"/>
      <c r="Q572" s="18"/>
    </row>
    <row r="573" spans="5:17" ht="14" x14ac:dyDescent="0.2">
      <c r="E573" s="1"/>
      <c r="F573" s="22"/>
      <c r="H573" s="24"/>
      <c r="I573" s="14"/>
      <c r="J573" s="15"/>
      <c r="K573" s="13"/>
      <c r="M573" s="3"/>
      <c r="N573" s="17"/>
      <c r="P573" s="7"/>
      <c r="Q573" s="18"/>
    </row>
    <row r="574" spans="5:17" ht="14" x14ac:dyDescent="0.2">
      <c r="E574" s="1"/>
      <c r="F574" s="22"/>
      <c r="H574" s="24"/>
      <c r="I574" s="14"/>
      <c r="J574" s="15"/>
      <c r="K574" s="13"/>
      <c r="M574" s="3"/>
      <c r="N574" s="17"/>
      <c r="P574" s="7"/>
      <c r="Q574" s="18"/>
    </row>
    <row r="575" spans="5:17" ht="14" x14ac:dyDescent="0.2">
      <c r="E575" s="1"/>
      <c r="F575" s="22"/>
      <c r="H575" s="24"/>
      <c r="I575" s="14"/>
      <c r="J575" s="15"/>
      <c r="K575" s="13"/>
      <c r="M575" s="3"/>
      <c r="N575" s="17"/>
      <c r="P575" s="7"/>
      <c r="Q575" s="18"/>
    </row>
    <row r="576" spans="5:17" ht="14" x14ac:dyDescent="0.2">
      <c r="E576" s="1"/>
      <c r="F576" s="22"/>
      <c r="H576" s="24"/>
      <c r="I576" s="14"/>
      <c r="J576" s="15"/>
      <c r="K576" s="13"/>
      <c r="M576" s="3"/>
      <c r="N576" s="17"/>
      <c r="P576" s="7"/>
      <c r="Q576" s="18"/>
    </row>
    <row r="577" spans="5:17" ht="14" x14ac:dyDescent="0.2">
      <c r="E577" s="1"/>
      <c r="F577" s="22"/>
      <c r="H577" s="24"/>
      <c r="I577" s="14"/>
      <c r="J577" s="15"/>
      <c r="K577" s="13"/>
      <c r="M577" s="3"/>
      <c r="N577" s="17"/>
      <c r="P577" s="7"/>
      <c r="Q577" s="18"/>
    </row>
    <row r="578" spans="5:17" ht="14" x14ac:dyDescent="0.2">
      <c r="E578" s="1"/>
      <c r="F578" s="22"/>
      <c r="H578" s="24"/>
      <c r="I578" s="14"/>
      <c r="J578" s="15"/>
      <c r="K578" s="13"/>
      <c r="M578" s="3"/>
      <c r="N578" s="17"/>
      <c r="P578" s="7"/>
      <c r="Q578" s="18"/>
    </row>
    <row r="579" spans="5:17" ht="14" x14ac:dyDescent="0.2">
      <c r="E579" s="1"/>
      <c r="F579" s="22"/>
      <c r="H579" s="24"/>
      <c r="I579" s="14"/>
      <c r="J579" s="15"/>
      <c r="K579" s="13"/>
      <c r="M579" s="3"/>
      <c r="N579" s="17"/>
      <c r="P579" s="7"/>
      <c r="Q579" s="18"/>
    </row>
    <row r="580" spans="5:17" ht="14" x14ac:dyDescent="0.2">
      <c r="E580" s="1"/>
      <c r="F580" s="22"/>
      <c r="H580" s="24"/>
      <c r="I580" s="14"/>
      <c r="J580" s="15"/>
      <c r="K580" s="13"/>
      <c r="M580" s="3"/>
      <c r="N580" s="17"/>
      <c r="P580" s="7"/>
      <c r="Q580" s="18"/>
    </row>
    <row r="581" spans="5:17" ht="14" x14ac:dyDescent="0.2">
      <c r="E581" s="1"/>
      <c r="F581" s="22"/>
      <c r="H581" s="24"/>
      <c r="I581" s="14"/>
      <c r="J581" s="15"/>
      <c r="K581" s="13"/>
      <c r="M581" s="3"/>
      <c r="N581" s="17"/>
      <c r="P581" s="7"/>
      <c r="Q581" s="18"/>
    </row>
    <row r="582" spans="5:17" ht="14" x14ac:dyDescent="0.2">
      <c r="E582" s="1"/>
      <c r="F582" s="22"/>
      <c r="H582" s="24"/>
      <c r="I582" s="14"/>
      <c r="J582" s="15"/>
      <c r="K582" s="13"/>
      <c r="M582" s="3"/>
      <c r="N582" s="17"/>
      <c r="P582" s="7"/>
      <c r="Q582" s="18"/>
    </row>
    <row r="583" spans="5:17" ht="14" x14ac:dyDescent="0.2">
      <c r="E583" s="1"/>
      <c r="F583" s="22"/>
      <c r="H583" s="24"/>
      <c r="I583" s="14"/>
      <c r="J583" s="15"/>
      <c r="K583" s="13"/>
      <c r="M583" s="3"/>
      <c r="N583" s="17"/>
      <c r="P583" s="7"/>
      <c r="Q583" s="18"/>
    </row>
    <row r="584" spans="5:17" ht="14" x14ac:dyDescent="0.2">
      <c r="E584" s="1"/>
      <c r="F584" s="22"/>
      <c r="H584" s="24"/>
      <c r="I584" s="14"/>
      <c r="J584" s="15"/>
      <c r="K584" s="13"/>
      <c r="M584" s="3"/>
      <c r="N584" s="17"/>
      <c r="P584" s="7"/>
      <c r="Q584" s="18"/>
    </row>
    <row r="585" spans="5:17" ht="14" x14ac:dyDescent="0.2">
      <c r="E585" s="1"/>
      <c r="F585" s="22"/>
      <c r="H585" s="24"/>
      <c r="I585" s="14"/>
      <c r="J585" s="15"/>
      <c r="K585" s="13"/>
      <c r="M585" s="3"/>
      <c r="N585" s="17"/>
      <c r="P585" s="7"/>
      <c r="Q585" s="18"/>
    </row>
    <row r="586" spans="5:17" ht="14" x14ac:dyDescent="0.2">
      <c r="E586" s="1"/>
      <c r="F586" s="22"/>
      <c r="H586" s="24"/>
      <c r="I586" s="14"/>
      <c r="J586" s="15"/>
      <c r="K586" s="13"/>
      <c r="M586" s="3"/>
      <c r="N586" s="17"/>
      <c r="P586" s="7"/>
      <c r="Q586" s="18"/>
    </row>
    <row r="587" spans="5:17" ht="14" x14ac:dyDescent="0.2">
      <c r="E587" s="1"/>
      <c r="F587" s="22"/>
      <c r="H587" s="24"/>
      <c r="I587" s="14"/>
      <c r="J587" s="15"/>
      <c r="K587" s="13"/>
      <c r="M587" s="3"/>
      <c r="N587" s="17"/>
      <c r="P587" s="7"/>
      <c r="Q587" s="18"/>
    </row>
    <row r="588" spans="5:17" ht="14" x14ac:dyDescent="0.2">
      <c r="E588" s="1"/>
      <c r="F588" s="22"/>
      <c r="H588" s="24"/>
      <c r="I588" s="14"/>
      <c r="J588" s="15"/>
      <c r="K588" s="13"/>
      <c r="M588" s="3"/>
      <c r="N588" s="17"/>
      <c r="P588" s="7"/>
      <c r="Q588" s="18"/>
    </row>
    <row r="589" spans="5:17" ht="14" x14ac:dyDescent="0.2">
      <c r="E589" s="1"/>
      <c r="F589" s="22"/>
      <c r="H589" s="24"/>
      <c r="I589" s="14"/>
      <c r="J589" s="15"/>
      <c r="K589" s="13"/>
      <c r="M589" s="3"/>
      <c r="N589" s="17"/>
      <c r="P589" s="7"/>
      <c r="Q589" s="18"/>
    </row>
    <row r="590" spans="5:17" ht="14" x14ac:dyDescent="0.2">
      <c r="E590" s="1"/>
      <c r="F590" s="22"/>
      <c r="H590" s="24"/>
      <c r="I590" s="14"/>
      <c r="J590" s="15"/>
      <c r="K590" s="13"/>
      <c r="M590" s="3"/>
      <c r="N590" s="17"/>
      <c r="P590" s="7"/>
      <c r="Q590" s="18"/>
    </row>
    <row r="591" spans="5:17" ht="14" x14ac:dyDescent="0.2">
      <c r="E591" s="1"/>
      <c r="F591" s="22"/>
      <c r="H591" s="24"/>
      <c r="I591" s="14"/>
      <c r="J591" s="15"/>
      <c r="K591" s="13"/>
      <c r="M591" s="3"/>
      <c r="N591" s="17"/>
      <c r="P591" s="7"/>
      <c r="Q591" s="18"/>
    </row>
    <row r="592" spans="5:17" ht="14" x14ac:dyDescent="0.2">
      <c r="E592" s="1"/>
      <c r="F592" s="22"/>
      <c r="H592" s="24"/>
      <c r="I592" s="14"/>
      <c r="J592" s="15"/>
      <c r="K592" s="13"/>
      <c r="M592" s="3"/>
      <c r="N592" s="17"/>
      <c r="P592" s="7"/>
      <c r="Q592" s="18"/>
    </row>
    <row r="593" spans="5:17" ht="14" x14ac:dyDescent="0.2">
      <c r="E593" s="1"/>
      <c r="F593" s="22"/>
      <c r="H593" s="24"/>
      <c r="I593" s="14"/>
      <c r="J593" s="15"/>
      <c r="K593" s="13"/>
      <c r="M593" s="3"/>
      <c r="N593" s="17"/>
      <c r="P593" s="7"/>
      <c r="Q593" s="18"/>
    </row>
    <row r="594" spans="5:17" ht="14" x14ac:dyDescent="0.2">
      <c r="E594" s="1"/>
      <c r="F594" s="22"/>
      <c r="H594" s="24"/>
      <c r="I594" s="14"/>
      <c r="J594" s="15"/>
      <c r="K594" s="13"/>
      <c r="M594" s="3"/>
      <c r="N594" s="17"/>
      <c r="P594" s="7"/>
      <c r="Q594" s="18"/>
    </row>
    <row r="595" spans="5:17" ht="14" x14ac:dyDescent="0.2">
      <c r="E595" s="1"/>
      <c r="F595" s="22"/>
      <c r="H595" s="24"/>
      <c r="I595" s="14"/>
      <c r="J595" s="15"/>
      <c r="K595" s="13"/>
      <c r="M595" s="3"/>
      <c r="N595" s="17"/>
      <c r="P595" s="7"/>
      <c r="Q595" s="18"/>
    </row>
    <row r="596" spans="5:17" ht="14" x14ac:dyDescent="0.2">
      <c r="E596" s="1"/>
      <c r="F596" s="22"/>
      <c r="H596" s="24"/>
      <c r="I596" s="14"/>
      <c r="J596" s="15"/>
      <c r="K596" s="13"/>
      <c r="M596" s="3"/>
      <c r="N596" s="17"/>
      <c r="P596" s="7"/>
      <c r="Q596" s="18"/>
    </row>
    <row r="597" spans="5:17" ht="14" x14ac:dyDescent="0.2">
      <c r="E597" s="1"/>
      <c r="F597" s="22"/>
      <c r="H597" s="24"/>
      <c r="I597" s="14"/>
      <c r="J597" s="15"/>
      <c r="K597" s="13"/>
      <c r="M597" s="3"/>
      <c r="N597" s="17"/>
      <c r="P597" s="7"/>
      <c r="Q597" s="18"/>
    </row>
    <row r="598" spans="5:17" ht="14" x14ac:dyDescent="0.2">
      <c r="E598" s="1"/>
      <c r="F598" s="22"/>
      <c r="H598" s="24"/>
      <c r="I598" s="14"/>
      <c r="J598" s="15"/>
      <c r="K598" s="13"/>
      <c r="M598" s="3"/>
      <c r="N598" s="17"/>
      <c r="P598" s="7"/>
      <c r="Q598" s="18"/>
    </row>
    <row r="599" spans="5:17" ht="14" x14ac:dyDescent="0.2">
      <c r="E599" s="1"/>
      <c r="F599" s="22"/>
      <c r="H599" s="24"/>
      <c r="I599" s="14"/>
      <c r="J599" s="15"/>
      <c r="K599" s="13"/>
      <c r="M599" s="3"/>
      <c r="N599" s="17"/>
      <c r="P599" s="7"/>
      <c r="Q599" s="18"/>
    </row>
    <row r="600" spans="5:17" ht="14" x14ac:dyDescent="0.2">
      <c r="E600" s="1"/>
      <c r="F600" s="22"/>
      <c r="H600" s="24"/>
      <c r="I600" s="14"/>
      <c r="J600" s="15"/>
      <c r="K600" s="13"/>
      <c r="M600" s="3"/>
      <c r="N600" s="17"/>
      <c r="P600" s="7"/>
      <c r="Q600" s="18"/>
    </row>
    <row r="601" spans="5:17" ht="14" x14ac:dyDescent="0.2">
      <c r="E601" s="1"/>
      <c r="F601" s="22"/>
      <c r="H601" s="24"/>
      <c r="I601" s="14"/>
      <c r="J601" s="15"/>
      <c r="K601" s="13"/>
      <c r="M601" s="3"/>
      <c r="N601" s="17"/>
      <c r="P601" s="7"/>
      <c r="Q601" s="18"/>
    </row>
    <row r="602" spans="5:17" ht="14" x14ac:dyDescent="0.2">
      <c r="E602" s="1"/>
      <c r="F602" s="22"/>
      <c r="H602" s="24"/>
      <c r="I602" s="14"/>
      <c r="J602" s="15"/>
      <c r="K602" s="13"/>
      <c r="M602" s="3"/>
      <c r="N602" s="17"/>
      <c r="P602" s="7"/>
      <c r="Q602" s="18"/>
    </row>
    <row r="603" spans="5:17" ht="14" x14ac:dyDescent="0.2">
      <c r="E603" s="1"/>
      <c r="F603" s="22"/>
      <c r="H603" s="24"/>
      <c r="I603" s="14"/>
      <c r="J603" s="15"/>
      <c r="K603" s="13"/>
      <c r="M603" s="3"/>
      <c r="N603" s="17"/>
      <c r="P603" s="7"/>
      <c r="Q603" s="18"/>
    </row>
    <row r="604" spans="5:17" ht="14" x14ac:dyDescent="0.2">
      <c r="E604" s="1"/>
      <c r="F604" s="22"/>
      <c r="H604" s="24"/>
      <c r="I604" s="14"/>
      <c r="J604" s="15"/>
      <c r="K604" s="13"/>
      <c r="M604" s="3"/>
      <c r="N604" s="17"/>
      <c r="P604" s="7"/>
      <c r="Q604" s="18"/>
    </row>
    <row r="605" spans="5:17" ht="14" x14ac:dyDescent="0.2">
      <c r="E605" s="1"/>
      <c r="F605" s="22"/>
      <c r="H605" s="24"/>
      <c r="I605" s="14"/>
      <c r="J605" s="15"/>
      <c r="K605" s="13"/>
      <c r="M605" s="3"/>
      <c r="N605" s="17"/>
      <c r="P605" s="7"/>
      <c r="Q605" s="18"/>
    </row>
    <row r="606" spans="5:17" ht="14" x14ac:dyDescent="0.2">
      <c r="E606" s="1"/>
      <c r="F606" s="22"/>
      <c r="H606" s="24"/>
      <c r="I606" s="14"/>
      <c r="J606" s="15"/>
      <c r="K606" s="13"/>
      <c r="M606" s="3"/>
      <c r="N606" s="17"/>
      <c r="P606" s="7"/>
      <c r="Q606" s="18"/>
    </row>
    <row r="607" spans="5:17" ht="14" x14ac:dyDescent="0.2">
      <c r="E607" s="1"/>
      <c r="F607" s="22"/>
      <c r="H607" s="24"/>
      <c r="I607" s="14"/>
      <c r="J607" s="15"/>
      <c r="K607" s="13"/>
      <c r="M607" s="3"/>
      <c r="N607" s="17"/>
      <c r="P607" s="7"/>
      <c r="Q607" s="18"/>
    </row>
    <row r="608" spans="5:17" ht="14" x14ac:dyDescent="0.2">
      <c r="E608" s="1"/>
      <c r="F608" s="22"/>
      <c r="H608" s="24"/>
      <c r="I608" s="14"/>
      <c r="J608" s="15"/>
      <c r="K608" s="13"/>
      <c r="M608" s="3"/>
      <c r="N608" s="17"/>
      <c r="P608" s="7"/>
      <c r="Q608" s="18"/>
    </row>
    <row r="609" spans="5:17" ht="14" x14ac:dyDescent="0.2">
      <c r="E609" s="1"/>
      <c r="F609" s="22"/>
      <c r="H609" s="24"/>
      <c r="I609" s="14"/>
      <c r="J609" s="15"/>
      <c r="K609" s="13"/>
      <c r="M609" s="3"/>
      <c r="N609" s="17"/>
      <c r="P609" s="7"/>
      <c r="Q609" s="18"/>
    </row>
    <row r="610" spans="5:17" ht="14" x14ac:dyDescent="0.2">
      <c r="E610" s="1"/>
      <c r="F610" s="22"/>
      <c r="H610" s="24"/>
      <c r="I610" s="14"/>
      <c r="J610" s="15"/>
      <c r="K610" s="13"/>
      <c r="M610" s="3"/>
      <c r="N610" s="17"/>
      <c r="P610" s="7"/>
      <c r="Q610" s="18"/>
    </row>
    <row r="611" spans="5:17" ht="14" x14ac:dyDescent="0.2">
      <c r="E611" s="1"/>
      <c r="F611" s="22"/>
      <c r="H611" s="24"/>
      <c r="I611" s="14"/>
      <c r="J611" s="15"/>
      <c r="K611" s="13"/>
      <c r="M611" s="3"/>
      <c r="N611" s="17"/>
      <c r="P611" s="7"/>
      <c r="Q611" s="18"/>
    </row>
    <row r="612" spans="5:17" ht="14" x14ac:dyDescent="0.2">
      <c r="E612" s="1"/>
      <c r="F612" s="22"/>
      <c r="H612" s="24"/>
      <c r="I612" s="14"/>
      <c r="J612" s="15"/>
      <c r="K612" s="13"/>
      <c r="M612" s="3"/>
      <c r="N612" s="17"/>
      <c r="P612" s="7"/>
      <c r="Q612" s="18"/>
    </row>
    <row r="613" spans="5:17" ht="14" x14ac:dyDescent="0.2">
      <c r="E613" s="1"/>
      <c r="F613" s="22"/>
      <c r="H613" s="24"/>
      <c r="I613" s="14"/>
      <c r="J613" s="15"/>
      <c r="K613" s="13"/>
      <c r="M613" s="3"/>
      <c r="N613" s="17"/>
      <c r="P613" s="7"/>
      <c r="Q613" s="18"/>
    </row>
    <row r="614" spans="5:17" ht="14" x14ac:dyDescent="0.2">
      <c r="E614" s="1"/>
      <c r="F614" s="22"/>
      <c r="H614" s="24"/>
      <c r="I614" s="14"/>
      <c r="J614" s="15"/>
      <c r="K614" s="13"/>
      <c r="M614" s="3"/>
      <c r="N614" s="17"/>
      <c r="P614" s="7"/>
      <c r="Q614" s="18"/>
    </row>
    <row r="615" spans="5:17" ht="14" x14ac:dyDescent="0.2">
      <c r="E615" s="1"/>
      <c r="F615" s="22"/>
      <c r="H615" s="24"/>
      <c r="I615" s="14"/>
      <c r="J615" s="15"/>
      <c r="K615" s="13"/>
      <c r="M615" s="3"/>
      <c r="N615" s="17"/>
      <c r="P615" s="7"/>
      <c r="Q615" s="18"/>
    </row>
    <row r="616" spans="5:17" ht="14" x14ac:dyDescent="0.2">
      <c r="E616" s="1"/>
      <c r="F616" s="22"/>
      <c r="H616" s="24"/>
      <c r="I616" s="14"/>
      <c r="J616" s="15"/>
      <c r="K616" s="13"/>
      <c r="M616" s="3"/>
      <c r="N616" s="17"/>
      <c r="P616" s="7"/>
      <c r="Q616" s="18"/>
    </row>
    <row r="617" spans="5:17" ht="14" x14ac:dyDescent="0.2">
      <c r="E617" s="1"/>
      <c r="F617" s="22"/>
      <c r="H617" s="24"/>
      <c r="I617" s="14"/>
      <c r="J617" s="15"/>
      <c r="K617" s="13"/>
      <c r="M617" s="3"/>
      <c r="N617" s="17"/>
      <c r="P617" s="7"/>
      <c r="Q617" s="18"/>
    </row>
    <row r="618" spans="5:17" ht="14" x14ac:dyDescent="0.2">
      <c r="E618" s="1"/>
      <c r="F618" s="22"/>
      <c r="H618" s="24"/>
      <c r="I618" s="14"/>
      <c r="J618" s="15"/>
      <c r="K618" s="13"/>
      <c r="M618" s="3"/>
      <c r="N618" s="17"/>
      <c r="P618" s="7"/>
      <c r="Q618" s="18"/>
    </row>
    <row r="619" spans="5:17" ht="14" x14ac:dyDescent="0.2">
      <c r="E619" s="1"/>
      <c r="F619" s="22"/>
      <c r="H619" s="24"/>
      <c r="I619" s="14"/>
      <c r="J619" s="15"/>
      <c r="K619" s="13"/>
      <c r="M619" s="3"/>
      <c r="N619" s="17"/>
      <c r="P619" s="7"/>
      <c r="Q619" s="18"/>
    </row>
    <row r="620" spans="5:17" ht="14" x14ac:dyDescent="0.2">
      <c r="E620" s="1"/>
      <c r="F620" s="22"/>
      <c r="H620" s="24"/>
      <c r="I620" s="14"/>
      <c r="J620" s="15"/>
      <c r="K620" s="13"/>
      <c r="M620" s="3"/>
      <c r="N620" s="17"/>
      <c r="P620" s="7"/>
      <c r="Q620" s="18"/>
    </row>
    <row r="621" spans="5:17" ht="14" x14ac:dyDescent="0.2">
      <c r="E621" s="1"/>
      <c r="F621" s="22"/>
      <c r="H621" s="24"/>
      <c r="I621" s="14"/>
      <c r="J621" s="15"/>
      <c r="K621" s="13"/>
      <c r="M621" s="3"/>
      <c r="N621" s="17"/>
      <c r="P621" s="7"/>
      <c r="Q621" s="18"/>
    </row>
    <row r="622" spans="5:17" ht="14" x14ac:dyDescent="0.2">
      <c r="E622" s="1"/>
      <c r="F622" s="22"/>
      <c r="H622" s="24"/>
      <c r="I622" s="14"/>
      <c r="J622" s="15"/>
      <c r="K622" s="13"/>
      <c r="M622" s="3"/>
      <c r="N622" s="17"/>
      <c r="P622" s="7"/>
      <c r="Q622" s="18"/>
    </row>
    <row r="623" spans="5:17" ht="14" x14ac:dyDescent="0.2">
      <c r="E623" s="1"/>
      <c r="F623" s="22"/>
      <c r="H623" s="24"/>
      <c r="I623" s="14"/>
      <c r="J623" s="15"/>
      <c r="K623" s="13"/>
      <c r="M623" s="3"/>
      <c r="N623" s="17"/>
      <c r="P623" s="7"/>
      <c r="Q623" s="18"/>
    </row>
    <row r="624" spans="5:17" ht="14" x14ac:dyDescent="0.2">
      <c r="E624" s="1"/>
      <c r="F624" s="22"/>
      <c r="H624" s="24"/>
      <c r="I624" s="14"/>
      <c r="J624" s="15"/>
      <c r="K624" s="13"/>
      <c r="M624" s="3"/>
      <c r="N624" s="17"/>
      <c r="P624" s="7"/>
      <c r="Q624" s="18"/>
    </row>
    <row r="625" spans="5:17" ht="14" x14ac:dyDescent="0.2">
      <c r="E625" s="1"/>
      <c r="F625" s="22"/>
      <c r="H625" s="24"/>
      <c r="I625" s="14"/>
      <c r="J625" s="15"/>
      <c r="K625" s="13"/>
      <c r="M625" s="3"/>
      <c r="N625" s="17"/>
      <c r="P625" s="7"/>
      <c r="Q625" s="18"/>
    </row>
    <row r="626" spans="5:17" ht="14" x14ac:dyDescent="0.2">
      <c r="E626" s="1"/>
      <c r="F626" s="22"/>
      <c r="H626" s="24"/>
      <c r="I626" s="14"/>
      <c r="J626" s="15"/>
      <c r="K626" s="13"/>
      <c r="M626" s="3"/>
      <c r="N626" s="17"/>
      <c r="P626" s="7"/>
      <c r="Q626" s="18"/>
    </row>
    <row r="627" spans="5:17" ht="14" x14ac:dyDescent="0.2">
      <c r="E627" s="1"/>
      <c r="F627" s="22"/>
      <c r="H627" s="24"/>
      <c r="I627" s="14"/>
      <c r="J627" s="15"/>
      <c r="K627" s="13"/>
      <c r="M627" s="3"/>
      <c r="N627" s="17"/>
      <c r="P627" s="7"/>
      <c r="Q627" s="18"/>
    </row>
    <row r="628" spans="5:17" ht="14" x14ac:dyDescent="0.2">
      <c r="E628" s="1"/>
      <c r="F628" s="22"/>
      <c r="H628" s="24"/>
      <c r="I628" s="14"/>
      <c r="J628" s="15"/>
      <c r="K628" s="13"/>
      <c r="M628" s="3"/>
      <c r="N628" s="17"/>
      <c r="P628" s="7"/>
      <c r="Q628" s="18"/>
    </row>
    <row r="629" spans="5:17" ht="14" x14ac:dyDescent="0.2">
      <c r="E629" s="1"/>
      <c r="F629" s="22"/>
      <c r="H629" s="24"/>
      <c r="I629" s="14"/>
      <c r="J629" s="15"/>
      <c r="K629" s="13"/>
      <c r="M629" s="3"/>
      <c r="N629" s="17"/>
      <c r="P629" s="7"/>
      <c r="Q629" s="18"/>
    </row>
    <row r="630" spans="5:17" ht="14" x14ac:dyDescent="0.2">
      <c r="E630" s="1"/>
      <c r="F630" s="22"/>
      <c r="H630" s="24"/>
      <c r="I630" s="14"/>
      <c r="J630" s="15"/>
      <c r="K630" s="13"/>
      <c r="M630" s="3"/>
      <c r="N630" s="17"/>
      <c r="P630" s="7"/>
      <c r="Q630" s="18"/>
    </row>
    <row r="631" spans="5:17" ht="14" x14ac:dyDescent="0.2">
      <c r="E631" s="1"/>
      <c r="F631" s="22"/>
      <c r="H631" s="24"/>
      <c r="I631" s="14"/>
      <c r="J631" s="15"/>
      <c r="K631" s="13"/>
      <c r="M631" s="3"/>
      <c r="N631" s="17"/>
      <c r="P631" s="7"/>
      <c r="Q631" s="18"/>
    </row>
    <row r="632" spans="5:17" ht="14" x14ac:dyDescent="0.2">
      <c r="E632" s="1"/>
      <c r="F632" s="22"/>
      <c r="H632" s="24"/>
      <c r="I632" s="14"/>
      <c r="J632" s="15"/>
      <c r="K632" s="13"/>
      <c r="M632" s="3"/>
      <c r="N632" s="17"/>
      <c r="P632" s="7"/>
      <c r="Q632" s="18"/>
    </row>
    <row r="633" spans="5:17" ht="14" x14ac:dyDescent="0.2">
      <c r="E633" s="1"/>
      <c r="F633" s="22"/>
      <c r="H633" s="24"/>
      <c r="I633" s="14"/>
      <c r="J633" s="15"/>
      <c r="K633" s="13"/>
      <c r="M633" s="3"/>
      <c r="N633" s="17"/>
      <c r="P633" s="7"/>
      <c r="Q633" s="18"/>
    </row>
    <row r="634" spans="5:17" ht="14" x14ac:dyDescent="0.2">
      <c r="E634" s="1"/>
      <c r="F634" s="22"/>
      <c r="H634" s="24"/>
      <c r="I634" s="14"/>
      <c r="J634" s="15"/>
      <c r="K634" s="13"/>
      <c r="M634" s="3"/>
      <c r="N634" s="17"/>
      <c r="P634" s="7"/>
      <c r="Q634" s="18"/>
    </row>
    <row r="635" spans="5:17" ht="14" x14ac:dyDescent="0.2">
      <c r="E635" s="1"/>
      <c r="F635" s="22"/>
      <c r="H635" s="24"/>
      <c r="I635" s="14"/>
      <c r="J635" s="15"/>
      <c r="K635" s="13"/>
      <c r="M635" s="3"/>
      <c r="N635" s="17"/>
      <c r="P635" s="7"/>
      <c r="Q635" s="18"/>
    </row>
    <row r="636" spans="5:17" ht="14" x14ac:dyDescent="0.2">
      <c r="E636" s="1"/>
      <c r="F636" s="22"/>
      <c r="H636" s="24"/>
      <c r="I636" s="14"/>
      <c r="J636" s="15"/>
      <c r="K636" s="13"/>
      <c r="M636" s="3"/>
      <c r="N636" s="17"/>
      <c r="P636" s="7"/>
      <c r="Q636" s="18"/>
    </row>
    <row r="637" spans="5:17" ht="14" x14ac:dyDescent="0.2">
      <c r="E637" s="1"/>
      <c r="F637" s="22"/>
      <c r="H637" s="24"/>
      <c r="I637" s="14"/>
      <c r="J637" s="15"/>
      <c r="K637" s="13"/>
      <c r="M637" s="3"/>
      <c r="N637" s="17"/>
      <c r="P637" s="7"/>
      <c r="Q637" s="18"/>
    </row>
    <row r="638" spans="5:17" ht="14" x14ac:dyDescent="0.2">
      <c r="E638" s="1"/>
      <c r="F638" s="22"/>
      <c r="H638" s="24"/>
      <c r="I638" s="14"/>
      <c r="J638" s="15"/>
      <c r="K638" s="13"/>
      <c r="M638" s="3"/>
      <c r="N638" s="17"/>
      <c r="P638" s="7"/>
      <c r="Q638" s="18"/>
    </row>
    <row r="639" spans="5:17" ht="14" x14ac:dyDescent="0.2">
      <c r="E639" s="1"/>
      <c r="F639" s="22"/>
      <c r="H639" s="24"/>
      <c r="I639" s="14"/>
      <c r="J639" s="15"/>
      <c r="K639" s="13"/>
      <c r="M639" s="3"/>
      <c r="N639" s="17"/>
      <c r="P639" s="7"/>
      <c r="Q639" s="18"/>
    </row>
    <row r="640" spans="5:17" ht="14" x14ac:dyDescent="0.2">
      <c r="E640" s="1"/>
      <c r="F640" s="22"/>
      <c r="H640" s="24"/>
      <c r="I640" s="14"/>
      <c r="J640" s="15"/>
      <c r="K640" s="13"/>
      <c r="M640" s="3"/>
      <c r="N640" s="17"/>
      <c r="P640" s="7"/>
      <c r="Q640" s="18"/>
    </row>
    <row r="641" spans="5:17" ht="14" x14ac:dyDescent="0.2">
      <c r="E641" s="1"/>
      <c r="F641" s="22"/>
      <c r="H641" s="24"/>
      <c r="I641" s="14"/>
      <c r="J641" s="15"/>
      <c r="K641" s="13"/>
      <c r="M641" s="3"/>
      <c r="N641" s="17"/>
      <c r="P641" s="7"/>
      <c r="Q641" s="18"/>
    </row>
    <row r="642" spans="5:17" ht="14" x14ac:dyDescent="0.2">
      <c r="E642" s="1"/>
      <c r="F642" s="22"/>
      <c r="H642" s="24"/>
      <c r="I642" s="14"/>
      <c r="J642" s="15"/>
      <c r="K642" s="13"/>
      <c r="M642" s="3"/>
      <c r="N642" s="17"/>
      <c r="P642" s="7"/>
      <c r="Q642" s="18"/>
    </row>
    <row r="643" spans="5:17" ht="14" x14ac:dyDescent="0.2">
      <c r="E643" s="1"/>
      <c r="F643" s="22"/>
      <c r="H643" s="24"/>
      <c r="I643" s="14"/>
      <c r="J643" s="15"/>
      <c r="K643" s="13"/>
      <c r="M643" s="3"/>
      <c r="N643" s="17"/>
      <c r="P643" s="7"/>
      <c r="Q643" s="18"/>
    </row>
    <row r="644" spans="5:17" ht="14" x14ac:dyDescent="0.2">
      <c r="E644" s="1"/>
      <c r="F644" s="22"/>
      <c r="H644" s="24"/>
      <c r="I644" s="14"/>
      <c r="J644" s="15"/>
      <c r="K644" s="13"/>
      <c r="M644" s="3"/>
      <c r="N644" s="17"/>
      <c r="P644" s="7"/>
      <c r="Q644" s="18"/>
    </row>
    <row r="645" spans="5:17" ht="14" x14ac:dyDescent="0.2">
      <c r="E645" s="1"/>
      <c r="F645" s="22"/>
      <c r="H645" s="24"/>
      <c r="I645" s="14"/>
      <c r="J645" s="15"/>
      <c r="K645" s="13"/>
      <c r="M645" s="3"/>
      <c r="N645" s="17"/>
      <c r="P645" s="7"/>
      <c r="Q645" s="18"/>
    </row>
    <row r="646" spans="5:17" ht="14" x14ac:dyDescent="0.2">
      <c r="E646" s="1"/>
      <c r="F646" s="22"/>
      <c r="H646" s="24"/>
      <c r="I646" s="14"/>
      <c r="J646" s="15"/>
      <c r="K646" s="13"/>
      <c r="M646" s="3"/>
      <c r="N646" s="17"/>
      <c r="P646" s="7"/>
      <c r="Q646" s="18"/>
    </row>
    <row r="647" spans="5:17" ht="14" x14ac:dyDescent="0.2">
      <c r="E647" s="1"/>
      <c r="F647" s="22"/>
      <c r="H647" s="24"/>
      <c r="I647" s="14"/>
      <c r="J647" s="15"/>
      <c r="K647" s="13"/>
      <c r="M647" s="3"/>
      <c r="N647" s="17"/>
      <c r="P647" s="7"/>
      <c r="Q647" s="18"/>
    </row>
    <row r="648" spans="5:17" ht="14" x14ac:dyDescent="0.2">
      <c r="E648" s="1"/>
      <c r="F648" s="22"/>
      <c r="H648" s="24"/>
      <c r="I648" s="14"/>
      <c r="J648" s="15"/>
      <c r="K648" s="13"/>
      <c r="M648" s="3"/>
      <c r="N648" s="17"/>
      <c r="P648" s="7"/>
      <c r="Q648" s="18"/>
    </row>
    <row r="649" spans="5:17" ht="14" x14ac:dyDescent="0.2">
      <c r="E649" s="1"/>
      <c r="F649" s="22"/>
      <c r="H649" s="24"/>
      <c r="I649" s="14"/>
      <c r="J649" s="15"/>
      <c r="K649" s="13"/>
      <c r="M649" s="3"/>
      <c r="N649" s="17"/>
      <c r="P649" s="7"/>
      <c r="Q649" s="18"/>
    </row>
    <row r="650" spans="5:17" ht="14" x14ac:dyDescent="0.2">
      <c r="E650" s="1"/>
      <c r="F650" s="22"/>
      <c r="H650" s="24"/>
      <c r="I650" s="14"/>
      <c r="J650" s="15"/>
      <c r="K650" s="13"/>
      <c r="M650" s="3"/>
      <c r="N650" s="17"/>
      <c r="P650" s="7"/>
      <c r="Q650" s="18"/>
    </row>
    <row r="651" spans="5:17" ht="14" x14ac:dyDescent="0.2">
      <c r="E651" s="1"/>
      <c r="F651" s="22"/>
      <c r="H651" s="24"/>
      <c r="I651" s="14"/>
      <c r="J651" s="15"/>
      <c r="K651" s="13"/>
      <c r="M651" s="3"/>
      <c r="N651" s="17"/>
      <c r="P651" s="7"/>
      <c r="Q651" s="18"/>
    </row>
    <row r="652" spans="5:17" ht="14" x14ac:dyDescent="0.2">
      <c r="E652" s="1"/>
      <c r="F652" s="22"/>
      <c r="H652" s="24"/>
      <c r="I652" s="14"/>
      <c r="J652" s="15"/>
      <c r="K652" s="13"/>
      <c r="M652" s="3"/>
      <c r="N652" s="17"/>
      <c r="P652" s="7"/>
      <c r="Q652" s="18"/>
    </row>
    <row r="653" spans="5:17" ht="14" x14ac:dyDescent="0.2">
      <c r="E653" s="1"/>
      <c r="F653" s="22"/>
      <c r="H653" s="24"/>
      <c r="I653" s="14"/>
      <c r="J653" s="15"/>
      <c r="K653" s="13"/>
      <c r="M653" s="3"/>
      <c r="N653" s="17"/>
      <c r="P653" s="7"/>
      <c r="Q653" s="18"/>
    </row>
    <row r="654" spans="5:17" ht="14" x14ac:dyDescent="0.2">
      <c r="E654" s="1"/>
      <c r="F654" s="22"/>
      <c r="H654" s="24"/>
      <c r="I654" s="14"/>
      <c r="J654" s="15"/>
      <c r="K654" s="13"/>
      <c r="M654" s="3"/>
      <c r="N654" s="17"/>
      <c r="P654" s="7"/>
      <c r="Q654" s="18"/>
    </row>
    <row r="655" spans="5:17" ht="14" x14ac:dyDescent="0.2">
      <c r="E655" s="1"/>
      <c r="F655" s="22"/>
      <c r="H655" s="24"/>
      <c r="I655" s="14"/>
      <c r="J655" s="15"/>
      <c r="K655" s="13"/>
      <c r="M655" s="3"/>
      <c r="N655" s="17"/>
      <c r="P655" s="7"/>
      <c r="Q655" s="18"/>
    </row>
    <row r="656" spans="5:17" ht="14" x14ac:dyDescent="0.2">
      <c r="E656" s="1"/>
      <c r="F656" s="22"/>
      <c r="H656" s="24"/>
      <c r="I656" s="14"/>
      <c r="J656" s="15"/>
      <c r="K656" s="13"/>
      <c r="M656" s="3"/>
      <c r="N656" s="17"/>
      <c r="P656" s="7"/>
      <c r="Q656" s="18"/>
    </row>
    <row r="657" spans="5:17" ht="14" x14ac:dyDescent="0.2">
      <c r="E657" s="1"/>
      <c r="F657" s="22"/>
      <c r="H657" s="24"/>
      <c r="I657" s="14"/>
      <c r="J657" s="15"/>
      <c r="K657" s="13"/>
      <c r="M657" s="3"/>
      <c r="N657" s="17"/>
      <c r="P657" s="7"/>
      <c r="Q657" s="18"/>
    </row>
    <row r="658" spans="5:17" ht="14" x14ac:dyDescent="0.2">
      <c r="E658" s="1"/>
      <c r="F658" s="22"/>
      <c r="H658" s="24"/>
      <c r="I658" s="14"/>
      <c r="J658" s="15"/>
      <c r="K658" s="13"/>
      <c r="M658" s="3"/>
      <c r="N658" s="17"/>
      <c r="P658" s="7"/>
      <c r="Q658" s="18"/>
    </row>
    <row r="659" spans="5:17" ht="14" x14ac:dyDescent="0.2">
      <c r="E659" s="1"/>
      <c r="F659" s="22"/>
      <c r="H659" s="24"/>
      <c r="I659" s="14"/>
      <c r="J659" s="15"/>
      <c r="K659" s="13"/>
      <c r="M659" s="3"/>
      <c r="N659" s="17"/>
      <c r="P659" s="7"/>
      <c r="Q659" s="18"/>
    </row>
    <row r="660" spans="5:17" ht="14" x14ac:dyDescent="0.2">
      <c r="E660" s="1"/>
      <c r="F660" s="22"/>
      <c r="H660" s="24"/>
      <c r="I660" s="14"/>
      <c r="J660" s="15"/>
      <c r="K660" s="13"/>
      <c r="M660" s="3"/>
      <c r="N660" s="17"/>
      <c r="P660" s="7"/>
      <c r="Q660" s="18"/>
    </row>
    <row r="661" spans="5:17" ht="14" x14ac:dyDescent="0.2">
      <c r="E661" s="1"/>
      <c r="F661" s="22"/>
      <c r="H661" s="24"/>
      <c r="I661" s="14"/>
      <c r="J661" s="15"/>
      <c r="K661" s="13"/>
      <c r="M661" s="3"/>
      <c r="N661" s="17"/>
      <c r="P661" s="7"/>
      <c r="Q661" s="18"/>
    </row>
    <row r="662" spans="5:17" ht="14" x14ac:dyDescent="0.2">
      <c r="E662" s="1"/>
      <c r="F662" s="22"/>
      <c r="H662" s="24"/>
      <c r="I662" s="14"/>
      <c r="J662" s="15"/>
      <c r="K662" s="13"/>
      <c r="M662" s="3"/>
      <c r="N662" s="17"/>
      <c r="P662" s="7"/>
      <c r="Q662" s="18"/>
    </row>
    <row r="663" spans="5:17" ht="14" x14ac:dyDescent="0.2">
      <c r="E663" s="1"/>
      <c r="F663" s="22"/>
      <c r="H663" s="24"/>
      <c r="I663" s="14"/>
      <c r="J663" s="15"/>
      <c r="K663" s="13"/>
      <c r="M663" s="3"/>
      <c r="N663" s="17"/>
      <c r="P663" s="7"/>
      <c r="Q663" s="18"/>
    </row>
    <row r="664" spans="5:17" ht="14" x14ac:dyDescent="0.2">
      <c r="E664" s="1"/>
      <c r="F664" s="22"/>
      <c r="H664" s="24"/>
      <c r="I664" s="14"/>
      <c r="J664" s="15"/>
      <c r="K664" s="13"/>
      <c r="M664" s="3"/>
      <c r="N664" s="17"/>
      <c r="P664" s="7"/>
      <c r="Q664" s="18"/>
    </row>
    <row r="665" spans="5:17" ht="14" x14ac:dyDescent="0.2">
      <c r="E665" s="1"/>
      <c r="F665" s="22"/>
      <c r="H665" s="24"/>
      <c r="I665" s="14"/>
      <c r="J665" s="15"/>
      <c r="K665" s="13"/>
      <c r="M665" s="3"/>
      <c r="N665" s="17"/>
      <c r="P665" s="7"/>
      <c r="Q665" s="18"/>
    </row>
    <row r="666" spans="5:17" ht="14" x14ac:dyDescent="0.2">
      <c r="E666" s="1"/>
      <c r="F666" s="22"/>
      <c r="H666" s="24"/>
      <c r="I666" s="14"/>
      <c r="J666" s="15"/>
      <c r="K666" s="13"/>
      <c r="M666" s="3"/>
      <c r="N666" s="17"/>
      <c r="P666" s="7"/>
      <c r="Q666" s="18"/>
    </row>
    <row r="667" spans="5:17" ht="14" x14ac:dyDescent="0.2">
      <c r="E667" s="1"/>
      <c r="F667" s="22"/>
      <c r="H667" s="24"/>
      <c r="I667" s="14"/>
      <c r="J667" s="15"/>
      <c r="K667" s="13"/>
      <c r="M667" s="3"/>
      <c r="N667" s="17"/>
      <c r="P667" s="7"/>
      <c r="Q667" s="18"/>
    </row>
    <row r="668" spans="5:17" ht="14" x14ac:dyDescent="0.2">
      <c r="E668" s="1"/>
      <c r="F668" s="22"/>
      <c r="H668" s="24"/>
      <c r="I668" s="14"/>
      <c r="J668" s="15"/>
      <c r="K668" s="13"/>
      <c r="M668" s="3"/>
      <c r="N668" s="17"/>
      <c r="P668" s="7"/>
      <c r="Q668" s="18"/>
    </row>
    <row r="669" spans="5:17" ht="14" x14ac:dyDescent="0.2">
      <c r="E669" s="1"/>
      <c r="F669" s="22"/>
      <c r="H669" s="24"/>
      <c r="I669" s="14"/>
      <c r="J669" s="15"/>
      <c r="K669" s="13"/>
      <c r="M669" s="3"/>
      <c r="N669" s="17"/>
      <c r="P669" s="7"/>
      <c r="Q669" s="18"/>
    </row>
    <row r="670" spans="5:17" ht="14" x14ac:dyDescent="0.2">
      <c r="E670" s="1"/>
      <c r="F670" s="22"/>
      <c r="H670" s="24"/>
      <c r="I670" s="14"/>
      <c r="J670" s="15"/>
      <c r="K670" s="13"/>
      <c r="M670" s="3"/>
      <c r="N670" s="17"/>
      <c r="P670" s="7"/>
      <c r="Q670" s="18"/>
    </row>
    <row r="671" spans="5:17" ht="14" x14ac:dyDescent="0.2">
      <c r="E671" s="1"/>
      <c r="F671" s="22"/>
      <c r="H671" s="24"/>
      <c r="I671" s="14"/>
      <c r="J671" s="15"/>
      <c r="K671" s="13"/>
      <c r="M671" s="3"/>
      <c r="N671" s="17"/>
      <c r="P671" s="7"/>
      <c r="Q671" s="18"/>
    </row>
    <row r="672" spans="5:17" ht="14" x14ac:dyDescent="0.2">
      <c r="E672" s="1"/>
      <c r="F672" s="22"/>
      <c r="H672" s="24"/>
      <c r="I672" s="14"/>
      <c r="J672" s="15"/>
      <c r="K672" s="13"/>
      <c r="M672" s="3"/>
      <c r="N672" s="17"/>
      <c r="P672" s="7"/>
      <c r="Q672" s="18"/>
    </row>
    <row r="673" spans="5:17" ht="14" x14ac:dyDescent="0.2">
      <c r="E673" s="1"/>
      <c r="F673" s="22"/>
      <c r="H673" s="24"/>
      <c r="I673" s="14"/>
      <c r="J673" s="15"/>
      <c r="K673" s="13"/>
      <c r="M673" s="3"/>
      <c r="N673" s="17"/>
      <c r="P673" s="7"/>
      <c r="Q673" s="18"/>
    </row>
    <row r="674" spans="5:17" ht="14" x14ac:dyDescent="0.2">
      <c r="E674" s="1"/>
      <c r="F674" s="22"/>
      <c r="H674" s="24"/>
      <c r="I674" s="14"/>
      <c r="J674" s="15"/>
      <c r="K674" s="13"/>
      <c r="M674" s="3"/>
      <c r="N674" s="17"/>
      <c r="P674" s="7"/>
      <c r="Q674" s="18"/>
    </row>
    <row r="675" spans="5:17" ht="14" x14ac:dyDescent="0.2">
      <c r="E675" s="1"/>
      <c r="F675" s="22"/>
      <c r="H675" s="24"/>
      <c r="I675" s="14"/>
      <c r="J675" s="15"/>
      <c r="K675" s="13"/>
      <c r="M675" s="3"/>
      <c r="N675" s="17"/>
      <c r="P675" s="7"/>
      <c r="Q675" s="18"/>
    </row>
    <row r="676" spans="5:17" ht="14" x14ac:dyDescent="0.2">
      <c r="E676" s="1"/>
      <c r="F676" s="22"/>
      <c r="H676" s="24"/>
      <c r="I676" s="14"/>
      <c r="J676" s="15"/>
      <c r="K676" s="13"/>
      <c r="M676" s="3"/>
      <c r="N676" s="17"/>
      <c r="P676" s="7"/>
      <c r="Q676" s="18"/>
    </row>
    <row r="677" spans="5:17" ht="14" x14ac:dyDescent="0.2">
      <c r="E677" s="1"/>
      <c r="F677" s="22"/>
      <c r="H677" s="24"/>
      <c r="I677" s="14"/>
      <c r="J677" s="15"/>
      <c r="K677" s="13"/>
      <c r="M677" s="3"/>
      <c r="N677" s="17"/>
      <c r="P677" s="7"/>
      <c r="Q677" s="18"/>
    </row>
    <row r="678" spans="5:17" ht="14" x14ac:dyDescent="0.2">
      <c r="E678" s="1"/>
      <c r="F678" s="22"/>
      <c r="H678" s="24"/>
      <c r="I678" s="14"/>
      <c r="J678" s="15"/>
      <c r="K678" s="13"/>
      <c r="M678" s="3"/>
      <c r="N678" s="17"/>
      <c r="P678" s="7"/>
      <c r="Q678" s="18"/>
    </row>
    <row r="679" spans="5:17" ht="14" x14ac:dyDescent="0.2">
      <c r="E679" s="1"/>
      <c r="F679" s="22"/>
      <c r="H679" s="24"/>
      <c r="I679" s="14"/>
      <c r="J679" s="15"/>
      <c r="K679" s="13"/>
      <c r="M679" s="3"/>
      <c r="N679" s="17"/>
      <c r="P679" s="7"/>
      <c r="Q679" s="18"/>
    </row>
    <row r="680" spans="5:17" ht="14" x14ac:dyDescent="0.2">
      <c r="E680" s="1"/>
      <c r="F680" s="22"/>
      <c r="H680" s="24"/>
      <c r="I680" s="14"/>
      <c r="J680" s="15"/>
      <c r="K680" s="13"/>
      <c r="M680" s="3"/>
      <c r="N680" s="17"/>
      <c r="P680" s="7"/>
      <c r="Q680" s="18"/>
    </row>
    <row r="681" spans="5:17" ht="14" x14ac:dyDescent="0.2">
      <c r="E681" s="1"/>
      <c r="F681" s="22"/>
      <c r="H681" s="24"/>
      <c r="I681" s="14"/>
      <c r="J681" s="15"/>
      <c r="K681" s="13"/>
      <c r="M681" s="3"/>
      <c r="N681" s="17"/>
      <c r="P681" s="7"/>
      <c r="Q681" s="18"/>
    </row>
    <row r="682" spans="5:17" ht="14" x14ac:dyDescent="0.2">
      <c r="E682" s="1"/>
      <c r="F682" s="22"/>
      <c r="H682" s="24"/>
      <c r="I682" s="14"/>
      <c r="J682" s="15"/>
      <c r="K682" s="13"/>
      <c r="M682" s="3"/>
      <c r="N682" s="17"/>
      <c r="P682" s="7"/>
      <c r="Q682" s="18"/>
    </row>
    <row r="683" spans="5:17" ht="14" x14ac:dyDescent="0.2">
      <c r="E683" s="1"/>
      <c r="F683" s="22"/>
      <c r="H683" s="24"/>
      <c r="I683" s="14"/>
      <c r="J683" s="15"/>
      <c r="K683" s="13"/>
      <c r="M683" s="3"/>
      <c r="N683" s="17"/>
      <c r="P683" s="7"/>
      <c r="Q683" s="18"/>
    </row>
    <row r="684" spans="5:17" ht="14" x14ac:dyDescent="0.2">
      <c r="E684" s="1"/>
      <c r="F684" s="22"/>
      <c r="H684" s="24"/>
      <c r="I684" s="14"/>
      <c r="J684" s="15"/>
      <c r="K684" s="13"/>
      <c r="M684" s="3"/>
      <c r="N684" s="17"/>
      <c r="P684" s="7"/>
      <c r="Q684" s="18"/>
    </row>
    <row r="685" spans="5:17" ht="14" x14ac:dyDescent="0.2">
      <c r="E685" s="1"/>
      <c r="F685" s="22"/>
      <c r="H685" s="24"/>
      <c r="I685" s="14"/>
      <c r="J685" s="15"/>
      <c r="K685" s="13"/>
      <c r="M685" s="3"/>
      <c r="N685" s="17"/>
      <c r="P685" s="7"/>
      <c r="Q685" s="18"/>
    </row>
    <row r="686" spans="5:17" ht="14" x14ac:dyDescent="0.2">
      <c r="E686" s="1"/>
      <c r="F686" s="22"/>
      <c r="H686" s="24"/>
      <c r="I686" s="14"/>
      <c r="J686" s="15"/>
      <c r="K686" s="13"/>
      <c r="M686" s="3"/>
      <c r="N686" s="17"/>
      <c r="P686" s="7"/>
      <c r="Q686" s="18"/>
    </row>
    <row r="687" spans="5:17" ht="14" x14ac:dyDescent="0.2">
      <c r="E687" s="1"/>
      <c r="F687" s="22"/>
      <c r="H687" s="24"/>
      <c r="I687" s="14"/>
      <c r="J687" s="15"/>
      <c r="K687" s="13"/>
      <c r="M687" s="3"/>
      <c r="N687" s="17"/>
      <c r="P687" s="7"/>
      <c r="Q687" s="18"/>
    </row>
    <row r="688" spans="5:17" ht="14" x14ac:dyDescent="0.2">
      <c r="E688" s="1"/>
      <c r="F688" s="22"/>
      <c r="H688" s="24"/>
      <c r="I688" s="14"/>
      <c r="J688" s="15"/>
      <c r="K688" s="13"/>
      <c r="M688" s="3"/>
      <c r="N688" s="17"/>
      <c r="P688" s="7"/>
      <c r="Q688" s="18"/>
    </row>
    <row r="689" spans="5:17" ht="14" x14ac:dyDescent="0.2">
      <c r="E689" s="1"/>
      <c r="F689" s="22"/>
      <c r="H689" s="24"/>
      <c r="I689" s="14"/>
      <c r="J689" s="15"/>
      <c r="K689" s="13"/>
      <c r="M689" s="3"/>
      <c r="N689" s="17"/>
      <c r="P689" s="7"/>
      <c r="Q689" s="18"/>
    </row>
    <row r="690" spans="5:17" ht="14" x14ac:dyDescent="0.2">
      <c r="E690" s="1"/>
      <c r="F690" s="22"/>
      <c r="H690" s="24"/>
      <c r="I690" s="14"/>
      <c r="J690" s="15"/>
      <c r="K690" s="13"/>
      <c r="M690" s="3"/>
      <c r="N690" s="17"/>
      <c r="P690" s="7"/>
      <c r="Q690" s="18"/>
    </row>
    <row r="691" spans="5:17" ht="14" x14ac:dyDescent="0.2">
      <c r="E691" s="1"/>
      <c r="F691" s="22"/>
      <c r="H691" s="24"/>
      <c r="I691" s="14"/>
      <c r="J691" s="15"/>
      <c r="K691" s="13"/>
      <c r="M691" s="3"/>
      <c r="N691" s="17"/>
      <c r="P691" s="7"/>
      <c r="Q691" s="18"/>
    </row>
    <row r="692" spans="5:17" ht="14" x14ac:dyDescent="0.2">
      <c r="E692" s="1"/>
      <c r="F692" s="22"/>
      <c r="H692" s="24"/>
      <c r="I692" s="14"/>
      <c r="J692" s="15"/>
      <c r="K692" s="13"/>
      <c r="M692" s="3"/>
      <c r="N692" s="17"/>
      <c r="P692" s="7"/>
      <c r="Q692" s="18"/>
    </row>
    <row r="693" spans="5:17" ht="14" x14ac:dyDescent="0.2">
      <c r="E693" s="1"/>
      <c r="F693" s="22"/>
      <c r="H693" s="24"/>
      <c r="I693" s="14"/>
      <c r="J693" s="15"/>
      <c r="K693" s="13"/>
      <c r="M693" s="3"/>
      <c r="N693" s="17"/>
      <c r="P693" s="7"/>
      <c r="Q693" s="18"/>
    </row>
    <row r="694" spans="5:17" ht="14" x14ac:dyDescent="0.2">
      <c r="E694" s="1"/>
      <c r="F694" s="22"/>
      <c r="H694" s="24"/>
      <c r="I694" s="14"/>
      <c r="J694" s="15"/>
      <c r="K694" s="13"/>
      <c r="M694" s="3"/>
      <c r="N694" s="17"/>
      <c r="P694" s="7"/>
      <c r="Q694" s="18"/>
    </row>
    <row r="695" spans="5:17" ht="14" x14ac:dyDescent="0.2">
      <c r="E695" s="1"/>
      <c r="F695" s="22"/>
      <c r="H695" s="24"/>
      <c r="I695" s="14"/>
      <c r="J695" s="15"/>
      <c r="K695" s="13"/>
      <c r="M695" s="3"/>
      <c r="N695" s="17"/>
      <c r="P695" s="7"/>
      <c r="Q695" s="18"/>
    </row>
    <row r="696" spans="5:17" ht="14" x14ac:dyDescent="0.2">
      <c r="E696" s="1"/>
      <c r="F696" s="22"/>
      <c r="H696" s="24"/>
      <c r="I696" s="14"/>
      <c r="J696" s="15"/>
      <c r="K696" s="13"/>
      <c r="M696" s="3"/>
      <c r="N696" s="17"/>
      <c r="P696" s="7"/>
      <c r="Q696" s="18"/>
    </row>
    <row r="697" spans="5:17" ht="14" x14ac:dyDescent="0.2">
      <c r="E697" s="1"/>
      <c r="F697" s="22"/>
      <c r="H697" s="24"/>
      <c r="I697" s="14"/>
      <c r="J697" s="15"/>
      <c r="K697" s="13"/>
      <c r="M697" s="3"/>
      <c r="N697" s="17"/>
      <c r="P697" s="7"/>
      <c r="Q697" s="18"/>
    </row>
    <row r="698" spans="5:17" ht="14" x14ac:dyDescent="0.2">
      <c r="E698" s="1"/>
      <c r="F698" s="22"/>
      <c r="H698" s="24"/>
      <c r="I698" s="14"/>
      <c r="J698" s="15"/>
      <c r="K698" s="13"/>
      <c r="M698" s="3"/>
      <c r="N698" s="17"/>
      <c r="P698" s="7"/>
      <c r="Q698" s="18"/>
    </row>
    <row r="699" spans="5:17" ht="14" x14ac:dyDescent="0.2">
      <c r="E699" s="1"/>
      <c r="F699" s="22"/>
      <c r="H699" s="24"/>
      <c r="I699" s="14"/>
      <c r="J699" s="15"/>
      <c r="K699" s="13"/>
      <c r="M699" s="3"/>
      <c r="N699" s="17"/>
      <c r="P699" s="7"/>
      <c r="Q699" s="18"/>
    </row>
    <row r="700" spans="5:17" ht="14" x14ac:dyDescent="0.2">
      <c r="E700" s="1"/>
      <c r="F700" s="22"/>
      <c r="H700" s="24"/>
      <c r="I700" s="14"/>
      <c r="J700" s="15"/>
      <c r="K700" s="13"/>
      <c r="M700" s="3"/>
      <c r="N700" s="17"/>
      <c r="P700" s="7"/>
      <c r="Q700" s="18"/>
    </row>
    <row r="701" spans="5:17" ht="14" x14ac:dyDescent="0.2">
      <c r="E701" s="1"/>
      <c r="F701" s="22"/>
      <c r="H701" s="24"/>
      <c r="I701" s="14"/>
      <c r="J701" s="15"/>
      <c r="K701" s="13"/>
      <c r="M701" s="3"/>
      <c r="N701" s="17"/>
      <c r="P701" s="7"/>
      <c r="Q701" s="18"/>
    </row>
    <row r="702" spans="5:17" ht="14" x14ac:dyDescent="0.2">
      <c r="E702" s="1"/>
      <c r="F702" s="22"/>
      <c r="H702" s="24"/>
      <c r="I702" s="14"/>
      <c r="J702" s="15"/>
      <c r="K702" s="13"/>
      <c r="M702" s="3"/>
      <c r="N702" s="17"/>
      <c r="P702" s="7"/>
      <c r="Q702" s="18"/>
    </row>
    <row r="703" spans="5:17" ht="14" x14ac:dyDescent="0.2">
      <c r="E703" s="1"/>
      <c r="F703" s="22"/>
      <c r="H703" s="24"/>
      <c r="I703" s="14"/>
      <c r="J703" s="15"/>
      <c r="K703" s="13"/>
      <c r="M703" s="3"/>
      <c r="N703" s="17"/>
      <c r="P703" s="7"/>
      <c r="Q703" s="18"/>
    </row>
    <row r="704" spans="5:17" ht="14" x14ac:dyDescent="0.2">
      <c r="E704" s="1"/>
      <c r="F704" s="22"/>
      <c r="H704" s="24"/>
      <c r="I704" s="14"/>
      <c r="J704" s="15"/>
      <c r="K704" s="13"/>
      <c r="M704" s="3"/>
      <c r="N704" s="17"/>
      <c r="P704" s="7"/>
      <c r="Q704" s="18"/>
    </row>
    <row r="705" spans="5:17" ht="14" x14ac:dyDescent="0.2">
      <c r="E705" s="1"/>
      <c r="F705" s="22"/>
      <c r="H705" s="24"/>
      <c r="I705" s="14"/>
      <c r="J705" s="15"/>
      <c r="K705" s="13"/>
      <c r="M705" s="3"/>
      <c r="N705" s="17"/>
      <c r="P705" s="7"/>
      <c r="Q705" s="18"/>
    </row>
    <row r="706" spans="5:17" ht="14" x14ac:dyDescent="0.2">
      <c r="E706" s="1"/>
      <c r="F706" s="22"/>
      <c r="H706" s="24"/>
      <c r="I706" s="14"/>
      <c r="J706" s="15"/>
      <c r="K706" s="13"/>
      <c r="M706" s="3"/>
      <c r="N706" s="17"/>
      <c r="P706" s="7"/>
      <c r="Q706" s="18"/>
    </row>
    <row r="707" spans="5:17" ht="14" x14ac:dyDescent="0.2">
      <c r="E707" s="1"/>
      <c r="F707" s="22"/>
      <c r="H707" s="24"/>
      <c r="I707" s="14"/>
      <c r="J707" s="15"/>
      <c r="K707" s="13"/>
      <c r="M707" s="3"/>
      <c r="N707" s="17"/>
      <c r="P707" s="7"/>
      <c r="Q707" s="18"/>
    </row>
    <row r="708" spans="5:17" ht="14" x14ac:dyDescent="0.2">
      <c r="E708" s="1"/>
      <c r="F708" s="22"/>
      <c r="H708" s="24"/>
      <c r="I708" s="14"/>
      <c r="J708" s="15"/>
      <c r="K708" s="13"/>
      <c r="M708" s="3"/>
      <c r="N708" s="17"/>
      <c r="P708" s="7"/>
      <c r="Q708" s="18"/>
    </row>
    <row r="709" spans="5:17" ht="14" x14ac:dyDescent="0.2">
      <c r="E709" s="1"/>
      <c r="F709" s="22"/>
      <c r="H709" s="24"/>
      <c r="I709" s="14"/>
      <c r="J709" s="15"/>
      <c r="K709" s="13"/>
      <c r="M709" s="3"/>
      <c r="N709" s="17"/>
      <c r="P709" s="7"/>
      <c r="Q709" s="18"/>
    </row>
    <row r="710" spans="5:17" ht="14" x14ac:dyDescent="0.2">
      <c r="E710" s="1"/>
      <c r="F710" s="22"/>
      <c r="H710" s="24"/>
      <c r="I710" s="14"/>
      <c r="J710" s="15"/>
      <c r="K710" s="13"/>
      <c r="M710" s="3"/>
      <c r="N710" s="17"/>
      <c r="P710" s="7"/>
      <c r="Q710" s="18"/>
    </row>
    <row r="711" spans="5:17" ht="14" x14ac:dyDescent="0.2">
      <c r="E711" s="1"/>
      <c r="F711" s="22"/>
      <c r="H711" s="24"/>
      <c r="I711" s="14"/>
      <c r="J711" s="15"/>
      <c r="K711" s="13"/>
      <c r="M711" s="3"/>
      <c r="N711" s="17"/>
      <c r="P711" s="7"/>
      <c r="Q711" s="18"/>
    </row>
    <row r="712" spans="5:17" ht="14" x14ac:dyDescent="0.2">
      <c r="E712" s="1"/>
      <c r="F712" s="22"/>
      <c r="H712" s="24"/>
      <c r="I712" s="14"/>
      <c r="J712" s="15"/>
      <c r="K712" s="13"/>
      <c r="M712" s="3"/>
      <c r="N712" s="17"/>
      <c r="P712" s="7"/>
      <c r="Q712" s="18"/>
    </row>
    <row r="713" spans="5:17" ht="14" x14ac:dyDescent="0.2">
      <c r="E713" s="1"/>
      <c r="F713" s="22"/>
      <c r="H713" s="24"/>
      <c r="I713" s="14"/>
      <c r="J713" s="15"/>
      <c r="K713" s="13"/>
      <c r="M713" s="3"/>
      <c r="N713" s="17"/>
      <c r="P713" s="7"/>
      <c r="Q713" s="18"/>
    </row>
    <row r="714" spans="5:17" ht="14" x14ac:dyDescent="0.2">
      <c r="E714" s="1"/>
      <c r="F714" s="22"/>
      <c r="H714" s="24"/>
      <c r="I714" s="14"/>
      <c r="J714" s="15"/>
      <c r="K714" s="13"/>
      <c r="M714" s="3"/>
      <c r="N714" s="17"/>
      <c r="P714" s="7"/>
      <c r="Q714" s="18"/>
    </row>
    <row r="715" spans="5:17" ht="14" x14ac:dyDescent="0.2">
      <c r="E715" s="1"/>
      <c r="F715" s="22"/>
      <c r="H715" s="24"/>
      <c r="I715" s="14"/>
      <c r="J715" s="15"/>
      <c r="K715" s="13"/>
      <c r="M715" s="3"/>
      <c r="N715" s="17"/>
      <c r="P715" s="7"/>
      <c r="Q715" s="18"/>
    </row>
    <row r="716" spans="5:17" ht="14" x14ac:dyDescent="0.2">
      <c r="E716" s="1"/>
      <c r="F716" s="22"/>
      <c r="H716" s="24"/>
      <c r="I716" s="14"/>
      <c r="J716" s="15"/>
      <c r="K716" s="13"/>
      <c r="M716" s="3"/>
      <c r="N716" s="17"/>
      <c r="P716" s="7"/>
      <c r="Q716" s="18"/>
    </row>
    <row r="717" spans="5:17" ht="14" x14ac:dyDescent="0.2">
      <c r="E717" s="1"/>
      <c r="F717" s="22"/>
      <c r="H717" s="24"/>
      <c r="I717" s="14"/>
      <c r="J717" s="15"/>
      <c r="K717" s="13"/>
      <c r="M717" s="3"/>
      <c r="N717" s="17"/>
      <c r="P717" s="7"/>
      <c r="Q717" s="18"/>
    </row>
    <row r="718" spans="5:17" ht="14" x14ac:dyDescent="0.2">
      <c r="E718" s="1"/>
      <c r="F718" s="22"/>
      <c r="H718" s="24"/>
      <c r="I718" s="14"/>
      <c r="J718" s="15"/>
      <c r="K718" s="13"/>
      <c r="M718" s="3"/>
      <c r="N718" s="17"/>
      <c r="P718" s="7"/>
      <c r="Q718" s="18"/>
    </row>
    <row r="719" spans="5:17" ht="14" x14ac:dyDescent="0.2">
      <c r="E719" s="1"/>
      <c r="F719" s="22"/>
      <c r="H719" s="24"/>
      <c r="I719" s="14"/>
      <c r="J719" s="15"/>
      <c r="K719" s="13"/>
      <c r="M719" s="3"/>
      <c r="N719" s="17"/>
      <c r="P719" s="7"/>
      <c r="Q719" s="18"/>
    </row>
    <row r="720" spans="5:17" ht="14" x14ac:dyDescent="0.2">
      <c r="E720" s="1"/>
      <c r="F720" s="22"/>
      <c r="H720" s="24"/>
      <c r="I720" s="14"/>
      <c r="J720" s="15"/>
      <c r="K720" s="13"/>
      <c r="M720" s="3"/>
      <c r="N720" s="17"/>
      <c r="P720" s="7"/>
      <c r="Q720" s="18"/>
    </row>
    <row r="721" spans="5:17" ht="14" x14ac:dyDescent="0.2">
      <c r="E721" s="1"/>
      <c r="F721" s="22"/>
      <c r="H721" s="24"/>
      <c r="I721" s="14"/>
      <c r="J721" s="15"/>
      <c r="K721" s="13"/>
      <c r="M721" s="3"/>
      <c r="N721" s="17"/>
      <c r="P721" s="7"/>
      <c r="Q721" s="18"/>
    </row>
    <row r="722" spans="5:17" ht="14" x14ac:dyDescent="0.2">
      <c r="E722" s="1"/>
      <c r="F722" s="22"/>
      <c r="H722" s="24"/>
      <c r="I722" s="14"/>
      <c r="J722" s="15"/>
      <c r="K722" s="13"/>
      <c r="M722" s="3"/>
      <c r="N722" s="17"/>
      <c r="P722" s="7"/>
      <c r="Q722" s="18"/>
    </row>
    <row r="723" spans="5:17" ht="14" x14ac:dyDescent="0.2">
      <c r="E723" s="1"/>
      <c r="F723" s="22"/>
      <c r="H723" s="24"/>
      <c r="I723" s="14"/>
      <c r="J723" s="15"/>
      <c r="K723" s="13"/>
      <c r="M723" s="3"/>
      <c r="N723" s="17"/>
      <c r="P723" s="7"/>
      <c r="Q723" s="18"/>
    </row>
    <row r="724" spans="5:17" ht="14" x14ac:dyDescent="0.2">
      <c r="E724" s="1"/>
      <c r="F724" s="22"/>
      <c r="H724" s="24"/>
      <c r="I724" s="14"/>
      <c r="J724" s="15"/>
      <c r="K724" s="13"/>
      <c r="M724" s="3"/>
      <c r="N724" s="17"/>
      <c r="P724" s="7"/>
      <c r="Q724" s="18"/>
    </row>
    <row r="725" spans="5:17" ht="14" x14ac:dyDescent="0.2">
      <c r="E725" s="1"/>
      <c r="F725" s="22"/>
      <c r="H725" s="24"/>
      <c r="I725" s="14"/>
      <c r="J725" s="15"/>
      <c r="K725" s="13"/>
      <c r="M725" s="3"/>
      <c r="N725" s="17"/>
      <c r="P725" s="7"/>
      <c r="Q725" s="18"/>
    </row>
    <row r="726" spans="5:17" ht="14" x14ac:dyDescent="0.2">
      <c r="E726" s="1"/>
      <c r="F726" s="22"/>
      <c r="H726" s="24"/>
      <c r="I726" s="14"/>
      <c r="J726" s="15"/>
      <c r="K726" s="13"/>
      <c r="M726" s="3"/>
      <c r="N726" s="17"/>
      <c r="P726" s="7"/>
      <c r="Q726" s="18"/>
    </row>
    <row r="727" spans="5:17" ht="14" x14ac:dyDescent="0.2">
      <c r="E727" s="1"/>
      <c r="F727" s="22"/>
      <c r="H727" s="24"/>
      <c r="I727" s="14"/>
      <c r="J727" s="15"/>
      <c r="K727" s="13"/>
      <c r="M727" s="3"/>
      <c r="N727" s="17"/>
      <c r="P727" s="7"/>
      <c r="Q727" s="18"/>
    </row>
    <row r="728" spans="5:17" ht="14" x14ac:dyDescent="0.2">
      <c r="E728" s="1"/>
      <c r="F728" s="22"/>
      <c r="H728" s="24"/>
      <c r="I728" s="14"/>
      <c r="J728" s="15"/>
      <c r="K728" s="13"/>
      <c r="M728" s="3"/>
      <c r="N728" s="17"/>
      <c r="P728" s="7"/>
      <c r="Q728" s="18"/>
    </row>
    <row r="729" spans="5:17" ht="14" x14ac:dyDescent="0.2">
      <c r="E729" s="1"/>
      <c r="F729" s="22"/>
      <c r="H729" s="24"/>
      <c r="I729" s="14"/>
      <c r="J729" s="15"/>
      <c r="K729" s="13"/>
      <c r="M729" s="3"/>
      <c r="N729" s="17"/>
      <c r="P729" s="7"/>
      <c r="Q729" s="18"/>
    </row>
    <row r="730" spans="5:17" ht="14" x14ac:dyDescent="0.2">
      <c r="E730" s="1"/>
      <c r="F730" s="22"/>
      <c r="H730" s="24"/>
      <c r="I730" s="14"/>
      <c r="J730" s="15"/>
      <c r="K730" s="13"/>
      <c r="M730" s="3"/>
      <c r="N730" s="17"/>
      <c r="P730" s="7"/>
      <c r="Q730" s="18"/>
    </row>
    <row r="731" spans="5:17" ht="14" x14ac:dyDescent="0.2">
      <c r="E731" s="1"/>
      <c r="F731" s="22"/>
      <c r="H731" s="24"/>
      <c r="I731" s="14"/>
      <c r="J731" s="15"/>
      <c r="K731" s="13"/>
      <c r="M731" s="3"/>
      <c r="N731" s="17"/>
      <c r="P731" s="7"/>
      <c r="Q731" s="18"/>
    </row>
    <row r="732" spans="5:17" ht="14" x14ac:dyDescent="0.2">
      <c r="E732" s="1"/>
      <c r="F732" s="22"/>
      <c r="H732" s="24"/>
      <c r="I732" s="14"/>
      <c r="J732" s="15"/>
      <c r="K732" s="13"/>
      <c r="M732" s="3"/>
      <c r="N732" s="17"/>
      <c r="P732" s="7"/>
      <c r="Q732" s="18"/>
    </row>
    <row r="733" spans="5:17" ht="14" x14ac:dyDescent="0.2">
      <c r="E733" s="1"/>
      <c r="F733" s="22"/>
      <c r="H733" s="24"/>
      <c r="I733" s="14"/>
      <c r="J733" s="15"/>
      <c r="K733" s="13"/>
      <c r="M733" s="3"/>
      <c r="N733" s="17"/>
      <c r="P733" s="7"/>
      <c r="Q733" s="18"/>
    </row>
    <row r="734" spans="5:17" ht="14" x14ac:dyDescent="0.2">
      <c r="E734" s="1"/>
      <c r="F734" s="22"/>
      <c r="H734" s="24"/>
      <c r="I734" s="14"/>
      <c r="J734" s="15"/>
      <c r="K734" s="13"/>
      <c r="M734" s="3"/>
      <c r="N734" s="17"/>
      <c r="P734" s="7"/>
      <c r="Q734" s="18"/>
    </row>
    <row r="735" spans="5:17" ht="14" x14ac:dyDescent="0.2">
      <c r="E735" s="1"/>
      <c r="F735" s="22"/>
      <c r="H735" s="24"/>
      <c r="I735" s="14"/>
      <c r="J735" s="15"/>
      <c r="K735" s="13"/>
      <c r="M735" s="3"/>
      <c r="N735" s="17"/>
      <c r="P735" s="7"/>
      <c r="Q735" s="18"/>
    </row>
    <row r="736" spans="5:17" ht="14" x14ac:dyDescent="0.2">
      <c r="E736" s="1"/>
      <c r="F736" s="22"/>
      <c r="H736" s="24"/>
      <c r="I736" s="14"/>
      <c r="J736" s="15"/>
      <c r="K736" s="13"/>
      <c r="M736" s="3"/>
      <c r="N736" s="17"/>
      <c r="P736" s="7"/>
      <c r="Q736" s="18"/>
    </row>
    <row r="737" spans="5:17" ht="14" x14ac:dyDescent="0.2">
      <c r="E737" s="1"/>
      <c r="F737" s="22"/>
      <c r="H737" s="24"/>
      <c r="I737" s="14"/>
      <c r="J737" s="15"/>
      <c r="K737" s="13"/>
      <c r="M737" s="3"/>
      <c r="N737" s="17"/>
      <c r="P737" s="7"/>
      <c r="Q737" s="18"/>
    </row>
    <row r="738" spans="5:17" ht="14" x14ac:dyDescent="0.2">
      <c r="E738" s="1"/>
      <c r="F738" s="22"/>
      <c r="H738" s="24"/>
      <c r="I738" s="14"/>
      <c r="J738" s="15"/>
      <c r="K738" s="13"/>
      <c r="M738" s="3"/>
      <c r="N738" s="17"/>
      <c r="P738" s="7"/>
      <c r="Q738" s="18"/>
    </row>
    <row r="739" spans="5:17" ht="14" x14ac:dyDescent="0.2">
      <c r="E739" s="1"/>
      <c r="F739" s="22"/>
      <c r="H739" s="24"/>
      <c r="I739" s="14"/>
      <c r="J739" s="15"/>
      <c r="K739" s="13"/>
      <c r="M739" s="3"/>
      <c r="N739" s="17"/>
      <c r="P739" s="7"/>
      <c r="Q739" s="18"/>
    </row>
    <row r="740" spans="5:17" ht="14" x14ac:dyDescent="0.2">
      <c r="E740" s="1"/>
      <c r="F740" s="22"/>
      <c r="H740" s="24"/>
      <c r="I740" s="14"/>
      <c r="J740" s="15"/>
      <c r="K740" s="13"/>
      <c r="M740" s="3"/>
      <c r="N740" s="17"/>
      <c r="P740" s="7"/>
      <c r="Q740" s="18"/>
    </row>
    <row r="741" spans="5:17" ht="14" x14ac:dyDescent="0.2">
      <c r="E741" s="1"/>
      <c r="F741" s="22"/>
      <c r="H741" s="24"/>
      <c r="I741" s="14"/>
      <c r="J741" s="15"/>
      <c r="K741" s="13"/>
      <c r="M741" s="3"/>
      <c r="N741" s="17"/>
      <c r="P741" s="7"/>
      <c r="Q741" s="18"/>
    </row>
    <row r="742" spans="5:17" ht="14" x14ac:dyDescent="0.2">
      <c r="E742" s="1"/>
      <c r="F742" s="22"/>
      <c r="H742" s="24"/>
      <c r="I742" s="14"/>
      <c r="J742" s="15"/>
      <c r="K742" s="13"/>
      <c r="M742" s="3"/>
      <c r="N742" s="17"/>
      <c r="P742" s="7"/>
      <c r="Q742" s="18"/>
    </row>
    <row r="743" spans="5:17" ht="14" x14ac:dyDescent="0.2">
      <c r="E743" s="1"/>
      <c r="F743" s="22"/>
      <c r="H743" s="24"/>
      <c r="I743" s="14"/>
      <c r="J743" s="15"/>
      <c r="K743" s="13"/>
      <c r="M743" s="3"/>
      <c r="N743" s="17"/>
      <c r="P743" s="7"/>
      <c r="Q743" s="18"/>
    </row>
    <row r="744" spans="5:17" ht="14" x14ac:dyDescent="0.2">
      <c r="E744" s="1"/>
      <c r="F744" s="22"/>
      <c r="H744" s="24"/>
      <c r="I744" s="14"/>
      <c r="J744" s="15"/>
      <c r="K744" s="13"/>
      <c r="M744" s="3"/>
      <c r="N744" s="17"/>
      <c r="P744" s="7"/>
      <c r="Q744" s="18"/>
    </row>
    <row r="745" spans="5:17" ht="14" x14ac:dyDescent="0.2">
      <c r="E745" s="1"/>
      <c r="F745" s="22"/>
      <c r="H745" s="24"/>
      <c r="I745" s="14"/>
      <c r="J745" s="15"/>
      <c r="K745" s="13"/>
      <c r="M745" s="3"/>
      <c r="N745" s="17"/>
      <c r="P745" s="7"/>
      <c r="Q745" s="18"/>
    </row>
    <row r="746" spans="5:17" ht="14" x14ac:dyDescent="0.2">
      <c r="E746" s="1"/>
      <c r="F746" s="22"/>
      <c r="H746" s="24"/>
      <c r="I746" s="14"/>
      <c r="J746" s="15"/>
      <c r="K746" s="13"/>
      <c r="M746" s="3"/>
      <c r="N746" s="17"/>
      <c r="P746" s="7"/>
      <c r="Q746" s="18"/>
    </row>
    <row r="747" spans="5:17" ht="14" x14ac:dyDescent="0.2">
      <c r="E747" s="1"/>
      <c r="F747" s="22"/>
      <c r="H747" s="24"/>
      <c r="I747" s="14"/>
      <c r="J747" s="15"/>
      <c r="K747" s="13"/>
      <c r="M747" s="3"/>
      <c r="N747" s="17"/>
      <c r="P747" s="7"/>
      <c r="Q747" s="18"/>
    </row>
    <row r="748" spans="5:17" ht="14" x14ac:dyDescent="0.2">
      <c r="E748" s="1"/>
      <c r="F748" s="22"/>
      <c r="H748" s="24"/>
      <c r="I748" s="14"/>
      <c r="J748" s="15"/>
      <c r="K748" s="13"/>
      <c r="M748" s="3"/>
      <c r="N748" s="17"/>
      <c r="P748" s="7"/>
      <c r="Q748" s="18"/>
    </row>
    <row r="749" spans="5:17" ht="14" x14ac:dyDescent="0.2">
      <c r="E749" s="1"/>
      <c r="F749" s="22"/>
      <c r="H749" s="24"/>
      <c r="I749" s="14"/>
      <c r="J749" s="15"/>
      <c r="K749" s="13"/>
      <c r="M749" s="3"/>
      <c r="N749" s="17"/>
      <c r="P749" s="7"/>
      <c r="Q749" s="18"/>
    </row>
    <row r="750" spans="5:17" ht="14" x14ac:dyDescent="0.2">
      <c r="E750" s="1"/>
      <c r="F750" s="22"/>
      <c r="H750" s="24"/>
      <c r="I750" s="14"/>
      <c r="J750" s="15"/>
      <c r="K750" s="13"/>
      <c r="M750" s="3"/>
      <c r="N750" s="17"/>
      <c r="P750" s="7"/>
      <c r="Q750" s="18"/>
    </row>
    <row r="751" spans="5:17" ht="14" x14ac:dyDescent="0.2">
      <c r="E751" s="1"/>
      <c r="F751" s="22"/>
      <c r="H751" s="24"/>
      <c r="I751" s="14"/>
      <c r="J751" s="15"/>
      <c r="K751" s="13"/>
      <c r="M751" s="3"/>
      <c r="N751" s="17"/>
      <c r="P751" s="7"/>
      <c r="Q751" s="18"/>
    </row>
    <row r="752" spans="5:17" ht="14" x14ac:dyDescent="0.2">
      <c r="E752" s="1"/>
      <c r="F752" s="22"/>
      <c r="H752" s="24"/>
      <c r="I752" s="14"/>
      <c r="J752" s="15"/>
      <c r="K752" s="13"/>
      <c r="M752" s="3"/>
      <c r="N752" s="17"/>
      <c r="P752" s="7"/>
      <c r="Q752" s="18"/>
    </row>
    <row r="753" spans="5:17" ht="14" x14ac:dyDescent="0.2">
      <c r="E753" s="1"/>
      <c r="F753" s="22"/>
      <c r="H753" s="24"/>
      <c r="I753" s="14"/>
      <c r="J753" s="15"/>
      <c r="K753" s="13"/>
      <c r="M753" s="3"/>
      <c r="N753" s="17"/>
      <c r="P753" s="7"/>
      <c r="Q753" s="18"/>
    </row>
    <row r="754" spans="5:17" ht="14" x14ac:dyDescent="0.2">
      <c r="E754" s="1"/>
      <c r="F754" s="22"/>
      <c r="H754" s="24"/>
      <c r="I754" s="14"/>
      <c r="J754" s="15"/>
      <c r="K754" s="13"/>
      <c r="M754" s="3"/>
      <c r="N754" s="17"/>
      <c r="P754" s="7"/>
      <c r="Q754" s="18"/>
    </row>
    <row r="755" spans="5:17" ht="14" x14ac:dyDescent="0.2">
      <c r="E755" s="1"/>
      <c r="F755" s="22"/>
      <c r="H755" s="24"/>
      <c r="I755" s="14"/>
      <c r="J755" s="15"/>
      <c r="K755" s="13"/>
      <c r="M755" s="3"/>
      <c r="N755" s="17"/>
      <c r="P755" s="7"/>
      <c r="Q755" s="18"/>
    </row>
    <row r="756" spans="5:17" ht="14" x14ac:dyDescent="0.2">
      <c r="E756" s="1"/>
      <c r="F756" s="22"/>
      <c r="H756" s="24"/>
      <c r="I756" s="14"/>
      <c r="J756" s="15"/>
      <c r="K756" s="13"/>
      <c r="M756" s="3"/>
      <c r="N756" s="17"/>
      <c r="P756" s="7"/>
      <c r="Q756" s="18"/>
    </row>
    <row r="757" spans="5:17" ht="14" x14ac:dyDescent="0.2">
      <c r="E757" s="1"/>
      <c r="F757" s="22"/>
      <c r="H757" s="24"/>
      <c r="I757" s="14"/>
      <c r="J757" s="15"/>
      <c r="K757" s="13"/>
      <c r="M757" s="3"/>
      <c r="N757" s="17"/>
      <c r="P757" s="7"/>
      <c r="Q757" s="18"/>
    </row>
    <row r="758" spans="5:17" ht="14" x14ac:dyDescent="0.2">
      <c r="E758" s="1"/>
      <c r="F758" s="22"/>
      <c r="H758" s="24"/>
      <c r="I758" s="14"/>
      <c r="J758" s="15"/>
      <c r="K758" s="13"/>
      <c r="M758" s="3"/>
      <c r="N758" s="17"/>
      <c r="P758" s="7"/>
      <c r="Q758" s="18"/>
    </row>
    <row r="759" spans="5:17" ht="14" x14ac:dyDescent="0.2">
      <c r="E759" s="1"/>
      <c r="F759" s="22"/>
      <c r="H759" s="24"/>
      <c r="I759" s="14"/>
      <c r="J759" s="15"/>
      <c r="K759" s="13"/>
      <c r="M759" s="3"/>
      <c r="N759" s="17"/>
      <c r="P759" s="7"/>
      <c r="Q759" s="18"/>
    </row>
    <row r="760" spans="5:17" ht="14" x14ac:dyDescent="0.2">
      <c r="E760" s="1"/>
      <c r="F760" s="22"/>
      <c r="H760" s="24"/>
      <c r="I760" s="14"/>
      <c r="J760" s="15"/>
      <c r="K760" s="13"/>
      <c r="M760" s="3"/>
      <c r="N760" s="17"/>
      <c r="P760" s="7"/>
      <c r="Q760" s="18"/>
    </row>
    <row r="761" spans="5:17" ht="14" x14ac:dyDescent="0.2">
      <c r="E761" s="1"/>
      <c r="F761" s="22"/>
      <c r="H761" s="24"/>
      <c r="I761" s="14"/>
      <c r="J761" s="15"/>
      <c r="K761" s="13"/>
      <c r="M761" s="3"/>
      <c r="N761" s="17"/>
      <c r="P761" s="7"/>
      <c r="Q761" s="18"/>
    </row>
    <row r="762" spans="5:17" ht="14" x14ac:dyDescent="0.2">
      <c r="E762" s="1"/>
      <c r="F762" s="22"/>
      <c r="H762" s="24"/>
      <c r="I762" s="14"/>
      <c r="J762" s="15"/>
      <c r="K762" s="13"/>
      <c r="M762" s="3"/>
      <c r="N762" s="17"/>
      <c r="P762" s="7"/>
      <c r="Q762" s="18"/>
    </row>
    <row r="763" spans="5:17" ht="14" x14ac:dyDescent="0.2">
      <c r="E763" s="1"/>
      <c r="F763" s="22"/>
      <c r="H763" s="24"/>
      <c r="I763" s="14"/>
      <c r="J763" s="15"/>
      <c r="K763" s="13"/>
      <c r="M763" s="3"/>
      <c r="N763" s="17"/>
      <c r="P763" s="7"/>
      <c r="Q763" s="18"/>
    </row>
    <row r="764" spans="5:17" ht="14" x14ac:dyDescent="0.2">
      <c r="E764" s="1"/>
      <c r="F764" s="22"/>
      <c r="H764" s="24"/>
      <c r="I764" s="14"/>
      <c r="J764" s="15"/>
      <c r="K764" s="13"/>
      <c r="M764" s="3"/>
      <c r="N764" s="17"/>
      <c r="P764" s="7"/>
      <c r="Q764" s="18"/>
    </row>
    <row r="765" spans="5:17" ht="14" x14ac:dyDescent="0.2">
      <c r="E765" s="1"/>
      <c r="F765" s="22"/>
      <c r="H765" s="24"/>
      <c r="I765" s="14"/>
      <c r="J765" s="15"/>
      <c r="K765" s="13"/>
      <c r="M765" s="3"/>
      <c r="N765" s="17"/>
      <c r="P765" s="7"/>
      <c r="Q765" s="18"/>
    </row>
    <row r="766" spans="5:17" ht="14" x14ac:dyDescent="0.2">
      <c r="E766" s="1"/>
      <c r="F766" s="22"/>
      <c r="H766" s="24"/>
      <c r="I766" s="14"/>
      <c r="J766" s="15"/>
      <c r="K766" s="13"/>
      <c r="M766" s="3"/>
      <c r="N766" s="17"/>
      <c r="P766" s="7"/>
      <c r="Q766" s="18"/>
    </row>
    <row r="767" spans="5:17" ht="14" x14ac:dyDescent="0.2">
      <c r="E767" s="1"/>
      <c r="F767" s="22"/>
      <c r="H767" s="24"/>
      <c r="I767" s="14"/>
      <c r="J767" s="15"/>
      <c r="K767" s="13"/>
      <c r="M767" s="3"/>
      <c r="N767" s="17"/>
      <c r="P767" s="7"/>
      <c r="Q767" s="18"/>
    </row>
    <row r="768" spans="5:17" ht="14" x14ac:dyDescent="0.2">
      <c r="E768" s="1"/>
      <c r="F768" s="22"/>
      <c r="H768" s="24"/>
      <c r="I768" s="14"/>
      <c r="J768" s="15"/>
      <c r="K768" s="13"/>
      <c r="M768" s="3"/>
      <c r="N768" s="17"/>
      <c r="P768" s="7"/>
      <c r="Q768" s="18"/>
    </row>
    <row r="769" spans="5:17" ht="14" x14ac:dyDescent="0.2">
      <c r="E769" s="1"/>
      <c r="F769" s="22"/>
      <c r="H769" s="24"/>
      <c r="I769" s="14"/>
      <c r="J769" s="15"/>
      <c r="K769" s="13"/>
      <c r="M769" s="3"/>
      <c r="N769" s="17"/>
      <c r="P769" s="7"/>
      <c r="Q769" s="18"/>
    </row>
    <row r="770" spans="5:17" ht="14" x14ac:dyDescent="0.2">
      <c r="E770" s="1"/>
      <c r="F770" s="22"/>
      <c r="H770" s="24"/>
      <c r="I770" s="14"/>
      <c r="J770" s="15"/>
      <c r="K770" s="13"/>
      <c r="M770" s="3"/>
      <c r="N770" s="17"/>
      <c r="P770" s="7"/>
      <c r="Q770" s="18"/>
    </row>
    <row r="771" spans="5:17" ht="14" x14ac:dyDescent="0.2">
      <c r="E771" s="1"/>
      <c r="F771" s="22"/>
      <c r="H771" s="24"/>
      <c r="I771" s="14"/>
      <c r="J771" s="15"/>
      <c r="K771" s="13"/>
      <c r="M771" s="3"/>
      <c r="N771" s="17"/>
      <c r="P771" s="7"/>
      <c r="Q771" s="18"/>
    </row>
    <row r="772" spans="5:17" ht="14" x14ac:dyDescent="0.2">
      <c r="E772" s="1"/>
      <c r="F772" s="22"/>
      <c r="H772" s="24"/>
      <c r="I772" s="14"/>
      <c r="J772" s="15"/>
      <c r="K772" s="13"/>
      <c r="M772" s="3"/>
      <c r="N772" s="17"/>
      <c r="P772" s="7"/>
      <c r="Q772" s="18"/>
    </row>
    <row r="773" spans="5:17" ht="14" x14ac:dyDescent="0.2">
      <c r="E773" s="1"/>
      <c r="F773" s="22"/>
      <c r="H773" s="24"/>
      <c r="I773" s="14"/>
      <c r="J773" s="15"/>
      <c r="K773" s="13"/>
      <c r="M773" s="3"/>
      <c r="N773" s="17"/>
      <c r="P773" s="7"/>
      <c r="Q773" s="18"/>
    </row>
    <row r="774" spans="5:17" ht="14" x14ac:dyDescent="0.2">
      <c r="E774" s="1"/>
      <c r="F774" s="22"/>
      <c r="H774" s="24"/>
      <c r="I774" s="14"/>
      <c r="J774" s="15"/>
      <c r="K774" s="13"/>
      <c r="M774" s="3"/>
      <c r="N774" s="17"/>
      <c r="P774" s="7"/>
      <c r="Q774" s="18"/>
    </row>
    <row r="775" spans="5:17" ht="14" x14ac:dyDescent="0.2">
      <c r="E775" s="1"/>
      <c r="F775" s="22"/>
      <c r="H775" s="24"/>
      <c r="I775" s="14"/>
      <c r="J775" s="15"/>
      <c r="K775" s="13"/>
      <c r="M775" s="3"/>
      <c r="N775" s="17"/>
      <c r="P775" s="7"/>
      <c r="Q775" s="18"/>
    </row>
    <row r="776" spans="5:17" ht="14" x14ac:dyDescent="0.2">
      <c r="E776" s="1"/>
      <c r="F776" s="22"/>
      <c r="H776" s="24"/>
      <c r="I776" s="14"/>
      <c r="J776" s="15"/>
      <c r="K776" s="13"/>
      <c r="M776" s="3"/>
      <c r="N776" s="17"/>
      <c r="P776" s="7"/>
      <c r="Q776" s="18"/>
    </row>
    <row r="777" spans="5:17" ht="14" x14ac:dyDescent="0.2">
      <c r="E777" s="1"/>
      <c r="F777" s="22"/>
      <c r="H777" s="24"/>
      <c r="I777" s="14"/>
      <c r="J777" s="15"/>
      <c r="K777" s="13"/>
      <c r="M777" s="3"/>
      <c r="N777" s="17"/>
      <c r="P777" s="7"/>
      <c r="Q777" s="18"/>
    </row>
    <row r="778" spans="5:17" ht="14" x14ac:dyDescent="0.2">
      <c r="E778" s="1"/>
      <c r="F778" s="22"/>
      <c r="H778" s="24"/>
      <c r="I778" s="14"/>
      <c r="J778" s="15"/>
      <c r="K778" s="13"/>
      <c r="M778" s="3"/>
      <c r="N778" s="17"/>
      <c r="P778" s="7"/>
      <c r="Q778" s="18"/>
    </row>
    <row r="779" spans="5:17" ht="14" x14ac:dyDescent="0.2">
      <c r="E779" s="1"/>
      <c r="F779" s="22"/>
      <c r="H779" s="24"/>
      <c r="I779" s="14"/>
      <c r="J779" s="15"/>
      <c r="K779" s="13"/>
      <c r="M779" s="3"/>
      <c r="N779" s="17"/>
      <c r="P779" s="7"/>
      <c r="Q779" s="18"/>
    </row>
    <row r="780" spans="5:17" ht="14" x14ac:dyDescent="0.2">
      <c r="E780" s="1"/>
      <c r="F780" s="22"/>
      <c r="H780" s="24"/>
      <c r="I780" s="14"/>
      <c r="J780" s="15"/>
      <c r="K780" s="13"/>
      <c r="M780" s="3"/>
      <c r="N780" s="17"/>
      <c r="P780" s="7"/>
      <c r="Q780" s="18"/>
    </row>
    <row r="781" spans="5:17" ht="14" x14ac:dyDescent="0.2">
      <c r="E781" s="1"/>
      <c r="F781" s="22"/>
      <c r="H781" s="24"/>
      <c r="I781" s="14"/>
      <c r="J781" s="15"/>
      <c r="K781" s="13"/>
      <c r="M781" s="3"/>
      <c r="N781" s="17"/>
      <c r="P781" s="7"/>
      <c r="Q781" s="18"/>
    </row>
    <row r="782" spans="5:17" ht="14" x14ac:dyDescent="0.2">
      <c r="E782" s="1"/>
      <c r="F782" s="22"/>
      <c r="H782" s="24"/>
      <c r="I782" s="14"/>
      <c r="J782" s="15"/>
      <c r="K782" s="13"/>
      <c r="M782" s="3"/>
      <c r="N782" s="17"/>
      <c r="P782" s="7"/>
      <c r="Q782" s="18"/>
    </row>
    <row r="783" spans="5:17" ht="14" x14ac:dyDescent="0.2">
      <c r="E783" s="1"/>
      <c r="F783" s="22"/>
      <c r="H783" s="24"/>
      <c r="I783" s="14"/>
      <c r="J783" s="15"/>
      <c r="K783" s="13"/>
      <c r="M783" s="3"/>
      <c r="N783" s="17"/>
      <c r="P783" s="7"/>
      <c r="Q783" s="18"/>
    </row>
    <row r="784" spans="5:17" ht="14" x14ac:dyDescent="0.2">
      <c r="E784" s="1"/>
      <c r="F784" s="22"/>
      <c r="H784" s="24"/>
      <c r="I784" s="14"/>
      <c r="J784" s="15"/>
      <c r="K784" s="13"/>
      <c r="M784" s="3"/>
      <c r="N784" s="17"/>
      <c r="P784" s="7"/>
      <c r="Q784" s="18"/>
    </row>
    <row r="785" spans="5:17" ht="14" x14ac:dyDescent="0.2">
      <c r="E785" s="1"/>
      <c r="F785" s="22"/>
      <c r="H785" s="24"/>
      <c r="I785" s="14"/>
      <c r="J785" s="15"/>
      <c r="K785" s="13"/>
      <c r="M785" s="3"/>
      <c r="N785" s="17"/>
      <c r="P785" s="7"/>
      <c r="Q785" s="18"/>
    </row>
    <row r="786" spans="5:17" ht="14" x14ac:dyDescent="0.2">
      <c r="E786" s="1"/>
      <c r="F786" s="22"/>
      <c r="H786" s="24"/>
      <c r="I786" s="14"/>
      <c r="J786" s="15"/>
      <c r="K786" s="13"/>
      <c r="M786" s="3"/>
      <c r="N786" s="17"/>
      <c r="P786" s="7"/>
      <c r="Q786" s="18"/>
    </row>
    <row r="787" spans="5:17" ht="14" x14ac:dyDescent="0.2">
      <c r="E787" s="1"/>
      <c r="F787" s="22"/>
      <c r="H787" s="24"/>
      <c r="I787" s="14"/>
      <c r="J787" s="15"/>
      <c r="K787" s="13"/>
      <c r="M787" s="3"/>
      <c r="N787" s="17"/>
      <c r="P787" s="7"/>
      <c r="Q787" s="18"/>
    </row>
    <row r="788" spans="5:17" ht="14" x14ac:dyDescent="0.2">
      <c r="E788" s="1"/>
      <c r="F788" s="22"/>
      <c r="H788" s="24"/>
      <c r="I788" s="14"/>
      <c r="J788" s="15"/>
      <c r="K788" s="13"/>
      <c r="M788" s="3"/>
      <c r="N788" s="17"/>
      <c r="P788" s="7"/>
      <c r="Q788" s="18"/>
    </row>
    <row r="789" spans="5:17" ht="14" x14ac:dyDescent="0.2">
      <c r="E789" s="1"/>
      <c r="F789" s="22"/>
      <c r="H789" s="24"/>
      <c r="I789" s="14"/>
      <c r="J789" s="15"/>
      <c r="K789" s="13"/>
      <c r="M789" s="3"/>
      <c r="N789" s="17"/>
      <c r="P789" s="7"/>
      <c r="Q789" s="18"/>
    </row>
    <row r="790" spans="5:17" ht="14" x14ac:dyDescent="0.2">
      <c r="E790" s="1"/>
      <c r="F790" s="22"/>
      <c r="H790" s="24"/>
      <c r="I790" s="14"/>
      <c r="J790" s="15"/>
      <c r="K790" s="13"/>
      <c r="M790" s="3"/>
      <c r="N790" s="17"/>
      <c r="P790" s="7"/>
      <c r="Q790" s="18"/>
    </row>
    <row r="791" spans="5:17" ht="14" x14ac:dyDescent="0.2">
      <c r="E791" s="1"/>
      <c r="F791" s="22"/>
      <c r="H791" s="24"/>
      <c r="I791" s="14"/>
      <c r="J791" s="15"/>
      <c r="K791" s="13"/>
      <c r="M791" s="3"/>
      <c r="N791" s="17"/>
      <c r="P791" s="7"/>
      <c r="Q791" s="18"/>
    </row>
    <row r="792" spans="5:17" ht="14" x14ac:dyDescent="0.2">
      <c r="E792" s="1"/>
      <c r="F792" s="22"/>
      <c r="H792" s="24"/>
      <c r="I792" s="14"/>
      <c r="J792" s="15"/>
      <c r="K792" s="13"/>
      <c r="M792" s="3"/>
      <c r="N792" s="17"/>
      <c r="P792" s="7"/>
      <c r="Q792" s="18"/>
    </row>
    <row r="793" spans="5:17" ht="14" x14ac:dyDescent="0.2">
      <c r="E793" s="1"/>
      <c r="F793" s="22"/>
      <c r="H793" s="24"/>
      <c r="I793" s="14"/>
      <c r="J793" s="15"/>
      <c r="K793" s="13"/>
      <c r="M793" s="3"/>
      <c r="N793" s="17"/>
      <c r="P793" s="7"/>
      <c r="Q793" s="18"/>
    </row>
    <row r="794" spans="5:17" ht="14" x14ac:dyDescent="0.2">
      <c r="E794" s="1"/>
      <c r="F794" s="22"/>
      <c r="H794" s="24"/>
      <c r="I794" s="14"/>
      <c r="J794" s="15"/>
      <c r="K794" s="13"/>
      <c r="M794" s="3"/>
      <c r="N794" s="17"/>
      <c r="P794" s="7"/>
      <c r="Q794" s="18"/>
    </row>
    <row r="795" spans="5:17" ht="14" x14ac:dyDescent="0.2">
      <c r="E795" s="1"/>
      <c r="F795" s="22"/>
      <c r="H795" s="24"/>
      <c r="I795" s="14"/>
      <c r="J795" s="15"/>
      <c r="K795" s="13"/>
      <c r="M795" s="3"/>
      <c r="N795" s="17"/>
      <c r="P795" s="7"/>
      <c r="Q795" s="18"/>
    </row>
    <row r="796" spans="5:17" ht="14" x14ac:dyDescent="0.2">
      <c r="E796" s="1"/>
      <c r="F796" s="22"/>
      <c r="H796" s="24"/>
      <c r="I796" s="14"/>
      <c r="J796" s="15"/>
      <c r="K796" s="13"/>
      <c r="M796" s="3"/>
      <c r="N796" s="17"/>
      <c r="P796" s="7"/>
      <c r="Q796" s="18"/>
    </row>
    <row r="797" spans="5:17" ht="14" x14ac:dyDescent="0.2">
      <c r="E797" s="1"/>
      <c r="F797" s="22"/>
      <c r="H797" s="24"/>
      <c r="I797" s="14"/>
      <c r="J797" s="15"/>
      <c r="K797" s="13"/>
      <c r="M797" s="3"/>
      <c r="N797" s="17"/>
      <c r="P797" s="7"/>
      <c r="Q797" s="18"/>
    </row>
    <row r="798" spans="5:17" ht="14" x14ac:dyDescent="0.2">
      <c r="E798" s="1"/>
      <c r="F798" s="22"/>
      <c r="H798" s="24"/>
      <c r="I798" s="14"/>
      <c r="J798" s="15"/>
      <c r="K798" s="13"/>
      <c r="M798" s="3"/>
      <c r="N798" s="17"/>
      <c r="P798" s="7"/>
      <c r="Q798" s="18"/>
    </row>
    <row r="799" spans="5:17" ht="14" x14ac:dyDescent="0.2">
      <c r="E799" s="1"/>
      <c r="F799" s="22"/>
      <c r="H799" s="24"/>
      <c r="I799" s="14"/>
      <c r="J799" s="15"/>
      <c r="K799" s="13"/>
      <c r="M799" s="3"/>
      <c r="N799" s="17"/>
      <c r="P799" s="7"/>
      <c r="Q799" s="18"/>
    </row>
    <row r="800" spans="5:17" ht="14" x14ac:dyDescent="0.2">
      <c r="E800" s="1"/>
      <c r="F800" s="22"/>
      <c r="H800" s="24"/>
      <c r="I800" s="14"/>
      <c r="J800" s="15"/>
      <c r="K800" s="13"/>
      <c r="M800" s="3"/>
      <c r="N800" s="17"/>
      <c r="P800" s="7"/>
      <c r="Q800" s="18"/>
    </row>
    <row r="801" spans="5:17" ht="14" x14ac:dyDescent="0.2">
      <c r="E801" s="1"/>
      <c r="F801" s="22"/>
      <c r="H801" s="24"/>
      <c r="I801" s="14"/>
      <c r="J801" s="15"/>
      <c r="K801" s="13"/>
      <c r="M801" s="3"/>
      <c r="N801" s="17"/>
      <c r="P801" s="7"/>
      <c r="Q801" s="18"/>
    </row>
    <row r="802" spans="5:17" ht="14" x14ac:dyDescent="0.2">
      <c r="E802" s="1"/>
      <c r="F802" s="22"/>
      <c r="H802" s="24"/>
      <c r="I802" s="14"/>
      <c r="J802" s="15"/>
      <c r="K802" s="13"/>
      <c r="M802" s="3"/>
      <c r="N802" s="17"/>
      <c r="P802" s="7"/>
      <c r="Q802" s="18"/>
    </row>
    <row r="803" spans="5:17" ht="14" x14ac:dyDescent="0.2">
      <c r="E803" s="1"/>
      <c r="F803" s="22"/>
      <c r="H803" s="24"/>
      <c r="I803" s="14"/>
      <c r="J803" s="15"/>
      <c r="K803" s="13"/>
      <c r="M803" s="3"/>
      <c r="N803" s="17"/>
      <c r="P803" s="7"/>
      <c r="Q803" s="18"/>
    </row>
    <row r="804" spans="5:17" ht="14" x14ac:dyDescent="0.2">
      <c r="E804" s="1"/>
      <c r="F804" s="22"/>
      <c r="H804" s="24"/>
      <c r="I804" s="14"/>
      <c r="J804" s="15"/>
      <c r="K804" s="13"/>
      <c r="M804" s="3"/>
      <c r="N804" s="17"/>
      <c r="P804" s="7"/>
      <c r="Q804" s="18"/>
    </row>
    <row r="805" spans="5:17" ht="14" x14ac:dyDescent="0.2">
      <c r="E805" s="1"/>
      <c r="F805" s="22"/>
      <c r="H805" s="24"/>
      <c r="I805" s="14"/>
      <c r="J805" s="15"/>
      <c r="K805" s="13"/>
      <c r="M805" s="3"/>
      <c r="N805" s="17"/>
      <c r="P805" s="7"/>
      <c r="Q805" s="18"/>
    </row>
    <row r="806" spans="5:17" ht="14" x14ac:dyDescent="0.2">
      <c r="E806" s="1"/>
      <c r="F806" s="22"/>
      <c r="H806" s="24"/>
      <c r="I806" s="14"/>
      <c r="J806" s="15"/>
      <c r="K806" s="13"/>
      <c r="M806" s="3"/>
      <c r="N806" s="17"/>
      <c r="P806" s="7"/>
      <c r="Q806" s="18"/>
    </row>
    <row r="807" spans="5:17" ht="14" x14ac:dyDescent="0.2">
      <c r="E807" s="1"/>
      <c r="F807" s="22"/>
      <c r="H807" s="24"/>
      <c r="I807" s="14"/>
      <c r="J807" s="15"/>
      <c r="K807" s="13"/>
      <c r="M807" s="3"/>
      <c r="N807" s="17"/>
      <c r="P807" s="7"/>
      <c r="Q807" s="18"/>
    </row>
    <row r="808" spans="5:17" ht="14" x14ac:dyDescent="0.2">
      <c r="E808" s="1"/>
      <c r="F808" s="22"/>
      <c r="H808" s="24"/>
      <c r="I808" s="14"/>
      <c r="J808" s="15"/>
      <c r="K808" s="13"/>
      <c r="M808" s="3"/>
      <c r="N808" s="17"/>
      <c r="P808" s="7"/>
      <c r="Q808" s="18"/>
    </row>
    <row r="809" spans="5:17" ht="14" x14ac:dyDescent="0.2">
      <c r="E809" s="1"/>
      <c r="F809" s="22"/>
      <c r="H809" s="24"/>
      <c r="I809" s="14"/>
      <c r="J809" s="15"/>
      <c r="K809" s="13"/>
      <c r="M809" s="3"/>
      <c r="N809" s="17"/>
      <c r="P809" s="7"/>
      <c r="Q809" s="18"/>
    </row>
    <row r="810" spans="5:17" ht="14" x14ac:dyDescent="0.2">
      <c r="E810" s="1"/>
      <c r="F810" s="22"/>
      <c r="H810" s="24"/>
      <c r="I810" s="14"/>
      <c r="J810" s="15"/>
      <c r="K810" s="13"/>
      <c r="M810" s="3"/>
      <c r="N810" s="17"/>
      <c r="P810" s="7"/>
      <c r="Q810" s="18"/>
    </row>
    <row r="811" spans="5:17" ht="14" x14ac:dyDescent="0.2">
      <c r="E811" s="1"/>
      <c r="F811" s="22"/>
      <c r="H811" s="24"/>
      <c r="I811" s="14"/>
      <c r="J811" s="15"/>
      <c r="K811" s="13"/>
      <c r="M811" s="3"/>
      <c r="N811" s="17"/>
      <c r="P811" s="7"/>
      <c r="Q811" s="18"/>
    </row>
    <row r="812" spans="5:17" ht="14" x14ac:dyDescent="0.2">
      <c r="E812" s="1"/>
      <c r="F812" s="22"/>
      <c r="H812" s="24"/>
      <c r="I812" s="14"/>
      <c r="J812" s="15"/>
      <c r="K812" s="13"/>
      <c r="M812" s="3"/>
      <c r="N812" s="17"/>
      <c r="P812" s="7"/>
      <c r="Q812" s="18"/>
    </row>
    <row r="813" spans="5:17" ht="14" x14ac:dyDescent="0.2">
      <c r="E813" s="1"/>
      <c r="F813" s="22"/>
      <c r="H813" s="24"/>
      <c r="I813" s="14"/>
      <c r="J813" s="15"/>
      <c r="K813" s="13"/>
      <c r="M813" s="3"/>
      <c r="N813" s="17"/>
      <c r="P813" s="7"/>
      <c r="Q813" s="18"/>
    </row>
    <row r="814" spans="5:17" ht="14" x14ac:dyDescent="0.2">
      <c r="E814" s="1"/>
      <c r="F814" s="22"/>
      <c r="H814" s="24"/>
      <c r="I814" s="14"/>
      <c r="J814" s="15"/>
      <c r="K814" s="13"/>
      <c r="M814" s="3"/>
      <c r="N814" s="17"/>
      <c r="P814" s="7"/>
      <c r="Q814" s="18"/>
    </row>
    <row r="815" spans="5:17" ht="14" x14ac:dyDescent="0.2">
      <c r="E815" s="1"/>
      <c r="F815" s="22"/>
      <c r="H815" s="24"/>
      <c r="I815" s="14"/>
      <c r="J815" s="15"/>
      <c r="K815" s="13"/>
      <c r="M815" s="3"/>
      <c r="N815" s="17"/>
      <c r="P815" s="7"/>
      <c r="Q815" s="18"/>
    </row>
    <row r="816" spans="5:17" ht="14" x14ac:dyDescent="0.2">
      <c r="E816" s="1"/>
      <c r="F816" s="22"/>
      <c r="H816" s="24"/>
      <c r="I816" s="14"/>
      <c r="J816" s="15"/>
      <c r="K816" s="13"/>
      <c r="M816" s="3"/>
      <c r="N816" s="17"/>
      <c r="P816" s="7"/>
      <c r="Q816" s="18"/>
    </row>
    <row r="817" spans="5:17" ht="14" x14ac:dyDescent="0.2">
      <c r="E817" s="1"/>
      <c r="F817" s="22"/>
      <c r="H817" s="24"/>
      <c r="I817" s="14"/>
      <c r="J817" s="15"/>
      <c r="K817" s="13"/>
      <c r="M817" s="3"/>
      <c r="N817" s="17"/>
      <c r="P817" s="7"/>
      <c r="Q817" s="18"/>
    </row>
    <row r="818" spans="5:17" ht="14" x14ac:dyDescent="0.2">
      <c r="E818" s="1"/>
      <c r="F818" s="22"/>
      <c r="H818" s="24"/>
      <c r="I818" s="14"/>
      <c r="J818" s="15"/>
      <c r="K818" s="13"/>
      <c r="M818" s="3"/>
      <c r="N818" s="17"/>
      <c r="P818" s="7"/>
      <c r="Q818" s="18"/>
    </row>
    <row r="819" spans="5:17" ht="14" x14ac:dyDescent="0.2">
      <c r="E819" s="1"/>
      <c r="F819" s="22"/>
      <c r="H819" s="24"/>
      <c r="I819" s="14"/>
      <c r="J819" s="15"/>
      <c r="K819" s="13"/>
      <c r="M819" s="3"/>
      <c r="N819" s="17"/>
      <c r="P819" s="7"/>
      <c r="Q819" s="18"/>
    </row>
    <row r="820" spans="5:17" ht="14" x14ac:dyDescent="0.2">
      <c r="E820" s="1"/>
      <c r="F820" s="22"/>
      <c r="H820" s="24"/>
      <c r="I820" s="14"/>
      <c r="J820" s="15"/>
      <c r="K820" s="13"/>
      <c r="M820" s="3"/>
      <c r="N820" s="17"/>
      <c r="P820" s="7"/>
      <c r="Q820" s="18"/>
    </row>
    <row r="821" spans="5:17" ht="14" x14ac:dyDescent="0.2">
      <c r="E821" s="1"/>
      <c r="F821" s="22"/>
      <c r="H821" s="24"/>
      <c r="I821" s="14"/>
      <c r="J821" s="15"/>
      <c r="K821" s="13"/>
      <c r="M821" s="3"/>
      <c r="N821" s="17"/>
      <c r="P821" s="7"/>
      <c r="Q821" s="18"/>
    </row>
    <row r="822" spans="5:17" ht="14" x14ac:dyDescent="0.2">
      <c r="E822" s="1"/>
      <c r="F822" s="22"/>
      <c r="H822" s="24"/>
      <c r="I822" s="14"/>
      <c r="J822" s="15"/>
      <c r="K822" s="13"/>
      <c r="M822" s="3"/>
      <c r="N822" s="17"/>
      <c r="P822" s="7"/>
      <c r="Q822" s="18"/>
    </row>
    <row r="823" spans="5:17" ht="14" x14ac:dyDescent="0.2">
      <c r="E823" s="1"/>
      <c r="F823" s="22"/>
      <c r="H823" s="24"/>
      <c r="I823" s="14"/>
      <c r="J823" s="15"/>
      <c r="K823" s="13"/>
      <c r="M823" s="3"/>
      <c r="N823" s="17"/>
      <c r="P823" s="7"/>
      <c r="Q823" s="18"/>
    </row>
    <row r="824" spans="5:17" ht="14" x14ac:dyDescent="0.2">
      <c r="E824" s="1"/>
      <c r="F824" s="22"/>
      <c r="H824" s="24"/>
      <c r="I824" s="14"/>
      <c r="J824" s="15"/>
      <c r="K824" s="13"/>
      <c r="M824" s="3"/>
      <c r="N824" s="17"/>
      <c r="P824" s="7"/>
      <c r="Q824" s="18"/>
    </row>
    <row r="825" spans="5:17" ht="14" x14ac:dyDescent="0.2">
      <c r="E825" s="1"/>
      <c r="F825" s="22"/>
      <c r="H825" s="24"/>
      <c r="I825" s="14"/>
      <c r="J825" s="15"/>
      <c r="K825" s="13"/>
      <c r="M825" s="3"/>
      <c r="N825" s="17"/>
      <c r="P825" s="7"/>
      <c r="Q825" s="18"/>
    </row>
    <row r="826" spans="5:17" ht="14" x14ac:dyDescent="0.2">
      <c r="E826" s="1"/>
      <c r="F826" s="22"/>
      <c r="H826" s="24"/>
      <c r="I826" s="14"/>
      <c r="J826" s="15"/>
      <c r="K826" s="13"/>
      <c r="M826" s="3"/>
      <c r="N826" s="17"/>
      <c r="P826" s="7"/>
      <c r="Q826" s="18"/>
    </row>
    <row r="827" spans="5:17" ht="14" x14ac:dyDescent="0.2">
      <c r="E827" s="1"/>
      <c r="F827" s="22"/>
      <c r="H827" s="24"/>
      <c r="I827" s="14"/>
      <c r="J827" s="15"/>
      <c r="K827" s="13"/>
      <c r="M827" s="3"/>
      <c r="N827" s="17"/>
      <c r="P827" s="7"/>
      <c r="Q827" s="18"/>
    </row>
    <row r="828" spans="5:17" ht="14" x14ac:dyDescent="0.2">
      <c r="E828" s="1"/>
      <c r="F828" s="22"/>
      <c r="H828" s="24"/>
      <c r="I828" s="14"/>
      <c r="J828" s="15"/>
      <c r="K828" s="13"/>
      <c r="M828" s="3"/>
      <c r="N828" s="17"/>
      <c r="P828" s="7"/>
      <c r="Q828" s="18"/>
    </row>
    <row r="829" spans="5:17" ht="14" x14ac:dyDescent="0.2">
      <c r="E829" s="1"/>
      <c r="F829" s="22"/>
      <c r="H829" s="24"/>
      <c r="I829" s="14"/>
      <c r="J829" s="15"/>
      <c r="K829" s="13"/>
      <c r="M829" s="3"/>
      <c r="N829" s="17"/>
      <c r="P829" s="7"/>
      <c r="Q829" s="18"/>
    </row>
    <row r="830" spans="5:17" ht="14" x14ac:dyDescent="0.2">
      <c r="E830" s="1"/>
      <c r="F830" s="22"/>
      <c r="H830" s="24"/>
      <c r="I830" s="14"/>
      <c r="J830" s="15"/>
      <c r="K830" s="13"/>
      <c r="M830" s="3"/>
      <c r="N830" s="17"/>
      <c r="P830" s="7"/>
      <c r="Q830" s="18"/>
    </row>
    <row r="831" spans="5:17" ht="14" x14ac:dyDescent="0.2">
      <c r="E831" s="1"/>
      <c r="F831" s="22"/>
      <c r="H831" s="24"/>
      <c r="I831" s="14"/>
      <c r="J831" s="15"/>
      <c r="K831" s="13"/>
      <c r="M831" s="3"/>
      <c r="N831" s="17"/>
      <c r="P831" s="7"/>
      <c r="Q831" s="18"/>
    </row>
    <row r="832" spans="5:17" ht="14" x14ac:dyDescent="0.2">
      <c r="E832" s="1"/>
      <c r="F832" s="22"/>
      <c r="H832" s="24"/>
      <c r="I832" s="14"/>
      <c r="J832" s="15"/>
      <c r="K832" s="13"/>
      <c r="M832" s="3"/>
      <c r="N832" s="17"/>
      <c r="P832" s="7"/>
      <c r="Q832" s="18"/>
    </row>
    <row r="833" spans="5:17" ht="14" x14ac:dyDescent="0.2">
      <c r="E833" s="1"/>
      <c r="F833" s="22"/>
      <c r="H833" s="24"/>
      <c r="I833" s="14"/>
      <c r="J833" s="15"/>
      <c r="K833" s="13"/>
      <c r="M833" s="3"/>
      <c r="N833" s="17"/>
      <c r="P833" s="7"/>
      <c r="Q833" s="18"/>
    </row>
    <row r="834" spans="5:17" ht="14" x14ac:dyDescent="0.2">
      <c r="E834" s="1"/>
      <c r="F834" s="22"/>
      <c r="H834" s="24"/>
      <c r="I834" s="14"/>
      <c r="J834" s="15"/>
      <c r="K834" s="13"/>
      <c r="M834" s="3"/>
      <c r="N834" s="17"/>
      <c r="P834" s="7"/>
      <c r="Q834" s="18"/>
    </row>
    <row r="835" spans="5:17" ht="14" x14ac:dyDescent="0.2">
      <c r="E835" s="1"/>
      <c r="F835" s="22"/>
      <c r="H835" s="24"/>
      <c r="I835" s="14"/>
      <c r="J835" s="15"/>
      <c r="K835" s="13"/>
      <c r="M835" s="3"/>
      <c r="N835" s="17"/>
      <c r="P835" s="7"/>
      <c r="Q835" s="18"/>
    </row>
    <row r="836" spans="5:17" ht="14" x14ac:dyDescent="0.2">
      <c r="E836" s="1"/>
      <c r="F836" s="22"/>
      <c r="H836" s="24"/>
      <c r="I836" s="14"/>
      <c r="J836" s="15"/>
      <c r="K836" s="13"/>
      <c r="M836" s="3"/>
      <c r="N836" s="17"/>
      <c r="P836" s="7"/>
      <c r="Q836" s="18"/>
    </row>
    <row r="837" spans="5:17" ht="14" x14ac:dyDescent="0.2">
      <c r="E837" s="1"/>
      <c r="F837" s="22"/>
      <c r="H837" s="24"/>
      <c r="I837" s="14"/>
      <c r="J837" s="15"/>
      <c r="K837" s="13"/>
      <c r="M837" s="3"/>
      <c r="N837" s="17"/>
      <c r="P837" s="7"/>
      <c r="Q837" s="18"/>
    </row>
    <row r="838" spans="5:17" ht="14" x14ac:dyDescent="0.2">
      <c r="E838" s="1"/>
      <c r="F838" s="22"/>
      <c r="H838" s="24"/>
      <c r="I838" s="14"/>
      <c r="J838" s="15"/>
      <c r="K838" s="13"/>
      <c r="M838" s="3"/>
      <c r="N838" s="17"/>
      <c r="P838" s="7"/>
      <c r="Q838" s="18"/>
    </row>
    <row r="839" spans="5:17" ht="14" x14ac:dyDescent="0.2">
      <c r="E839" s="1"/>
      <c r="F839" s="22"/>
      <c r="H839" s="24"/>
      <c r="I839" s="14"/>
      <c r="J839" s="15"/>
      <c r="K839" s="13"/>
      <c r="M839" s="3"/>
      <c r="N839" s="17"/>
      <c r="P839" s="7"/>
      <c r="Q839" s="18"/>
    </row>
    <row r="840" spans="5:17" ht="14" x14ac:dyDescent="0.2">
      <c r="E840" s="1"/>
      <c r="F840" s="22"/>
      <c r="H840" s="24"/>
      <c r="I840" s="14"/>
      <c r="J840" s="15"/>
      <c r="K840" s="13"/>
      <c r="M840" s="3"/>
      <c r="N840" s="17"/>
      <c r="P840" s="7"/>
      <c r="Q840" s="18"/>
    </row>
    <row r="841" spans="5:17" ht="14" x14ac:dyDescent="0.2">
      <c r="E841" s="1"/>
      <c r="F841" s="22"/>
      <c r="H841" s="24"/>
      <c r="I841" s="14"/>
      <c r="J841" s="15"/>
      <c r="K841" s="13"/>
      <c r="M841" s="3"/>
      <c r="N841" s="17"/>
      <c r="P841" s="7"/>
      <c r="Q841" s="18"/>
    </row>
    <row r="842" spans="5:17" ht="14" x14ac:dyDescent="0.2">
      <c r="E842" s="1"/>
      <c r="F842" s="22"/>
      <c r="H842" s="24"/>
      <c r="I842" s="14"/>
      <c r="J842" s="15"/>
      <c r="K842" s="13"/>
      <c r="M842" s="3"/>
      <c r="N842" s="17"/>
      <c r="P842" s="7"/>
      <c r="Q842" s="18"/>
    </row>
    <row r="843" spans="5:17" ht="14" x14ac:dyDescent="0.2">
      <c r="E843" s="1"/>
      <c r="F843" s="22"/>
      <c r="H843" s="24"/>
      <c r="I843" s="14"/>
      <c r="J843" s="15"/>
      <c r="K843" s="13"/>
      <c r="M843" s="3"/>
      <c r="N843" s="17"/>
      <c r="P843" s="7"/>
      <c r="Q843" s="18"/>
    </row>
    <row r="844" spans="5:17" ht="14" x14ac:dyDescent="0.2">
      <c r="E844" s="1"/>
      <c r="F844" s="22"/>
      <c r="H844" s="24"/>
      <c r="I844" s="14"/>
      <c r="J844" s="15"/>
      <c r="K844" s="13"/>
      <c r="M844" s="3"/>
      <c r="N844" s="17"/>
      <c r="P844" s="7"/>
      <c r="Q844" s="18"/>
    </row>
    <row r="845" spans="5:17" ht="14" x14ac:dyDescent="0.2">
      <c r="E845" s="1"/>
      <c r="F845" s="22"/>
      <c r="H845" s="24"/>
      <c r="I845" s="14"/>
      <c r="J845" s="15"/>
      <c r="K845" s="13"/>
      <c r="M845" s="3"/>
      <c r="N845" s="17"/>
      <c r="P845" s="7"/>
      <c r="Q845" s="18"/>
    </row>
    <row r="846" spans="5:17" ht="14" x14ac:dyDescent="0.2">
      <c r="E846" s="1"/>
      <c r="F846" s="22"/>
      <c r="H846" s="24"/>
      <c r="I846" s="14"/>
      <c r="J846" s="15"/>
      <c r="K846" s="13"/>
      <c r="M846" s="3"/>
      <c r="N846" s="17"/>
      <c r="P846" s="7"/>
      <c r="Q846" s="18"/>
    </row>
    <row r="847" spans="5:17" ht="14" x14ac:dyDescent="0.2">
      <c r="E847" s="1"/>
      <c r="F847" s="22"/>
      <c r="H847" s="24"/>
      <c r="I847" s="14"/>
      <c r="J847" s="15"/>
      <c r="K847" s="13"/>
      <c r="M847" s="3"/>
      <c r="N847" s="17"/>
      <c r="P847" s="7"/>
      <c r="Q847" s="18"/>
    </row>
    <row r="848" spans="5:17" ht="14" x14ac:dyDescent="0.2">
      <c r="E848" s="1"/>
      <c r="F848" s="22"/>
      <c r="H848" s="24"/>
      <c r="I848" s="14"/>
      <c r="J848" s="15"/>
      <c r="K848" s="13"/>
      <c r="M848" s="3"/>
      <c r="N848" s="17"/>
      <c r="P848" s="7"/>
      <c r="Q848" s="18"/>
    </row>
    <row r="849" spans="5:17" ht="14" x14ac:dyDescent="0.2">
      <c r="E849" s="1"/>
      <c r="F849" s="22"/>
      <c r="H849" s="24"/>
      <c r="I849" s="14"/>
      <c r="J849" s="15"/>
      <c r="K849" s="13"/>
      <c r="M849" s="3"/>
      <c r="N849" s="17"/>
      <c r="P849" s="7"/>
      <c r="Q849" s="18"/>
    </row>
    <row r="850" spans="5:17" ht="14" x14ac:dyDescent="0.2">
      <c r="E850" s="1"/>
      <c r="F850" s="22"/>
      <c r="H850" s="24"/>
      <c r="I850" s="14"/>
      <c r="J850" s="15"/>
      <c r="K850" s="13"/>
      <c r="M850" s="3"/>
      <c r="N850" s="17"/>
      <c r="P850" s="7"/>
      <c r="Q850" s="18"/>
    </row>
    <row r="851" spans="5:17" ht="14" x14ac:dyDescent="0.2">
      <c r="E851" s="1"/>
      <c r="F851" s="22"/>
      <c r="H851" s="24"/>
      <c r="I851" s="14"/>
      <c r="J851" s="15"/>
      <c r="K851" s="13"/>
      <c r="M851" s="3"/>
      <c r="N851" s="17"/>
      <c r="P851" s="7"/>
      <c r="Q851" s="18"/>
    </row>
    <row r="852" spans="5:17" ht="14" x14ac:dyDescent="0.2">
      <c r="E852" s="1"/>
      <c r="F852" s="22"/>
      <c r="H852" s="24"/>
      <c r="I852" s="14"/>
      <c r="J852" s="15"/>
      <c r="K852" s="13"/>
      <c r="M852" s="3"/>
      <c r="N852" s="17"/>
      <c r="P852" s="7"/>
      <c r="Q852" s="18"/>
    </row>
    <row r="853" spans="5:17" ht="14" x14ac:dyDescent="0.2">
      <c r="E853" s="1"/>
      <c r="F853" s="22"/>
      <c r="H853" s="24"/>
      <c r="I853" s="14"/>
      <c r="J853" s="15"/>
      <c r="K853" s="13"/>
      <c r="M853" s="3"/>
      <c r="N853" s="17"/>
      <c r="P853" s="7"/>
      <c r="Q853" s="18"/>
    </row>
    <row r="854" spans="5:17" ht="14" x14ac:dyDescent="0.2">
      <c r="E854" s="1"/>
      <c r="F854" s="22"/>
      <c r="H854" s="24"/>
      <c r="I854" s="14"/>
      <c r="J854" s="15"/>
      <c r="K854" s="13"/>
      <c r="M854" s="3"/>
      <c r="N854" s="17"/>
      <c r="P854" s="7"/>
      <c r="Q854" s="18"/>
    </row>
    <row r="855" spans="5:17" ht="14" x14ac:dyDescent="0.2">
      <c r="E855" s="1"/>
      <c r="F855" s="22"/>
      <c r="H855" s="24"/>
      <c r="I855" s="14"/>
      <c r="J855" s="15"/>
      <c r="K855" s="13"/>
      <c r="M855" s="3"/>
      <c r="N855" s="17"/>
      <c r="P855" s="7"/>
      <c r="Q855" s="18"/>
    </row>
    <row r="856" spans="5:17" ht="14" x14ac:dyDescent="0.2">
      <c r="E856" s="1"/>
      <c r="F856" s="22"/>
      <c r="H856" s="24"/>
      <c r="I856" s="14"/>
      <c r="J856" s="15"/>
      <c r="K856" s="13"/>
      <c r="M856" s="3"/>
      <c r="N856" s="17"/>
      <c r="P856" s="7"/>
      <c r="Q856" s="18"/>
    </row>
    <row r="857" spans="5:17" ht="14" x14ac:dyDescent="0.2">
      <c r="E857" s="1"/>
      <c r="F857" s="22"/>
      <c r="H857" s="24"/>
      <c r="I857" s="14"/>
      <c r="J857" s="15"/>
      <c r="K857" s="13"/>
      <c r="M857" s="3"/>
      <c r="N857" s="17"/>
      <c r="P857" s="7"/>
      <c r="Q857" s="18"/>
    </row>
    <row r="858" spans="5:17" ht="14" x14ac:dyDescent="0.2">
      <c r="E858" s="1"/>
      <c r="F858" s="22"/>
      <c r="H858" s="24"/>
      <c r="I858" s="14"/>
      <c r="J858" s="15"/>
      <c r="K858" s="13"/>
      <c r="M858" s="3"/>
      <c r="N858" s="17"/>
      <c r="P858" s="7"/>
      <c r="Q858" s="18"/>
    </row>
    <row r="859" spans="5:17" ht="14" x14ac:dyDescent="0.2">
      <c r="E859" s="1"/>
      <c r="F859" s="22"/>
      <c r="H859" s="24"/>
      <c r="I859" s="14"/>
      <c r="J859" s="15"/>
      <c r="K859" s="13"/>
      <c r="M859" s="3"/>
      <c r="N859" s="17"/>
      <c r="P859" s="7"/>
      <c r="Q859" s="18"/>
    </row>
    <row r="860" spans="5:17" ht="14" x14ac:dyDescent="0.2">
      <c r="E860" s="1"/>
      <c r="F860" s="22"/>
      <c r="H860" s="24"/>
      <c r="I860" s="14"/>
      <c r="J860" s="15"/>
      <c r="K860" s="13"/>
      <c r="M860" s="3"/>
      <c r="N860" s="17"/>
      <c r="P860" s="7"/>
      <c r="Q860" s="18"/>
    </row>
    <row r="861" spans="5:17" ht="14" x14ac:dyDescent="0.2">
      <c r="E861" s="1"/>
      <c r="F861" s="22"/>
      <c r="H861" s="24"/>
      <c r="I861" s="14"/>
      <c r="J861" s="15"/>
      <c r="K861" s="13"/>
      <c r="M861" s="3"/>
      <c r="N861" s="17"/>
      <c r="P861" s="7"/>
      <c r="Q861" s="18"/>
    </row>
    <row r="862" spans="5:17" ht="14" x14ac:dyDescent="0.2">
      <c r="E862" s="1"/>
      <c r="F862" s="22"/>
      <c r="H862" s="24"/>
      <c r="I862" s="14"/>
      <c r="J862" s="15"/>
      <c r="K862" s="13"/>
      <c r="M862" s="3"/>
      <c r="N862" s="17"/>
      <c r="P862" s="7"/>
      <c r="Q862" s="18"/>
    </row>
    <row r="863" spans="5:17" ht="14" x14ac:dyDescent="0.2">
      <c r="E863" s="1"/>
      <c r="F863" s="22"/>
      <c r="H863" s="24"/>
      <c r="I863" s="14"/>
      <c r="J863" s="15"/>
      <c r="K863" s="13"/>
      <c r="M863" s="3"/>
      <c r="N863" s="17"/>
      <c r="P863" s="7"/>
      <c r="Q863" s="18"/>
    </row>
    <row r="864" spans="5:17" ht="14" x14ac:dyDescent="0.2">
      <c r="E864" s="1"/>
      <c r="F864" s="22"/>
      <c r="H864" s="24"/>
      <c r="I864" s="14"/>
      <c r="J864" s="15"/>
      <c r="K864" s="13"/>
      <c r="M864" s="3"/>
      <c r="N864" s="17"/>
      <c r="P864" s="7"/>
      <c r="Q864" s="18"/>
    </row>
    <row r="865" spans="5:17" ht="14" x14ac:dyDescent="0.2">
      <c r="E865" s="1"/>
      <c r="F865" s="22"/>
      <c r="H865" s="24"/>
      <c r="I865" s="14"/>
      <c r="J865" s="15"/>
      <c r="K865" s="13"/>
      <c r="M865" s="3"/>
      <c r="N865" s="17"/>
      <c r="P865" s="7"/>
      <c r="Q865" s="18"/>
    </row>
    <row r="866" spans="5:17" ht="14" x14ac:dyDescent="0.2">
      <c r="E866" s="1"/>
      <c r="F866" s="22"/>
      <c r="H866" s="24"/>
      <c r="I866" s="14"/>
      <c r="J866" s="15"/>
      <c r="K866" s="13"/>
      <c r="M866" s="3"/>
      <c r="N866" s="17"/>
      <c r="P866" s="7"/>
      <c r="Q866" s="18"/>
    </row>
    <row r="867" spans="5:17" ht="14" x14ac:dyDescent="0.2">
      <c r="E867" s="1"/>
      <c r="F867" s="22"/>
      <c r="H867" s="24"/>
      <c r="I867" s="14"/>
      <c r="J867" s="15"/>
      <c r="K867" s="13"/>
      <c r="M867" s="3"/>
      <c r="N867" s="17"/>
      <c r="P867" s="7"/>
      <c r="Q867" s="18"/>
    </row>
    <row r="868" spans="5:17" ht="14" x14ac:dyDescent="0.2">
      <c r="E868" s="1"/>
      <c r="F868" s="22"/>
      <c r="H868" s="24"/>
      <c r="I868" s="14"/>
      <c r="J868" s="15"/>
      <c r="K868" s="13"/>
      <c r="M868" s="3"/>
      <c r="N868" s="17"/>
      <c r="P868" s="7"/>
      <c r="Q868" s="18"/>
    </row>
    <row r="869" spans="5:17" ht="14" x14ac:dyDescent="0.2">
      <c r="E869" s="1"/>
      <c r="F869" s="22"/>
      <c r="H869" s="24"/>
      <c r="I869" s="14"/>
      <c r="J869" s="15"/>
      <c r="K869" s="13"/>
      <c r="M869" s="3"/>
      <c r="N869" s="17"/>
      <c r="P869" s="7"/>
      <c r="Q869" s="18"/>
    </row>
    <row r="870" spans="5:17" ht="14" x14ac:dyDescent="0.2">
      <c r="E870" s="1"/>
      <c r="F870" s="22"/>
      <c r="H870" s="24"/>
      <c r="I870" s="14"/>
      <c r="J870" s="15"/>
      <c r="K870" s="13"/>
      <c r="M870" s="3"/>
      <c r="N870" s="17"/>
      <c r="P870" s="7"/>
      <c r="Q870" s="18"/>
    </row>
    <row r="871" spans="5:17" ht="14" x14ac:dyDescent="0.2">
      <c r="E871" s="1"/>
      <c r="F871" s="22"/>
      <c r="H871" s="24"/>
      <c r="I871" s="14"/>
      <c r="J871" s="15"/>
      <c r="K871" s="13"/>
      <c r="M871" s="3"/>
      <c r="N871" s="17"/>
      <c r="P871" s="7"/>
      <c r="Q871" s="18"/>
    </row>
    <row r="872" spans="5:17" ht="14" x14ac:dyDescent="0.2">
      <c r="E872" s="1"/>
      <c r="F872" s="22"/>
      <c r="H872" s="24"/>
      <c r="I872" s="14"/>
      <c r="J872" s="15"/>
      <c r="K872" s="13"/>
      <c r="M872" s="3"/>
      <c r="N872" s="17"/>
      <c r="P872" s="7"/>
      <c r="Q872" s="18"/>
    </row>
    <row r="873" spans="5:17" ht="14" x14ac:dyDescent="0.2">
      <c r="E873" s="1"/>
      <c r="F873" s="22"/>
      <c r="H873" s="24"/>
      <c r="I873" s="14"/>
      <c r="J873" s="15"/>
      <c r="K873" s="13"/>
      <c r="M873" s="3"/>
      <c r="N873" s="17"/>
      <c r="P873" s="7"/>
      <c r="Q873" s="18"/>
    </row>
    <row r="874" spans="5:17" ht="14" x14ac:dyDescent="0.2">
      <c r="E874" s="1"/>
      <c r="F874" s="22"/>
      <c r="H874" s="24"/>
      <c r="I874" s="14"/>
      <c r="J874" s="15"/>
      <c r="K874" s="13"/>
      <c r="M874" s="3"/>
      <c r="N874" s="17"/>
      <c r="P874" s="7"/>
      <c r="Q874" s="18"/>
    </row>
    <row r="875" spans="5:17" ht="14" x14ac:dyDescent="0.2">
      <c r="E875" s="1"/>
      <c r="F875" s="22"/>
      <c r="H875" s="24"/>
      <c r="I875" s="14"/>
      <c r="J875" s="15"/>
      <c r="K875" s="13"/>
      <c r="M875" s="3"/>
      <c r="N875" s="17"/>
      <c r="P875" s="7"/>
      <c r="Q875" s="18"/>
    </row>
    <row r="876" spans="5:17" ht="14" x14ac:dyDescent="0.2">
      <c r="E876" s="1"/>
      <c r="F876" s="22"/>
      <c r="H876" s="24"/>
      <c r="I876" s="14"/>
      <c r="J876" s="15"/>
      <c r="K876" s="13"/>
      <c r="M876" s="3"/>
      <c r="N876" s="17"/>
      <c r="P876" s="7"/>
      <c r="Q876" s="18"/>
    </row>
    <row r="877" spans="5:17" ht="14" x14ac:dyDescent="0.2">
      <c r="E877" s="1"/>
      <c r="F877" s="22"/>
      <c r="H877" s="24"/>
      <c r="I877" s="14"/>
      <c r="J877" s="15"/>
      <c r="K877" s="13"/>
      <c r="M877" s="3"/>
      <c r="N877" s="17"/>
      <c r="P877" s="7"/>
      <c r="Q877" s="18"/>
    </row>
    <row r="878" spans="5:17" ht="14" x14ac:dyDescent="0.2">
      <c r="E878" s="1"/>
      <c r="F878" s="22"/>
      <c r="H878" s="24"/>
      <c r="I878" s="14"/>
      <c r="J878" s="15"/>
      <c r="K878" s="13"/>
      <c r="M878" s="3"/>
      <c r="N878" s="17"/>
      <c r="P878" s="7"/>
      <c r="Q878" s="18"/>
    </row>
    <row r="879" spans="5:17" ht="14" x14ac:dyDescent="0.2">
      <c r="E879" s="1"/>
      <c r="F879" s="22"/>
      <c r="H879" s="24"/>
      <c r="I879" s="14"/>
      <c r="J879" s="15"/>
      <c r="K879" s="13"/>
      <c r="M879" s="3"/>
      <c r="N879" s="17"/>
      <c r="P879" s="7"/>
      <c r="Q879" s="18"/>
    </row>
    <row r="880" spans="5:17" ht="14" x14ac:dyDescent="0.2">
      <c r="E880" s="1"/>
      <c r="F880" s="22"/>
      <c r="H880" s="24"/>
      <c r="I880" s="14"/>
      <c r="J880" s="15"/>
      <c r="K880" s="13"/>
      <c r="M880" s="3"/>
      <c r="N880" s="17"/>
      <c r="P880" s="7"/>
      <c r="Q880" s="18"/>
    </row>
    <row r="881" spans="5:17" ht="14" x14ac:dyDescent="0.2">
      <c r="E881" s="1"/>
      <c r="F881" s="22"/>
      <c r="H881" s="24"/>
      <c r="I881" s="14"/>
      <c r="J881" s="15"/>
      <c r="K881" s="13"/>
      <c r="M881" s="3"/>
      <c r="N881" s="17"/>
      <c r="P881" s="7"/>
      <c r="Q881" s="18"/>
    </row>
    <row r="882" spans="5:17" ht="14" x14ac:dyDescent="0.2">
      <c r="E882" s="1"/>
      <c r="F882" s="22"/>
      <c r="H882" s="24"/>
      <c r="I882" s="14"/>
      <c r="J882" s="15"/>
      <c r="K882" s="13"/>
      <c r="M882" s="3"/>
      <c r="N882" s="17"/>
      <c r="P882" s="7"/>
      <c r="Q882" s="18"/>
    </row>
    <row r="883" spans="5:17" ht="14" x14ac:dyDescent="0.2">
      <c r="E883" s="1"/>
      <c r="F883" s="22"/>
      <c r="H883" s="24"/>
      <c r="I883" s="14"/>
      <c r="J883" s="15"/>
      <c r="K883" s="13"/>
      <c r="M883" s="3"/>
      <c r="N883" s="17"/>
      <c r="P883" s="7"/>
      <c r="Q883" s="18"/>
    </row>
    <row r="884" spans="5:17" ht="14" x14ac:dyDescent="0.2">
      <c r="E884" s="1"/>
      <c r="F884" s="22"/>
      <c r="H884" s="24"/>
      <c r="I884" s="14"/>
      <c r="J884" s="15"/>
      <c r="K884" s="13"/>
      <c r="M884" s="3"/>
      <c r="N884" s="17"/>
      <c r="P884" s="7"/>
      <c r="Q884" s="18"/>
    </row>
    <row r="885" spans="5:17" ht="14" x14ac:dyDescent="0.2">
      <c r="E885" s="1"/>
      <c r="F885" s="22"/>
      <c r="H885" s="24"/>
      <c r="I885" s="14"/>
      <c r="J885" s="15"/>
      <c r="K885" s="13"/>
      <c r="M885" s="3"/>
      <c r="N885" s="17"/>
      <c r="P885" s="7"/>
      <c r="Q885" s="18"/>
    </row>
    <row r="886" spans="5:17" ht="14" x14ac:dyDescent="0.2">
      <c r="E886" s="1"/>
      <c r="F886" s="22"/>
      <c r="H886" s="24"/>
      <c r="I886" s="14"/>
      <c r="J886" s="15"/>
      <c r="K886" s="13"/>
      <c r="M886" s="3"/>
      <c r="N886" s="17"/>
      <c r="P886" s="7"/>
      <c r="Q886" s="18"/>
    </row>
    <row r="887" spans="5:17" ht="14" x14ac:dyDescent="0.2">
      <c r="E887" s="1"/>
      <c r="F887" s="22"/>
      <c r="H887" s="24"/>
      <c r="I887" s="14"/>
      <c r="J887" s="15"/>
      <c r="K887" s="13"/>
      <c r="M887" s="3"/>
      <c r="N887" s="17"/>
      <c r="P887" s="7"/>
      <c r="Q887" s="18"/>
    </row>
    <row r="888" spans="5:17" ht="14" x14ac:dyDescent="0.2">
      <c r="E888" s="1"/>
      <c r="F888" s="22"/>
      <c r="H888" s="24"/>
      <c r="I888" s="14"/>
      <c r="J888" s="15"/>
      <c r="K888" s="13"/>
      <c r="M888" s="3"/>
      <c r="N888" s="17"/>
      <c r="P888" s="7"/>
      <c r="Q888" s="18"/>
    </row>
    <row r="889" spans="5:17" ht="14" x14ac:dyDescent="0.2">
      <c r="E889" s="1"/>
      <c r="F889" s="22"/>
      <c r="H889" s="24"/>
      <c r="I889" s="14"/>
      <c r="J889" s="15"/>
      <c r="K889" s="13"/>
      <c r="M889" s="3"/>
      <c r="N889" s="17"/>
      <c r="P889" s="7"/>
      <c r="Q889" s="18"/>
    </row>
    <row r="890" spans="5:17" ht="14" x14ac:dyDescent="0.2">
      <c r="E890" s="1"/>
      <c r="F890" s="22"/>
      <c r="H890" s="24"/>
      <c r="I890" s="14"/>
      <c r="J890" s="15"/>
      <c r="K890" s="13"/>
      <c r="M890" s="3"/>
      <c r="N890" s="17"/>
      <c r="P890" s="7"/>
      <c r="Q890" s="18"/>
    </row>
    <row r="891" spans="5:17" ht="14" x14ac:dyDescent="0.2">
      <c r="E891" s="1"/>
      <c r="F891" s="22"/>
      <c r="H891" s="24"/>
      <c r="I891" s="14"/>
      <c r="J891" s="15"/>
      <c r="K891" s="13"/>
      <c r="M891" s="3"/>
      <c r="N891" s="17"/>
      <c r="P891" s="7"/>
      <c r="Q891" s="18"/>
    </row>
    <row r="892" spans="5:17" ht="14" x14ac:dyDescent="0.2">
      <c r="E892" s="1"/>
      <c r="F892" s="22"/>
      <c r="H892" s="24"/>
      <c r="I892" s="14"/>
      <c r="J892" s="15"/>
      <c r="K892" s="13"/>
      <c r="M892" s="3"/>
      <c r="N892" s="17"/>
      <c r="P892" s="7"/>
      <c r="Q892" s="18"/>
    </row>
    <row r="893" spans="5:17" ht="14" x14ac:dyDescent="0.2">
      <c r="E893" s="1"/>
      <c r="F893" s="22"/>
      <c r="H893" s="24"/>
      <c r="I893" s="14"/>
      <c r="J893" s="15"/>
      <c r="K893" s="13"/>
      <c r="M893" s="3"/>
      <c r="N893" s="17"/>
      <c r="P893" s="7"/>
      <c r="Q893" s="18"/>
    </row>
    <row r="894" spans="5:17" ht="14" x14ac:dyDescent="0.2">
      <c r="E894" s="1"/>
      <c r="F894" s="22"/>
      <c r="H894" s="24"/>
      <c r="I894" s="14"/>
      <c r="J894" s="15"/>
      <c r="K894" s="13"/>
      <c r="M894" s="3"/>
      <c r="N894" s="17"/>
      <c r="P894" s="7"/>
      <c r="Q894" s="18"/>
    </row>
    <row r="895" spans="5:17" ht="14" x14ac:dyDescent="0.2">
      <c r="E895" s="1"/>
      <c r="F895" s="22"/>
      <c r="H895" s="24"/>
      <c r="I895" s="14"/>
      <c r="J895" s="15"/>
      <c r="K895" s="13"/>
      <c r="M895" s="3"/>
      <c r="N895" s="17"/>
      <c r="P895" s="7"/>
      <c r="Q895" s="18"/>
    </row>
    <row r="896" spans="5:17" ht="14" x14ac:dyDescent="0.2">
      <c r="E896" s="1"/>
      <c r="F896" s="22"/>
      <c r="H896" s="24"/>
      <c r="I896" s="14"/>
      <c r="J896" s="15"/>
      <c r="K896" s="13"/>
      <c r="M896" s="3"/>
      <c r="N896" s="17"/>
      <c r="P896" s="7"/>
      <c r="Q896" s="18"/>
    </row>
    <row r="897" spans="5:17" ht="14" x14ac:dyDescent="0.2">
      <c r="E897" s="1"/>
      <c r="F897" s="22"/>
      <c r="H897" s="24"/>
      <c r="I897" s="14"/>
      <c r="J897" s="15"/>
      <c r="K897" s="13"/>
      <c r="M897" s="3"/>
      <c r="N897" s="17"/>
      <c r="P897" s="7"/>
      <c r="Q897" s="18"/>
    </row>
    <row r="898" spans="5:17" ht="14" x14ac:dyDescent="0.2">
      <c r="E898" s="1"/>
      <c r="F898" s="22"/>
      <c r="H898" s="24"/>
      <c r="I898" s="14"/>
      <c r="J898" s="15"/>
      <c r="K898" s="13"/>
      <c r="M898" s="3"/>
      <c r="N898" s="17"/>
      <c r="P898" s="7"/>
      <c r="Q898" s="18"/>
    </row>
    <row r="899" spans="5:17" ht="14" x14ac:dyDescent="0.2">
      <c r="E899" s="1"/>
      <c r="F899" s="22"/>
      <c r="H899" s="24"/>
      <c r="I899" s="14"/>
      <c r="J899" s="15"/>
      <c r="K899" s="13"/>
      <c r="M899" s="3"/>
      <c r="N899" s="17"/>
      <c r="P899" s="7"/>
      <c r="Q899" s="18"/>
    </row>
    <row r="900" spans="5:17" ht="14" x14ac:dyDescent="0.2">
      <c r="E900" s="1"/>
      <c r="F900" s="22"/>
      <c r="H900" s="24"/>
      <c r="I900" s="14"/>
      <c r="J900" s="15"/>
      <c r="K900" s="13"/>
      <c r="M900" s="3"/>
      <c r="N900" s="17"/>
      <c r="P900" s="7"/>
      <c r="Q900" s="18"/>
    </row>
    <row r="901" spans="5:17" ht="14" x14ac:dyDescent="0.2">
      <c r="E901" s="1"/>
      <c r="F901" s="22"/>
      <c r="H901" s="24"/>
      <c r="I901" s="14"/>
      <c r="J901" s="15"/>
      <c r="K901" s="13"/>
      <c r="M901" s="3"/>
      <c r="N901" s="17"/>
      <c r="P901" s="7"/>
      <c r="Q901" s="18"/>
    </row>
    <row r="902" spans="5:17" ht="14" x14ac:dyDescent="0.2">
      <c r="E902" s="1"/>
      <c r="F902" s="22"/>
      <c r="H902" s="24"/>
      <c r="I902" s="14"/>
      <c r="J902" s="15"/>
      <c r="K902" s="13"/>
      <c r="M902" s="3"/>
      <c r="N902" s="17"/>
      <c r="P902" s="7"/>
      <c r="Q902" s="18"/>
    </row>
    <row r="903" spans="5:17" ht="14" x14ac:dyDescent="0.2">
      <c r="E903" s="1"/>
      <c r="F903" s="22"/>
      <c r="H903" s="24"/>
      <c r="I903" s="14"/>
      <c r="J903" s="15"/>
      <c r="K903" s="13"/>
      <c r="M903" s="3"/>
      <c r="N903" s="17"/>
      <c r="P903" s="7"/>
      <c r="Q903" s="18"/>
    </row>
    <row r="904" spans="5:17" ht="14" x14ac:dyDescent="0.2">
      <c r="E904" s="1"/>
      <c r="F904" s="22"/>
      <c r="H904" s="24"/>
      <c r="I904" s="14"/>
      <c r="J904" s="15"/>
      <c r="K904" s="13"/>
      <c r="M904" s="3"/>
      <c r="N904" s="17"/>
      <c r="P904" s="7"/>
      <c r="Q904" s="18"/>
    </row>
    <row r="905" spans="5:17" ht="14" x14ac:dyDescent="0.2">
      <c r="E905" s="1"/>
      <c r="F905" s="22"/>
      <c r="H905" s="24"/>
      <c r="I905" s="14"/>
      <c r="J905" s="15"/>
      <c r="K905" s="13"/>
      <c r="M905" s="3"/>
      <c r="N905" s="17"/>
      <c r="P905" s="7"/>
      <c r="Q905" s="18"/>
    </row>
    <row r="906" spans="5:17" ht="14" x14ac:dyDescent="0.2">
      <c r="E906" s="1"/>
      <c r="F906" s="22"/>
      <c r="H906" s="24"/>
      <c r="I906" s="14"/>
      <c r="J906" s="15"/>
      <c r="K906" s="13"/>
      <c r="M906" s="3"/>
      <c r="N906" s="17"/>
      <c r="P906" s="7"/>
      <c r="Q906" s="18"/>
    </row>
    <row r="907" spans="5:17" ht="14" x14ac:dyDescent="0.2">
      <c r="E907" s="1"/>
      <c r="F907" s="22"/>
      <c r="H907" s="24"/>
      <c r="I907" s="14"/>
      <c r="J907" s="15"/>
      <c r="K907" s="13"/>
      <c r="M907" s="3"/>
      <c r="N907" s="17"/>
      <c r="P907" s="7"/>
      <c r="Q907" s="18"/>
    </row>
    <row r="908" spans="5:17" ht="14" x14ac:dyDescent="0.2">
      <c r="E908" s="1"/>
      <c r="F908" s="22"/>
      <c r="H908" s="24"/>
      <c r="I908" s="14"/>
      <c r="J908" s="15"/>
      <c r="K908" s="13"/>
      <c r="M908" s="3"/>
      <c r="N908" s="17"/>
      <c r="P908" s="7"/>
      <c r="Q908" s="18"/>
    </row>
    <row r="909" spans="5:17" ht="14" x14ac:dyDescent="0.2">
      <c r="E909" s="1"/>
      <c r="F909" s="22"/>
      <c r="H909" s="24"/>
      <c r="I909" s="14"/>
      <c r="J909" s="15"/>
      <c r="K909" s="13"/>
      <c r="M909" s="3"/>
      <c r="N909" s="17"/>
      <c r="P909" s="7"/>
      <c r="Q909" s="18"/>
    </row>
    <row r="910" spans="5:17" ht="14" x14ac:dyDescent="0.2">
      <c r="E910" s="1"/>
      <c r="F910" s="22"/>
      <c r="H910" s="24"/>
      <c r="I910" s="14"/>
      <c r="J910" s="15"/>
      <c r="K910" s="13"/>
      <c r="M910" s="3"/>
      <c r="N910" s="17"/>
      <c r="P910" s="7"/>
      <c r="Q910" s="18"/>
    </row>
    <row r="911" spans="5:17" ht="14" x14ac:dyDescent="0.2">
      <c r="E911" s="1"/>
      <c r="F911" s="22"/>
      <c r="H911" s="24"/>
      <c r="I911" s="14"/>
      <c r="J911" s="15"/>
      <c r="K911" s="13"/>
      <c r="M911" s="3"/>
      <c r="N911" s="17"/>
      <c r="P911" s="7"/>
      <c r="Q911" s="18"/>
    </row>
    <row r="912" spans="5:17" ht="14" x14ac:dyDescent="0.2">
      <c r="E912" s="1"/>
      <c r="F912" s="22"/>
      <c r="H912" s="24"/>
      <c r="I912" s="14"/>
      <c r="J912" s="15"/>
      <c r="K912" s="13"/>
      <c r="M912" s="3"/>
      <c r="N912" s="17"/>
      <c r="P912" s="7"/>
      <c r="Q912" s="18"/>
    </row>
    <row r="913" spans="5:17" ht="14" x14ac:dyDescent="0.2">
      <c r="E913" s="1"/>
      <c r="F913" s="22"/>
      <c r="H913" s="24"/>
      <c r="I913" s="14"/>
      <c r="J913" s="15"/>
      <c r="K913" s="13"/>
      <c r="M913" s="3"/>
      <c r="N913" s="17"/>
      <c r="P913" s="7"/>
      <c r="Q913" s="18"/>
    </row>
    <row r="914" spans="5:17" ht="14" x14ac:dyDescent="0.2">
      <c r="E914" s="1"/>
      <c r="F914" s="22"/>
      <c r="H914" s="24"/>
      <c r="I914" s="14"/>
      <c r="J914" s="15"/>
      <c r="K914" s="13"/>
      <c r="M914" s="3"/>
      <c r="N914" s="17"/>
      <c r="P914" s="7"/>
      <c r="Q914" s="18"/>
    </row>
    <row r="915" spans="5:17" ht="14" x14ac:dyDescent="0.2">
      <c r="E915" s="1"/>
      <c r="F915" s="22"/>
      <c r="H915" s="24"/>
      <c r="I915" s="14"/>
      <c r="J915" s="15"/>
      <c r="K915" s="13"/>
      <c r="M915" s="3"/>
      <c r="N915" s="17"/>
      <c r="P915" s="7"/>
      <c r="Q915" s="18"/>
    </row>
    <row r="916" spans="5:17" ht="14" x14ac:dyDescent="0.2">
      <c r="E916" s="1"/>
      <c r="F916" s="22"/>
      <c r="H916" s="24"/>
      <c r="I916" s="14"/>
      <c r="J916" s="15"/>
      <c r="K916" s="13"/>
      <c r="M916" s="3"/>
      <c r="N916" s="17"/>
      <c r="P916" s="7"/>
      <c r="Q916" s="18"/>
    </row>
    <row r="917" spans="5:17" ht="14" x14ac:dyDescent="0.2">
      <c r="E917" s="1"/>
      <c r="F917" s="22"/>
      <c r="H917" s="24"/>
      <c r="I917" s="14"/>
      <c r="J917" s="15"/>
      <c r="K917" s="13"/>
      <c r="M917" s="3"/>
      <c r="N917" s="17"/>
      <c r="P917" s="7"/>
      <c r="Q917" s="18"/>
    </row>
    <row r="918" spans="5:17" ht="14" x14ac:dyDescent="0.2">
      <c r="E918" s="1"/>
      <c r="F918" s="22"/>
      <c r="H918" s="24"/>
      <c r="I918" s="14"/>
      <c r="J918" s="15"/>
      <c r="K918" s="13"/>
      <c r="M918" s="3"/>
      <c r="N918" s="17"/>
      <c r="P918" s="7"/>
      <c r="Q918" s="18"/>
    </row>
    <row r="919" spans="5:17" ht="14" x14ac:dyDescent="0.2">
      <c r="E919" s="1"/>
      <c r="F919" s="22"/>
      <c r="H919" s="24"/>
      <c r="I919" s="14"/>
      <c r="J919" s="15"/>
      <c r="K919" s="13"/>
      <c r="M919" s="3"/>
      <c r="N919" s="17"/>
      <c r="P919" s="7"/>
      <c r="Q919" s="18"/>
    </row>
    <row r="920" spans="5:17" ht="14" x14ac:dyDescent="0.2">
      <c r="E920" s="1"/>
      <c r="F920" s="22"/>
      <c r="H920" s="24"/>
      <c r="I920" s="14"/>
      <c r="J920" s="15"/>
      <c r="K920" s="13"/>
      <c r="M920" s="3"/>
      <c r="N920" s="17"/>
      <c r="P920" s="7"/>
      <c r="Q920" s="18"/>
    </row>
    <row r="921" spans="5:17" ht="14" x14ac:dyDescent="0.2">
      <c r="E921" s="1"/>
      <c r="F921" s="22"/>
      <c r="H921" s="24"/>
      <c r="I921" s="14"/>
      <c r="J921" s="15"/>
      <c r="K921" s="13"/>
      <c r="M921" s="3"/>
      <c r="N921" s="17"/>
      <c r="P921" s="7"/>
      <c r="Q921" s="18"/>
    </row>
    <row r="922" spans="5:17" ht="14" x14ac:dyDescent="0.2">
      <c r="E922" s="1"/>
      <c r="F922" s="22"/>
      <c r="H922" s="24"/>
      <c r="I922" s="14"/>
      <c r="J922" s="15"/>
      <c r="K922" s="13"/>
      <c r="M922" s="3"/>
      <c r="N922" s="17"/>
      <c r="P922" s="7"/>
      <c r="Q922" s="18"/>
    </row>
    <row r="923" spans="5:17" ht="14" x14ac:dyDescent="0.2">
      <c r="E923" s="1"/>
      <c r="F923" s="22"/>
      <c r="H923" s="24"/>
      <c r="I923" s="14"/>
      <c r="J923" s="15"/>
      <c r="K923" s="13"/>
      <c r="M923" s="3"/>
      <c r="N923" s="17"/>
      <c r="P923" s="7"/>
      <c r="Q923" s="18"/>
    </row>
    <row r="924" spans="5:17" ht="14" x14ac:dyDescent="0.2">
      <c r="E924" s="1"/>
      <c r="F924" s="22"/>
      <c r="H924" s="24"/>
      <c r="I924" s="14"/>
      <c r="J924" s="15"/>
      <c r="K924" s="13"/>
      <c r="M924" s="3"/>
      <c r="N924" s="17"/>
      <c r="P924" s="7"/>
      <c r="Q924" s="18"/>
    </row>
    <row r="925" spans="5:17" ht="14" x14ac:dyDescent="0.2">
      <c r="E925" s="1"/>
      <c r="F925" s="22"/>
      <c r="H925" s="24"/>
      <c r="I925" s="14"/>
      <c r="J925" s="15"/>
      <c r="K925" s="13"/>
      <c r="M925" s="3"/>
      <c r="N925" s="17"/>
      <c r="P925" s="7"/>
      <c r="Q925" s="18"/>
    </row>
    <row r="926" spans="5:17" ht="14" x14ac:dyDescent="0.2">
      <c r="E926" s="1"/>
      <c r="F926" s="22"/>
      <c r="H926" s="24"/>
      <c r="I926" s="14"/>
      <c r="J926" s="15"/>
      <c r="K926" s="13"/>
      <c r="M926" s="3"/>
      <c r="N926" s="17"/>
      <c r="P926" s="7"/>
      <c r="Q926" s="18"/>
    </row>
    <row r="927" spans="5:17" ht="14" x14ac:dyDescent="0.2">
      <c r="E927" s="1"/>
      <c r="F927" s="22"/>
      <c r="H927" s="24"/>
      <c r="I927" s="14"/>
      <c r="J927" s="15"/>
      <c r="K927" s="13"/>
      <c r="M927" s="3"/>
      <c r="N927" s="17"/>
      <c r="P927" s="7"/>
      <c r="Q927" s="18"/>
    </row>
    <row r="928" spans="5:17" ht="14" x14ac:dyDescent="0.2">
      <c r="E928" s="1"/>
      <c r="F928" s="22"/>
      <c r="H928" s="24"/>
      <c r="I928" s="14"/>
      <c r="J928" s="15"/>
      <c r="K928" s="13"/>
      <c r="M928" s="3"/>
      <c r="N928" s="17"/>
      <c r="P928" s="7"/>
      <c r="Q928" s="18"/>
    </row>
    <row r="929" spans="5:17" ht="14" x14ac:dyDescent="0.2">
      <c r="E929" s="1"/>
      <c r="F929" s="22"/>
      <c r="H929" s="24"/>
      <c r="I929" s="14"/>
      <c r="J929" s="15"/>
      <c r="K929" s="13"/>
      <c r="M929" s="3"/>
      <c r="N929" s="17"/>
      <c r="P929" s="7"/>
      <c r="Q929" s="18"/>
    </row>
    <row r="930" spans="5:17" ht="14" x14ac:dyDescent="0.2">
      <c r="E930" s="1"/>
      <c r="F930" s="22"/>
      <c r="H930" s="24"/>
      <c r="I930" s="14"/>
      <c r="J930" s="15"/>
      <c r="K930" s="13"/>
      <c r="M930" s="3"/>
      <c r="N930" s="17"/>
      <c r="P930" s="7"/>
      <c r="Q930" s="18"/>
    </row>
    <row r="931" spans="5:17" ht="14" x14ac:dyDescent="0.2">
      <c r="E931" s="1"/>
      <c r="F931" s="22"/>
      <c r="H931" s="24"/>
      <c r="I931" s="14"/>
      <c r="J931" s="15"/>
      <c r="K931" s="13"/>
      <c r="M931" s="3"/>
      <c r="N931" s="17"/>
      <c r="P931" s="7"/>
      <c r="Q931" s="18"/>
    </row>
    <row r="932" spans="5:17" ht="14" x14ac:dyDescent="0.2">
      <c r="E932" s="1"/>
      <c r="F932" s="22"/>
      <c r="H932" s="24"/>
      <c r="I932" s="14"/>
      <c r="J932" s="15"/>
      <c r="K932" s="13"/>
      <c r="M932" s="3"/>
      <c r="N932" s="17"/>
      <c r="P932" s="7"/>
      <c r="Q932" s="18"/>
    </row>
    <row r="933" spans="5:17" ht="14" x14ac:dyDescent="0.2">
      <c r="E933" s="1"/>
      <c r="F933" s="22"/>
      <c r="H933" s="24"/>
      <c r="I933" s="14"/>
      <c r="J933" s="15"/>
      <c r="K933" s="13"/>
      <c r="M933" s="3"/>
      <c r="N933" s="17"/>
      <c r="P933" s="7"/>
      <c r="Q933" s="18"/>
    </row>
    <row r="934" spans="5:17" ht="14" x14ac:dyDescent="0.2">
      <c r="E934" s="1"/>
      <c r="F934" s="22"/>
      <c r="H934" s="24"/>
      <c r="I934" s="14"/>
      <c r="J934" s="15"/>
      <c r="K934" s="13"/>
      <c r="M934" s="3"/>
      <c r="N934" s="17"/>
      <c r="P934" s="7"/>
      <c r="Q934" s="18"/>
    </row>
    <row r="935" spans="5:17" ht="14" x14ac:dyDescent="0.2">
      <c r="E935" s="1"/>
      <c r="F935" s="22"/>
      <c r="H935" s="24"/>
      <c r="I935" s="14"/>
      <c r="J935" s="15"/>
      <c r="K935" s="13"/>
      <c r="M935" s="3"/>
      <c r="N935" s="17"/>
      <c r="P935" s="7"/>
      <c r="Q935" s="18"/>
    </row>
    <row r="936" spans="5:17" ht="14" x14ac:dyDescent="0.2">
      <c r="E936" s="1"/>
      <c r="F936" s="22"/>
      <c r="H936" s="24"/>
      <c r="I936" s="14"/>
      <c r="J936" s="15"/>
      <c r="K936" s="13"/>
      <c r="M936" s="3"/>
      <c r="N936" s="17"/>
      <c r="P936" s="7"/>
      <c r="Q936" s="18"/>
    </row>
    <row r="937" spans="5:17" ht="14" x14ac:dyDescent="0.2">
      <c r="E937" s="1"/>
      <c r="F937" s="22"/>
      <c r="H937" s="24"/>
      <c r="I937" s="14"/>
      <c r="J937" s="15"/>
      <c r="K937" s="13"/>
      <c r="M937" s="3"/>
      <c r="N937" s="17"/>
      <c r="P937" s="7"/>
      <c r="Q937" s="18"/>
    </row>
    <row r="938" spans="5:17" ht="14" x14ac:dyDescent="0.2">
      <c r="E938" s="1"/>
      <c r="F938" s="22"/>
      <c r="H938" s="24"/>
      <c r="I938" s="14"/>
      <c r="J938" s="15"/>
      <c r="K938" s="13"/>
      <c r="M938" s="3"/>
      <c r="N938" s="17"/>
      <c r="P938" s="7"/>
      <c r="Q938" s="18"/>
    </row>
    <row r="939" spans="5:17" ht="14" x14ac:dyDescent="0.2">
      <c r="E939" s="1"/>
      <c r="F939" s="22"/>
      <c r="H939" s="24"/>
      <c r="I939" s="14"/>
      <c r="J939" s="15"/>
      <c r="K939" s="13"/>
      <c r="M939" s="3"/>
      <c r="N939" s="17"/>
      <c r="P939" s="7"/>
      <c r="Q939" s="18"/>
    </row>
    <row r="940" spans="5:17" ht="14" x14ac:dyDescent="0.2">
      <c r="E940" s="1"/>
      <c r="F940" s="22"/>
      <c r="H940" s="24"/>
      <c r="I940" s="14"/>
      <c r="J940" s="15"/>
      <c r="K940" s="13"/>
      <c r="M940" s="3"/>
      <c r="N940" s="17"/>
      <c r="P940" s="7"/>
      <c r="Q940" s="18"/>
    </row>
    <row r="941" spans="5:17" ht="14" x14ac:dyDescent="0.2">
      <c r="E941" s="1"/>
      <c r="F941" s="22"/>
      <c r="H941" s="24"/>
      <c r="I941" s="14"/>
      <c r="J941" s="15"/>
      <c r="K941" s="13"/>
      <c r="M941" s="3"/>
      <c r="N941" s="17"/>
      <c r="P941" s="7"/>
      <c r="Q941" s="18"/>
    </row>
    <row r="942" spans="5:17" ht="14" x14ac:dyDescent="0.2">
      <c r="E942" s="1"/>
      <c r="F942" s="22"/>
      <c r="H942" s="24"/>
      <c r="I942" s="14"/>
      <c r="J942" s="15"/>
      <c r="K942" s="13"/>
      <c r="M942" s="3"/>
      <c r="N942" s="17"/>
      <c r="P942" s="7"/>
      <c r="Q942" s="18"/>
    </row>
    <row r="943" spans="5:17" ht="14" x14ac:dyDescent="0.2">
      <c r="E943" s="1"/>
      <c r="F943" s="22"/>
      <c r="H943" s="24"/>
      <c r="I943" s="14"/>
      <c r="J943" s="15"/>
      <c r="K943" s="13"/>
      <c r="M943" s="3"/>
      <c r="N943" s="17"/>
      <c r="P943" s="7"/>
      <c r="Q943" s="18"/>
    </row>
    <row r="944" spans="5:17" ht="14" x14ac:dyDescent="0.2">
      <c r="E944" s="1"/>
      <c r="F944" s="22"/>
      <c r="H944" s="24"/>
      <c r="I944" s="14"/>
      <c r="J944" s="15"/>
      <c r="K944" s="13"/>
      <c r="M944" s="3"/>
      <c r="N944" s="17"/>
      <c r="P944" s="7"/>
      <c r="Q944" s="18"/>
    </row>
    <row r="945" spans="5:17" ht="14" x14ac:dyDescent="0.2">
      <c r="E945" s="1"/>
      <c r="F945" s="22"/>
      <c r="H945" s="24"/>
      <c r="I945" s="14"/>
      <c r="J945" s="15"/>
      <c r="K945" s="13"/>
      <c r="M945" s="3"/>
      <c r="N945" s="17"/>
      <c r="P945" s="7"/>
      <c r="Q945" s="18"/>
    </row>
    <row r="946" spans="5:17" ht="14" x14ac:dyDescent="0.2">
      <c r="E946" s="1"/>
      <c r="F946" s="22"/>
      <c r="H946" s="24"/>
      <c r="I946" s="14"/>
      <c r="J946" s="15"/>
      <c r="K946" s="13"/>
      <c r="M946" s="3"/>
      <c r="N946" s="17"/>
      <c r="P946" s="7"/>
      <c r="Q946" s="18"/>
    </row>
    <row r="947" spans="5:17" ht="14" x14ac:dyDescent="0.2">
      <c r="E947" s="1"/>
      <c r="F947" s="22"/>
      <c r="H947" s="24"/>
      <c r="I947" s="14"/>
      <c r="J947" s="15"/>
      <c r="K947" s="13"/>
      <c r="M947" s="3"/>
      <c r="N947" s="17"/>
      <c r="P947" s="7"/>
      <c r="Q947" s="18"/>
    </row>
    <row r="948" spans="5:17" ht="14" x14ac:dyDescent="0.2">
      <c r="E948" s="1"/>
      <c r="F948" s="22"/>
      <c r="H948" s="24"/>
      <c r="I948" s="14"/>
      <c r="J948" s="15"/>
      <c r="K948" s="13"/>
      <c r="M948" s="3"/>
      <c r="N948" s="17"/>
      <c r="P948" s="7"/>
      <c r="Q948" s="18"/>
    </row>
    <row r="949" spans="5:17" ht="14" x14ac:dyDescent="0.2">
      <c r="E949" s="1"/>
      <c r="F949" s="22"/>
      <c r="H949" s="24"/>
      <c r="I949" s="14"/>
      <c r="J949" s="15"/>
      <c r="K949" s="13"/>
      <c r="M949" s="3"/>
      <c r="N949" s="17"/>
      <c r="P949" s="7"/>
      <c r="Q949" s="18"/>
    </row>
    <row r="950" spans="5:17" ht="14" x14ac:dyDescent="0.2">
      <c r="E950" s="1"/>
      <c r="F950" s="22"/>
      <c r="H950" s="24"/>
      <c r="I950" s="14"/>
      <c r="J950" s="15"/>
      <c r="K950" s="13"/>
      <c r="M950" s="3"/>
      <c r="N950" s="17"/>
      <c r="P950" s="7"/>
      <c r="Q950" s="18"/>
    </row>
    <row r="951" spans="5:17" ht="14" x14ac:dyDescent="0.2">
      <c r="E951" s="1"/>
      <c r="F951" s="22"/>
      <c r="H951" s="24"/>
      <c r="I951" s="14"/>
      <c r="J951" s="15"/>
      <c r="K951" s="13"/>
      <c r="M951" s="3"/>
      <c r="N951" s="17"/>
      <c r="P951" s="7"/>
      <c r="Q951" s="18"/>
    </row>
    <row r="952" spans="5:17" ht="14" x14ac:dyDescent="0.2">
      <c r="E952" s="1"/>
      <c r="F952" s="22"/>
      <c r="H952" s="24"/>
      <c r="I952" s="14"/>
      <c r="J952" s="15"/>
      <c r="K952" s="13"/>
      <c r="M952" s="3"/>
      <c r="N952" s="17"/>
      <c r="P952" s="7"/>
      <c r="Q952" s="18"/>
    </row>
    <row r="953" spans="5:17" ht="14" x14ac:dyDescent="0.2">
      <c r="E953" s="1"/>
      <c r="F953" s="22"/>
      <c r="H953" s="24"/>
      <c r="I953" s="14"/>
      <c r="J953" s="15"/>
      <c r="K953" s="13"/>
      <c r="M953" s="3"/>
      <c r="N953" s="17"/>
      <c r="P953" s="7"/>
      <c r="Q953" s="18"/>
    </row>
    <row r="954" spans="5:17" ht="14" x14ac:dyDescent="0.2">
      <c r="E954" s="1"/>
      <c r="F954" s="22"/>
      <c r="H954" s="24"/>
      <c r="I954" s="14"/>
      <c r="J954" s="15"/>
      <c r="K954" s="13"/>
      <c r="M954" s="3"/>
      <c r="N954" s="17"/>
      <c r="P954" s="7"/>
      <c r="Q954" s="18"/>
    </row>
    <row r="955" spans="5:17" ht="14" x14ac:dyDescent="0.2">
      <c r="E955" s="1"/>
      <c r="F955" s="22"/>
      <c r="H955" s="24"/>
      <c r="I955" s="14"/>
      <c r="J955" s="15"/>
      <c r="K955" s="13"/>
      <c r="M955" s="3"/>
      <c r="N955" s="17"/>
      <c r="P955" s="7"/>
      <c r="Q955" s="18"/>
    </row>
    <row r="956" spans="5:17" ht="14" x14ac:dyDescent="0.2">
      <c r="E956" s="1"/>
      <c r="F956" s="22"/>
      <c r="H956" s="24"/>
      <c r="I956" s="14"/>
      <c r="J956" s="15"/>
      <c r="K956" s="13"/>
      <c r="M956" s="3"/>
      <c r="N956" s="17"/>
      <c r="P956" s="7"/>
      <c r="Q956" s="18"/>
    </row>
    <row r="957" spans="5:17" ht="14" x14ac:dyDescent="0.2">
      <c r="E957" s="1"/>
      <c r="F957" s="22"/>
      <c r="H957" s="24"/>
      <c r="I957" s="14"/>
      <c r="J957" s="15"/>
      <c r="K957" s="13"/>
      <c r="M957" s="3"/>
      <c r="N957" s="17"/>
      <c r="P957" s="7"/>
      <c r="Q957" s="18"/>
    </row>
    <row r="958" spans="5:17" ht="14" x14ac:dyDescent="0.2">
      <c r="E958" s="1"/>
      <c r="F958" s="22"/>
      <c r="H958" s="24"/>
      <c r="I958" s="14"/>
      <c r="J958" s="15"/>
      <c r="K958" s="13"/>
      <c r="M958" s="3"/>
      <c r="N958" s="17"/>
      <c r="P958" s="7"/>
      <c r="Q958" s="18"/>
    </row>
    <row r="959" spans="5:17" ht="14" x14ac:dyDescent="0.2">
      <c r="E959" s="1"/>
      <c r="F959" s="22"/>
      <c r="H959" s="24"/>
      <c r="I959" s="14"/>
      <c r="J959" s="15"/>
      <c r="K959" s="13"/>
      <c r="M959" s="3"/>
      <c r="N959" s="17"/>
      <c r="P959" s="7"/>
      <c r="Q959" s="18"/>
    </row>
    <row r="960" spans="5:17" ht="14" x14ac:dyDescent="0.2">
      <c r="E960" s="1"/>
      <c r="F960" s="22"/>
      <c r="H960" s="24"/>
      <c r="I960" s="14"/>
      <c r="J960" s="15"/>
      <c r="K960" s="13"/>
      <c r="M960" s="3"/>
      <c r="N960" s="17"/>
      <c r="P960" s="7"/>
      <c r="Q960" s="18"/>
    </row>
    <row r="961" spans="5:17" ht="14" x14ac:dyDescent="0.2">
      <c r="E961" s="1"/>
      <c r="F961" s="22"/>
      <c r="H961" s="24"/>
      <c r="I961" s="14"/>
      <c r="J961" s="15"/>
      <c r="K961" s="13"/>
      <c r="M961" s="3"/>
      <c r="N961" s="17"/>
      <c r="P961" s="7"/>
      <c r="Q961" s="18"/>
    </row>
    <row r="962" spans="5:17" ht="14" x14ac:dyDescent="0.2">
      <c r="E962" s="1"/>
      <c r="F962" s="22"/>
      <c r="H962" s="24"/>
      <c r="I962" s="14"/>
      <c r="J962" s="15"/>
      <c r="K962" s="13"/>
      <c r="M962" s="3"/>
      <c r="N962" s="17"/>
      <c r="P962" s="7"/>
      <c r="Q962" s="18"/>
    </row>
    <row r="963" spans="5:17" ht="14" x14ac:dyDescent="0.2">
      <c r="E963" s="1"/>
      <c r="F963" s="22"/>
      <c r="H963" s="24"/>
      <c r="I963" s="14"/>
      <c r="J963" s="15"/>
      <c r="K963" s="13"/>
      <c r="M963" s="3"/>
      <c r="N963" s="17"/>
      <c r="P963" s="7"/>
      <c r="Q963" s="18"/>
    </row>
    <row r="964" spans="5:17" ht="14" x14ac:dyDescent="0.2">
      <c r="E964" s="1"/>
      <c r="F964" s="22"/>
      <c r="H964" s="24"/>
      <c r="I964" s="14"/>
      <c r="J964" s="15"/>
      <c r="K964" s="13"/>
      <c r="M964" s="3"/>
      <c r="N964" s="17"/>
      <c r="P964" s="7"/>
      <c r="Q964" s="18"/>
    </row>
    <row r="965" spans="5:17" ht="14" x14ac:dyDescent="0.2">
      <c r="E965" s="1"/>
      <c r="F965" s="22"/>
      <c r="H965" s="24"/>
      <c r="I965" s="14"/>
      <c r="J965" s="15"/>
      <c r="K965" s="13"/>
      <c r="M965" s="3"/>
      <c r="N965" s="17"/>
      <c r="P965" s="7"/>
      <c r="Q965" s="18"/>
    </row>
    <row r="966" spans="5:17" ht="14" x14ac:dyDescent="0.2">
      <c r="E966" s="1"/>
      <c r="F966" s="22"/>
      <c r="H966" s="24"/>
      <c r="I966" s="14"/>
      <c r="J966" s="15"/>
      <c r="K966" s="13"/>
      <c r="M966" s="3"/>
      <c r="N966" s="17"/>
      <c r="P966" s="7"/>
      <c r="Q966" s="18"/>
    </row>
    <row r="967" spans="5:17" ht="14" x14ac:dyDescent="0.2">
      <c r="E967" s="1"/>
      <c r="F967" s="22"/>
      <c r="H967" s="24"/>
      <c r="I967" s="14"/>
      <c r="J967" s="15"/>
      <c r="K967" s="13"/>
      <c r="M967" s="3"/>
      <c r="N967" s="17"/>
      <c r="P967" s="7"/>
      <c r="Q967" s="18"/>
    </row>
    <row r="968" spans="5:17" ht="14" x14ac:dyDescent="0.2">
      <c r="E968" s="1"/>
      <c r="F968" s="22"/>
      <c r="H968" s="24"/>
      <c r="I968" s="14"/>
      <c r="J968" s="15"/>
      <c r="K968" s="13"/>
      <c r="M968" s="3"/>
      <c r="N968" s="17"/>
      <c r="P968" s="7"/>
      <c r="Q968" s="18"/>
    </row>
    <row r="969" spans="5:17" ht="14" x14ac:dyDescent="0.2">
      <c r="E969" s="1"/>
      <c r="F969" s="22"/>
      <c r="H969" s="24"/>
      <c r="I969" s="14"/>
      <c r="J969" s="15"/>
      <c r="K969" s="13"/>
      <c r="M969" s="3"/>
      <c r="N969" s="17"/>
      <c r="P969" s="7"/>
      <c r="Q969" s="18"/>
    </row>
    <row r="970" spans="5:17" ht="14" x14ac:dyDescent="0.2">
      <c r="E970" s="1"/>
      <c r="F970" s="22"/>
      <c r="H970" s="24"/>
      <c r="I970" s="14"/>
      <c r="J970" s="15"/>
      <c r="K970" s="13"/>
      <c r="M970" s="3"/>
      <c r="N970" s="17"/>
      <c r="P970" s="7"/>
      <c r="Q970" s="18"/>
    </row>
    <row r="971" spans="5:17" ht="14" x14ac:dyDescent="0.2">
      <c r="E971" s="1"/>
      <c r="F971" s="22"/>
      <c r="H971" s="24"/>
      <c r="I971" s="14"/>
      <c r="J971" s="15"/>
      <c r="K971" s="13"/>
      <c r="M971" s="3"/>
      <c r="N971" s="17"/>
      <c r="P971" s="7"/>
      <c r="Q971" s="18"/>
    </row>
    <row r="972" spans="5:17" ht="14" x14ac:dyDescent="0.2">
      <c r="E972" s="1"/>
      <c r="F972" s="22"/>
      <c r="H972" s="24"/>
      <c r="I972" s="14"/>
      <c r="J972" s="15"/>
      <c r="K972" s="13"/>
      <c r="M972" s="3"/>
      <c r="N972" s="17"/>
      <c r="P972" s="7"/>
      <c r="Q972" s="18"/>
    </row>
    <row r="973" spans="5:17" ht="14" x14ac:dyDescent="0.2">
      <c r="E973" s="1"/>
      <c r="F973" s="22"/>
      <c r="H973" s="24"/>
      <c r="I973" s="14"/>
      <c r="J973" s="15"/>
      <c r="K973" s="13"/>
      <c r="M973" s="3"/>
      <c r="N973" s="17"/>
      <c r="P973" s="7"/>
      <c r="Q973" s="18"/>
    </row>
    <row r="974" spans="5:17" ht="14" x14ac:dyDescent="0.2">
      <c r="E974" s="1"/>
      <c r="F974" s="22"/>
      <c r="H974" s="24"/>
      <c r="I974" s="14"/>
      <c r="J974" s="15"/>
      <c r="K974" s="13"/>
      <c r="M974" s="3"/>
      <c r="N974" s="17"/>
      <c r="P974" s="7"/>
      <c r="Q974" s="18"/>
    </row>
    <row r="975" spans="5:17" ht="14" x14ac:dyDescent="0.2">
      <c r="E975" s="1"/>
      <c r="F975" s="22"/>
      <c r="H975" s="24"/>
      <c r="I975" s="14"/>
      <c r="J975" s="15"/>
      <c r="K975" s="13"/>
      <c r="M975" s="3"/>
      <c r="N975" s="17"/>
      <c r="P975" s="7"/>
      <c r="Q975" s="18"/>
    </row>
    <row r="976" spans="5:17" ht="14" x14ac:dyDescent="0.2">
      <c r="E976" s="1"/>
      <c r="F976" s="22"/>
      <c r="H976" s="24"/>
      <c r="I976" s="14"/>
      <c r="J976" s="15"/>
      <c r="K976" s="13"/>
      <c r="M976" s="3"/>
      <c r="N976" s="17"/>
      <c r="P976" s="7"/>
      <c r="Q976" s="18"/>
    </row>
    <row r="977" spans="5:17" ht="14" x14ac:dyDescent="0.2">
      <c r="E977" s="1"/>
      <c r="F977" s="22"/>
      <c r="H977" s="24"/>
      <c r="I977" s="14"/>
      <c r="J977" s="15"/>
      <c r="K977" s="13"/>
      <c r="M977" s="3"/>
      <c r="N977" s="17"/>
      <c r="P977" s="7"/>
      <c r="Q977" s="18"/>
    </row>
    <row r="978" spans="5:17" ht="14" x14ac:dyDescent="0.2">
      <c r="E978" s="1"/>
      <c r="F978" s="22"/>
      <c r="H978" s="24"/>
      <c r="I978" s="14"/>
      <c r="J978" s="15"/>
      <c r="K978" s="13"/>
      <c r="M978" s="3"/>
      <c r="N978" s="17"/>
      <c r="P978" s="7"/>
      <c r="Q978" s="18"/>
    </row>
    <row r="979" spans="5:17" ht="14" x14ac:dyDescent="0.2">
      <c r="E979" s="1"/>
      <c r="F979" s="22"/>
      <c r="H979" s="24"/>
      <c r="I979" s="14"/>
      <c r="J979" s="15"/>
      <c r="K979" s="13"/>
      <c r="M979" s="3"/>
      <c r="N979" s="17"/>
      <c r="P979" s="7"/>
      <c r="Q979" s="18"/>
    </row>
    <row r="980" spans="5:17" ht="14" x14ac:dyDescent="0.2">
      <c r="E980" s="1"/>
      <c r="F980" s="22"/>
      <c r="H980" s="24"/>
      <c r="I980" s="14"/>
      <c r="J980" s="15"/>
      <c r="K980" s="13"/>
      <c r="M980" s="3"/>
      <c r="N980" s="17"/>
      <c r="P980" s="7"/>
      <c r="Q980" s="18"/>
    </row>
    <row r="981" spans="5:17" ht="14" x14ac:dyDescent="0.2">
      <c r="E981" s="1"/>
      <c r="F981" s="22"/>
      <c r="H981" s="24"/>
      <c r="I981" s="14"/>
      <c r="J981" s="15"/>
      <c r="K981" s="13"/>
      <c r="M981" s="3"/>
      <c r="N981" s="17"/>
      <c r="P981" s="7"/>
      <c r="Q981" s="18"/>
    </row>
    <row r="982" spans="5:17" ht="14" x14ac:dyDescent="0.2">
      <c r="E982" s="1"/>
      <c r="F982" s="22"/>
      <c r="H982" s="24"/>
      <c r="I982" s="14"/>
      <c r="J982" s="15"/>
      <c r="K982" s="13"/>
      <c r="M982" s="3"/>
      <c r="N982" s="17"/>
      <c r="P982" s="7"/>
      <c r="Q982" s="18"/>
    </row>
    <row r="983" spans="5:17" ht="14" x14ac:dyDescent="0.2">
      <c r="E983" s="1"/>
      <c r="F983" s="22"/>
      <c r="H983" s="24"/>
      <c r="I983" s="14"/>
      <c r="J983" s="15"/>
      <c r="K983" s="13"/>
      <c r="M983" s="3"/>
      <c r="N983" s="17"/>
      <c r="P983" s="7"/>
      <c r="Q983" s="18"/>
    </row>
    <row r="984" spans="5:17" ht="14" x14ac:dyDescent="0.2">
      <c r="E984" s="1"/>
      <c r="F984" s="22"/>
      <c r="H984" s="24"/>
      <c r="I984" s="14"/>
      <c r="J984" s="15"/>
      <c r="K984" s="13"/>
      <c r="M984" s="3"/>
      <c r="N984" s="17"/>
      <c r="P984" s="7"/>
      <c r="Q984" s="18"/>
    </row>
    <row r="985" spans="5:17" ht="14" x14ac:dyDescent="0.2">
      <c r="E985" s="1"/>
      <c r="F985" s="22"/>
      <c r="H985" s="24"/>
      <c r="I985" s="14"/>
      <c r="J985" s="15"/>
      <c r="K985" s="13"/>
      <c r="M985" s="3"/>
      <c r="N985" s="17"/>
      <c r="P985" s="7"/>
      <c r="Q985" s="18"/>
    </row>
    <row r="986" spans="5:17" ht="14" x14ac:dyDescent="0.2">
      <c r="E986" s="1"/>
      <c r="F986" s="22"/>
      <c r="H986" s="24"/>
      <c r="I986" s="14"/>
      <c r="J986" s="15"/>
      <c r="K986" s="13"/>
      <c r="M986" s="3"/>
      <c r="N986" s="17"/>
      <c r="P986" s="7"/>
      <c r="Q986" s="18"/>
    </row>
    <row r="987" spans="5:17" ht="14" x14ac:dyDescent="0.2">
      <c r="E987" s="1"/>
      <c r="F987" s="22"/>
      <c r="H987" s="24"/>
      <c r="I987" s="14"/>
      <c r="J987" s="15"/>
      <c r="K987" s="13"/>
      <c r="M987" s="3"/>
      <c r="N987" s="17"/>
      <c r="P987" s="7"/>
      <c r="Q987" s="18"/>
    </row>
    <row r="988" spans="5:17" ht="14" x14ac:dyDescent="0.2">
      <c r="E988" s="1"/>
      <c r="F988" s="22"/>
      <c r="H988" s="24"/>
      <c r="I988" s="14"/>
      <c r="J988" s="15"/>
      <c r="K988" s="13"/>
      <c r="M988" s="3"/>
      <c r="N988" s="17"/>
      <c r="P988" s="7"/>
      <c r="Q988" s="18"/>
    </row>
    <row r="989" spans="5:17" ht="14" x14ac:dyDescent="0.2">
      <c r="E989" s="1"/>
      <c r="F989" s="22"/>
      <c r="H989" s="24"/>
      <c r="I989" s="14"/>
      <c r="J989" s="15"/>
      <c r="K989" s="13"/>
      <c r="M989" s="3"/>
      <c r="N989" s="17"/>
      <c r="P989" s="7"/>
      <c r="Q989" s="18"/>
    </row>
    <row r="990" spans="5:17" ht="14" x14ac:dyDescent="0.2">
      <c r="E990" s="1"/>
      <c r="F990" s="22"/>
      <c r="H990" s="24"/>
      <c r="I990" s="14"/>
      <c r="J990" s="15"/>
      <c r="K990" s="13"/>
      <c r="M990" s="3"/>
      <c r="N990" s="17"/>
      <c r="P990" s="7"/>
      <c r="Q990" s="18"/>
    </row>
    <row r="991" spans="5:17" ht="14" x14ac:dyDescent="0.2">
      <c r="E991" s="1"/>
      <c r="F991" s="22"/>
      <c r="H991" s="24"/>
      <c r="I991" s="14"/>
      <c r="J991" s="15"/>
      <c r="K991" s="13"/>
      <c r="M991" s="3"/>
      <c r="N991" s="17"/>
      <c r="P991" s="7"/>
      <c r="Q991" s="18"/>
    </row>
  </sheetData>
  <autoFilter ref="A2:Q991" xr:uid="{89076661-1739-5B4B-9620-597CE8556C53}"/>
  <mergeCells count="2">
    <mergeCell ref="F1:Q1"/>
    <mergeCell ref="R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2026-05-28T06:39:49Z</dcterms:modified>
  <cp:category/>
  <cp:contentStatus/>
</cp:coreProperties>
</file>